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NJ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963</v>
      </c>
      <c r="C4" t="inlineStr">
        <is>
          <t>Atlantic City Electric Co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NJ</t>
        </is>
      </c>
      <c r="H4" t="inlineStr">
        <is>
          <t>Investor Owned</t>
        </is>
      </c>
      <c r="I4" t="inlineStr">
        <is>
          <t>PJM</t>
        </is>
      </c>
      <c r="J4" t="n">
        <v>840014.9</v>
      </c>
      <c r="K4" t="n">
        <v>3587649</v>
      </c>
      <c r="L4" t="n">
        <v>472020</v>
      </c>
      <c r="M4" t="n">
        <v>277984.3</v>
      </c>
      <c r="N4" t="n">
        <v>1419625</v>
      </c>
      <c r="O4" t="n">
        <v>51306</v>
      </c>
      <c r="P4" t="n">
        <v>11195.4</v>
      </c>
      <c r="Q4" t="n">
        <v>81298</v>
      </c>
      <c r="R4" t="n">
        <v>312</v>
      </c>
      <c r="S4" t="n">
        <v>0</v>
      </c>
      <c r="T4" t="n">
        <v>0</v>
      </c>
      <c r="U4" t="n">
        <v>0</v>
      </c>
      <c r="V4" t="n">
        <v>1129194.6</v>
      </c>
      <c r="W4" t="n">
        <v>5088572</v>
      </c>
      <c r="X4" t="n">
        <v>523638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963</v>
      </c>
      <c r="C5" t="inlineStr">
        <is>
          <t>Atlantic City Electric Co</t>
        </is>
      </c>
      <c r="D5" t="inlineStr">
        <is>
          <t>C</t>
        </is>
      </c>
      <c r="E5" t="inlineStr">
        <is>
          <t>Delivery</t>
        </is>
      </c>
      <c r="F5" t="inlineStr">
        <is>
          <t>O</t>
        </is>
      </c>
      <c r="G5" t="inlineStr">
        <is>
          <t>NJ</t>
        </is>
      </c>
      <c r="H5" t="inlineStr">
        <is>
          <t>Investor Owned</t>
        </is>
      </c>
      <c r="I5" t="inlineStr">
        <is>
          <t>PJM</t>
        </is>
      </c>
      <c r="J5" t="n">
        <v>27976.6</v>
      </c>
      <c r="K5" t="n">
        <v>257552</v>
      </c>
      <c r="L5" t="n">
        <v>34468</v>
      </c>
      <c r="M5" t="n">
        <v>164954.9</v>
      </c>
      <c r="N5" t="n">
        <v>2840417</v>
      </c>
      <c r="O5" t="n">
        <v>14444</v>
      </c>
      <c r="P5" t="n">
        <v>21205.2</v>
      </c>
      <c r="Q5" t="n">
        <v>477408</v>
      </c>
      <c r="R5" t="n">
        <v>225</v>
      </c>
      <c r="S5" t="n">
        <v>0</v>
      </c>
      <c r="T5" t="n">
        <v>0</v>
      </c>
      <c r="U5" t="n">
        <v>0</v>
      </c>
      <c r="V5" t="n">
        <v>214136.7</v>
      </c>
      <c r="W5" t="n">
        <v>3575377</v>
      </c>
      <c r="X5" t="n">
        <v>49137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4100</v>
      </c>
      <c r="C6" t="inlineStr">
        <is>
          <t>Just Energy Solutions Inc.</t>
        </is>
      </c>
      <c r="D6" t="inlineStr">
        <is>
          <t>B</t>
        </is>
      </c>
      <c r="E6" t="inlineStr">
        <is>
          <t>Energy</t>
        </is>
      </c>
      <c r="F6" t="inlineStr">
        <is>
          <t>O</t>
        </is>
      </c>
      <c r="G6" t="inlineStr">
        <is>
          <t>NJ</t>
        </is>
      </c>
      <c r="H6" t="inlineStr">
        <is>
          <t>Retail Power Marketer</t>
        </is>
      </c>
      <c r="I6" t="inlineStr">
        <is>
          <t>PJM</t>
        </is>
      </c>
      <c r="J6" t="n">
        <v>1375.5</v>
      </c>
      <c r="K6" t="n">
        <v>8624</v>
      </c>
      <c r="L6" t="n">
        <v>953</v>
      </c>
      <c r="M6" t="n">
        <v>7.6</v>
      </c>
      <c r="N6" t="n">
        <v>42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1383.1</v>
      </c>
      <c r="W6" t="n">
        <v>8666</v>
      </c>
      <c r="X6" t="n">
        <v>955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6458</v>
      </c>
      <c r="C7" t="inlineStr">
        <is>
          <t>Energy Harbor Corp.</t>
        </is>
      </c>
      <c r="D7" t="inlineStr">
        <is>
          <t>B</t>
        </is>
      </c>
      <c r="E7" t="inlineStr">
        <is>
          <t>Energy</t>
        </is>
      </c>
      <c r="F7" t="inlineStr">
        <is>
          <t>O</t>
        </is>
      </c>
      <c r="G7" t="inlineStr">
        <is>
          <t>NJ</t>
        </is>
      </c>
      <c r="H7" t="inlineStr">
        <is>
          <t>Retail Power Marketer</t>
        </is>
      </c>
      <c r="I7" t="inlineStr">
        <is>
          <t>PJM</t>
        </is>
      </c>
      <c r="J7" t="n">
        <v>327.9</v>
      </c>
      <c r="K7" t="n">
        <v>3161</v>
      </c>
      <c r="L7" t="n">
        <v>313</v>
      </c>
      <c r="M7" t="n">
        <v>15694.8</v>
      </c>
      <c r="N7" t="n">
        <v>171918</v>
      </c>
      <c r="O7" t="n">
        <v>501</v>
      </c>
      <c r="P7" t="n">
        <v>365.2</v>
      </c>
      <c r="Q7" t="n">
        <v>3111</v>
      </c>
      <c r="R7" t="n">
        <v>2</v>
      </c>
      <c r="S7" t="n">
        <v>0</v>
      </c>
      <c r="T7" t="n">
        <v>0</v>
      </c>
      <c r="U7" t="n">
        <v>0</v>
      </c>
      <c r="V7" t="n">
        <v>16387.9</v>
      </c>
      <c r="W7" t="n">
        <v>178190</v>
      </c>
      <c r="X7" t="n">
        <v>816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7279</v>
      </c>
      <c r="C8" t="inlineStr">
        <is>
          <t>NextEra Energy Services, LLC</t>
        </is>
      </c>
      <c r="D8" t="inlineStr">
        <is>
          <t>B</t>
        </is>
      </c>
      <c r="E8" t="inlineStr">
        <is>
          <t>Energy</t>
        </is>
      </c>
      <c r="F8" t="inlineStr">
        <is>
          <t>O</t>
        </is>
      </c>
      <c r="G8" t="inlineStr">
        <is>
          <t>NJ</t>
        </is>
      </c>
      <c r="H8" t="inlineStr">
        <is>
          <t>Retail Power Marketer</t>
        </is>
      </c>
      <c r="I8" t="inlineStr">
        <is>
          <t>PJM</t>
        </is>
      </c>
      <c r="J8" t="n">
        <v>591.5</v>
      </c>
      <c r="K8" t="n">
        <v>3443</v>
      </c>
      <c r="L8" t="n">
        <v>311</v>
      </c>
      <c r="M8" t="n">
        <v>46162</v>
      </c>
      <c r="N8" t="n">
        <v>512946</v>
      </c>
      <c r="O8" t="n">
        <v>539</v>
      </c>
      <c r="P8" t="inlineStr">
        <is>
          <t>.</t>
        </is>
      </c>
      <c r="Q8" t="inlineStr">
        <is>
          <t>.</t>
        </is>
      </c>
      <c r="R8" t="inlineStr">
        <is>
          <t>.</t>
        </is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46753.5</v>
      </c>
      <c r="W8" t="n">
        <v>516389</v>
      </c>
      <c r="X8" t="n">
        <v>850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7554</v>
      </c>
      <c r="C9" t="inlineStr">
        <is>
          <t>Green Mountain Energy Company</t>
        </is>
      </c>
      <c r="D9" t="inlineStr">
        <is>
          <t>B</t>
        </is>
      </c>
      <c r="E9" t="inlineStr">
        <is>
          <t>Energy</t>
        </is>
      </c>
      <c r="F9" t="inlineStr">
        <is>
          <t>O</t>
        </is>
      </c>
      <c r="G9" t="inlineStr">
        <is>
          <t>NJ</t>
        </is>
      </c>
      <c r="H9" t="inlineStr">
        <is>
          <t>Retail Power Marketer</t>
        </is>
      </c>
      <c r="I9" t="inlineStr">
        <is>
          <t>PJM</t>
        </is>
      </c>
      <c r="J9" t="n">
        <v>915.3</v>
      </c>
      <c r="K9" t="n">
        <v>5248</v>
      </c>
      <c r="L9" t="n">
        <v>659</v>
      </c>
      <c r="M9" t="n">
        <v>104.7</v>
      </c>
      <c r="N9" t="n">
        <v>1251</v>
      </c>
      <c r="O9" t="n">
        <v>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1020</v>
      </c>
      <c r="W9" t="n">
        <v>6499</v>
      </c>
      <c r="X9" t="n">
        <v>695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9726</v>
      </c>
      <c r="C10" t="inlineStr">
        <is>
          <t>Jersey Central Power &amp; Lt Co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NJ</t>
        </is>
      </c>
      <c r="H10" t="inlineStr">
        <is>
          <t>Investor Owned</t>
        </is>
      </c>
      <c r="I10" t="inlineStr">
        <is>
          <t>PJM</t>
        </is>
      </c>
      <c r="J10" t="n">
        <v>1433528.6</v>
      </c>
      <c r="K10" t="n">
        <v>9161728</v>
      </c>
      <c r="L10" t="n">
        <v>964802</v>
      </c>
      <c r="M10" t="n">
        <v>431603.3</v>
      </c>
      <c r="N10" t="n">
        <v>2872532</v>
      </c>
      <c r="O10" t="n">
        <v>92791</v>
      </c>
      <c r="P10" t="n">
        <v>25978.7</v>
      </c>
      <c r="Q10" t="n">
        <v>187495</v>
      </c>
      <c r="R10" t="n">
        <v>1162</v>
      </c>
      <c r="S10" t="n">
        <v>0</v>
      </c>
      <c r="T10" t="n">
        <v>0</v>
      </c>
      <c r="U10" t="n">
        <v>0</v>
      </c>
      <c r="V10" t="n">
        <v>1891110.6</v>
      </c>
      <c r="W10" t="n">
        <v>12221755</v>
      </c>
      <c r="X10" t="n">
        <v>1058755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9726</v>
      </c>
      <c r="C11" t="inlineStr">
        <is>
          <t>Jersey Central Power &amp; Lt Co</t>
        </is>
      </c>
      <c r="D11" t="inlineStr">
        <is>
          <t>C</t>
        </is>
      </c>
      <c r="E11" t="inlineStr">
        <is>
          <t>Delivery</t>
        </is>
      </c>
      <c r="F11" t="inlineStr">
        <is>
          <t>O</t>
        </is>
      </c>
      <c r="G11" t="inlineStr">
        <is>
          <t>NJ</t>
        </is>
      </c>
      <c r="H11" t="inlineStr">
        <is>
          <t>Investor Owned</t>
        </is>
      </c>
      <c r="I11" t="inlineStr">
        <is>
          <t>PJM</t>
        </is>
      </c>
      <c r="J11" t="n">
        <v>33982.5</v>
      </c>
      <c r="K11" t="n">
        <v>643407</v>
      </c>
      <c r="L11" t="n">
        <v>73456</v>
      </c>
      <c r="M11" t="n">
        <v>214375.8</v>
      </c>
      <c r="N11" t="n">
        <v>5392193</v>
      </c>
      <c r="O11" t="n">
        <v>38571</v>
      </c>
      <c r="P11" t="n">
        <v>41829.7</v>
      </c>
      <c r="Q11" t="n">
        <v>1508518</v>
      </c>
      <c r="R11" t="n">
        <v>1054</v>
      </c>
      <c r="S11" t="n">
        <v>1727.9</v>
      </c>
      <c r="T11" t="n">
        <v>83693</v>
      </c>
      <c r="U11" t="n">
        <v>1</v>
      </c>
      <c r="V11" t="n">
        <v>291915.9</v>
      </c>
      <c r="W11" t="n">
        <v>7627811</v>
      </c>
      <c r="X11" t="n">
        <v>113082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13374</v>
      </c>
      <c r="C12" t="inlineStr">
        <is>
          <t>Constellation NewEnergy, Inc</t>
        </is>
      </c>
      <c r="D12" t="inlineStr">
        <is>
          <t>B</t>
        </is>
      </c>
      <c r="E12" t="inlineStr">
        <is>
          <t>Energy</t>
        </is>
      </c>
      <c r="F12" t="inlineStr">
        <is>
          <t>O</t>
        </is>
      </c>
      <c r="G12" t="inlineStr">
        <is>
          <t>NJ</t>
        </is>
      </c>
      <c r="H12" t="inlineStr">
        <is>
          <t>Retail Power Marketer</t>
        </is>
      </c>
      <c r="I12" t="inlineStr">
        <is>
          <t>PJM</t>
        </is>
      </c>
      <c r="J12" t="n">
        <v>6105.1</v>
      </c>
      <c r="K12" t="n">
        <v>51421</v>
      </c>
      <c r="L12" t="n">
        <v>5262</v>
      </c>
      <c r="M12" t="n">
        <v>758019.6</v>
      </c>
      <c r="N12" t="n">
        <v>8439873</v>
      </c>
      <c r="O12" t="n">
        <v>37032</v>
      </c>
      <c r="P12" t="n">
        <v>51389.5</v>
      </c>
      <c r="Q12" t="n">
        <v>601279</v>
      </c>
      <c r="R12" t="n">
        <v>298</v>
      </c>
      <c r="S12" t="n">
        <v>3753.2</v>
      </c>
      <c r="T12" t="n">
        <v>38411</v>
      </c>
      <c r="U12" t="n">
        <v>1</v>
      </c>
      <c r="V12" t="n">
        <v>819267.4</v>
      </c>
      <c r="W12" t="n">
        <v>9130984</v>
      </c>
      <c r="X12" t="n">
        <v>42593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15477</v>
      </c>
      <c r="C13" t="inlineStr">
        <is>
          <t>Public Service Elec &amp; Gas Co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NJ</t>
        </is>
      </c>
      <c r="H13" t="inlineStr">
        <is>
          <t>Investor Owned</t>
        </is>
      </c>
      <c r="I13" t="inlineStr">
        <is>
          <t>PJM</t>
        </is>
      </c>
      <c r="J13" t="n">
        <v>2725411.6</v>
      </c>
      <c r="K13" t="n">
        <v>13348755</v>
      </c>
      <c r="L13" t="n">
        <v>1966950</v>
      </c>
      <c r="M13" t="n">
        <v>1504587.6</v>
      </c>
      <c r="N13" t="n">
        <v>10245325</v>
      </c>
      <c r="O13" t="n">
        <v>272523</v>
      </c>
      <c r="P13" t="n">
        <v>105299.5</v>
      </c>
      <c r="Q13" t="n">
        <v>1257792</v>
      </c>
      <c r="R13" t="n">
        <v>6931</v>
      </c>
      <c r="S13" t="n">
        <v>3222</v>
      </c>
      <c r="T13" t="n">
        <v>29253</v>
      </c>
      <c r="U13" t="n">
        <v>1</v>
      </c>
      <c r="V13" t="n">
        <v>4338520.7</v>
      </c>
      <c r="W13" t="n">
        <v>24881125</v>
      </c>
      <c r="X13" t="n">
        <v>2246405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15477</v>
      </c>
      <c r="C14" t="inlineStr">
        <is>
          <t>Public Service Elec &amp; Gas Co</t>
        </is>
      </c>
      <c r="D14" t="inlineStr">
        <is>
          <t>C</t>
        </is>
      </c>
      <c r="E14" t="inlineStr">
        <is>
          <t>Delivery</t>
        </is>
      </c>
      <c r="F14" t="inlineStr">
        <is>
          <t>O</t>
        </is>
      </c>
      <c r="G14" t="inlineStr">
        <is>
          <t>NJ</t>
        </is>
      </c>
      <c r="H14" t="inlineStr">
        <is>
          <t>Investor Owned</t>
        </is>
      </c>
      <c r="I14" t="inlineStr">
        <is>
          <t>PJM</t>
        </is>
      </c>
      <c r="J14" t="n">
        <v>29133.4</v>
      </c>
      <c r="K14" t="n">
        <v>558389</v>
      </c>
      <c r="L14" t="n">
        <v>89281</v>
      </c>
      <c r="M14" t="n">
        <v>639287.6</v>
      </c>
      <c r="N14" t="n">
        <v>12500054</v>
      </c>
      <c r="O14" t="n">
        <v>52626</v>
      </c>
      <c r="P14" t="n">
        <v>122436.6</v>
      </c>
      <c r="Q14" t="n">
        <v>2431307</v>
      </c>
      <c r="R14" t="n">
        <v>1448</v>
      </c>
      <c r="S14" t="n">
        <v>6715.6</v>
      </c>
      <c r="T14" t="n">
        <v>287832</v>
      </c>
      <c r="U14" t="n">
        <v>5</v>
      </c>
      <c r="V14" t="n">
        <v>797573.2</v>
      </c>
      <c r="W14" t="n">
        <v>15777582</v>
      </c>
      <c r="X14" t="n">
        <v>143360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16213</v>
      </c>
      <c r="C15" t="inlineStr">
        <is>
          <t>Rockland Electric Co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NJ</t>
        </is>
      </c>
      <c r="H15" t="inlineStr">
        <is>
          <t>Investor Owned</t>
        </is>
      </c>
      <c r="I15" t="inlineStr">
        <is>
          <t>PJM</t>
        </is>
      </c>
      <c r="J15" t="n">
        <v>149165.1</v>
      </c>
      <c r="K15" t="n">
        <v>708844</v>
      </c>
      <c r="L15" t="n">
        <v>63679</v>
      </c>
      <c r="M15" t="n">
        <v>64063.6</v>
      </c>
      <c r="N15" t="n">
        <v>333254</v>
      </c>
      <c r="O15" t="n">
        <v>8283</v>
      </c>
      <c r="P15" t="n">
        <v>4295.7</v>
      </c>
      <c r="Q15" t="n">
        <v>34662</v>
      </c>
      <c r="R15" t="n">
        <v>13</v>
      </c>
      <c r="S15" t="n">
        <v>0</v>
      </c>
      <c r="T15" t="n">
        <v>0</v>
      </c>
      <c r="U15" t="n">
        <v>0</v>
      </c>
      <c r="V15" t="n">
        <v>217524.4</v>
      </c>
      <c r="W15" t="n">
        <v>1076760</v>
      </c>
      <c r="X15" t="n">
        <v>71975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16213</v>
      </c>
      <c r="C16" t="inlineStr">
        <is>
          <t>Rockland Electric Co</t>
        </is>
      </c>
      <c r="D16" t="inlineStr">
        <is>
          <t>C</t>
        </is>
      </c>
      <c r="E16" t="inlineStr">
        <is>
          <t>Delivery</t>
        </is>
      </c>
      <c r="F16" t="inlineStr">
        <is>
          <t>O</t>
        </is>
      </c>
      <c r="G16" t="inlineStr">
        <is>
          <t>NJ</t>
        </is>
      </c>
      <c r="H16" t="inlineStr">
        <is>
          <t>Investor Owned</t>
        </is>
      </c>
      <c r="I16" t="inlineStr">
        <is>
          <t>NYIS</t>
        </is>
      </c>
      <c r="J16" t="n">
        <v>417.7</v>
      </c>
      <c r="K16" t="n">
        <v>4426</v>
      </c>
      <c r="L16" t="n">
        <v>471</v>
      </c>
      <c r="M16" t="n">
        <v>1596.1</v>
      </c>
      <c r="N16" t="n">
        <v>30851</v>
      </c>
      <c r="O16" t="n">
        <v>142</v>
      </c>
      <c r="P16" t="n">
        <v>295.8</v>
      </c>
      <c r="Q16" t="n">
        <v>2759</v>
      </c>
      <c r="R16" t="n">
        <v>3</v>
      </c>
      <c r="S16" t="n">
        <v>0</v>
      </c>
      <c r="T16" t="n">
        <v>0</v>
      </c>
      <c r="U16" t="n">
        <v>0</v>
      </c>
      <c r="V16" t="n">
        <v>2309.6</v>
      </c>
      <c r="W16" t="n">
        <v>38036</v>
      </c>
      <c r="X16" t="n">
        <v>616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16213</v>
      </c>
      <c r="C17" t="inlineStr">
        <is>
          <t>Rockland Electric Co</t>
        </is>
      </c>
      <c r="D17" t="inlineStr">
        <is>
          <t>C</t>
        </is>
      </c>
      <c r="E17" t="inlineStr">
        <is>
          <t>Delivery</t>
        </is>
      </c>
      <c r="F17" t="inlineStr">
        <is>
          <t>O</t>
        </is>
      </c>
      <c r="G17" t="inlineStr">
        <is>
          <t>NJ</t>
        </is>
      </c>
      <c r="H17" t="inlineStr">
        <is>
          <t>Investor Owned</t>
        </is>
      </c>
      <c r="I17" t="inlineStr">
        <is>
          <t>PJM</t>
        </is>
      </c>
      <c r="J17" t="n">
        <v>2417.2</v>
      </c>
      <c r="K17" t="n">
        <v>30737</v>
      </c>
      <c r="L17" t="n">
        <v>2210</v>
      </c>
      <c r="M17" t="n">
        <v>22578.8</v>
      </c>
      <c r="N17" t="n">
        <v>432285</v>
      </c>
      <c r="O17" t="n">
        <v>1228</v>
      </c>
      <c r="P17" t="n">
        <v>187.4</v>
      </c>
      <c r="Q17" t="n">
        <v>3331</v>
      </c>
      <c r="R17" t="n">
        <v>5</v>
      </c>
      <c r="S17" t="n">
        <v>0</v>
      </c>
      <c r="T17" t="n">
        <v>0</v>
      </c>
      <c r="U17" t="n">
        <v>0</v>
      </c>
      <c r="V17" t="n">
        <v>25183.4</v>
      </c>
      <c r="W17" t="n">
        <v>466353</v>
      </c>
      <c r="X17" t="n">
        <v>3443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16840</v>
      </c>
      <c r="C18" t="inlineStr">
        <is>
          <t>Calpine Energy Solutions, LLC</t>
        </is>
      </c>
      <c r="D18" t="inlineStr">
        <is>
          <t>B</t>
        </is>
      </c>
      <c r="E18" t="inlineStr">
        <is>
          <t>Energy</t>
        </is>
      </c>
      <c r="F18" t="inlineStr">
        <is>
          <t>O</t>
        </is>
      </c>
      <c r="G18" t="inlineStr">
        <is>
          <t>NJ</t>
        </is>
      </c>
      <c r="H18" t="inlineStr">
        <is>
          <t>Retail Power Marketer</t>
        </is>
      </c>
      <c r="I18" t="inlineStr">
        <is>
          <t>PJM</t>
        </is>
      </c>
      <c r="J18" t="n">
        <v>0</v>
      </c>
      <c r="K18" t="n">
        <v>0</v>
      </c>
      <c r="L18" t="n">
        <v>0</v>
      </c>
      <c r="M18" t="n">
        <v>146455.5</v>
      </c>
      <c r="N18" t="n">
        <v>1777257</v>
      </c>
      <c r="O18" t="n">
        <v>42</v>
      </c>
      <c r="P18" t="n">
        <v>9138.299999999999</v>
      </c>
      <c r="Q18" t="n">
        <v>106333</v>
      </c>
      <c r="R18" t="n">
        <v>5</v>
      </c>
      <c r="S18" t="n">
        <v>0</v>
      </c>
      <c r="T18" t="n">
        <v>0</v>
      </c>
      <c r="U18" t="n">
        <v>0</v>
      </c>
      <c r="V18" t="n">
        <v>155593.8</v>
      </c>
      <c r="W18" t="n">
        <v>1883590</v>
      </c>
      <c r="X18" t="n">
        <v>47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18193</v>
      </c>
      <c r="C19" t="inlineStr">
        <is>
          <t>Direct Energy Business</t>
        </is>
      </c>
      <c r="D19" t="inlineStr">
        <is>
          <t>B</t>
        </is>
      </c>
      <c r="E19" t="inlineStr">
        <is>
          <t>Energy</t>
        </is>
      </c>
      <c r="F19" t="inlineStr">
        <is>
          <t>O</t>
        </is>
      </c>
      <c r="G19" t="inlineStr">
        <is>
          <t>NJ</t>
        </is>
      </c>
      <c r="H19" t="inlineStr">
        <is>
          <t>Retail Power Marketer</t>
        </is>
      </c>
      <c r="I19" t="inlineStr">
        <is>
          <t>PJM</t>
        </is>
      </c>
      <c r="J19" t="n">
        <v>0</v>
      </c>
      <c r="K19" t="n">
        <v>0</v>
      </c>
      <c r="L19" t="n">
        <v>0</v>
      </c>
      <c r="M19" t="n">
        <v>62973.8</v>
      </c>
      <c r="N19" t="n">
        <v>655913</v>
      </c>
      <c r="O19" t="n">
        <v>1851</v>
      </c>
      <c r="P19" t="n">
        <v>317162.5</v>
      </c>
      <c r="Q19" t="n">
        <v>3397394</v>
      </c>
      <c r="R19" t="n">
        <v>372</v>
      </c>
      <c r="S19" t="n">
        <v>11670</v>
      </c>
      <c r="T19" t="n">
        <v>135827</v>
      </c>
      <c r="U19" t="n">
        <v>1</v>
      </c>
      <c r="V19" t="n">
        <v>391806.3</v>
      </c>
      <c r="W19" t="n">
        <v>4189134</v>
      </c>
      <c r="X19" t="n">
        <v>2224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19107</v>
      </c>
      <c r="C20" t="inlineStr">
        <is>
          <t>ENGIE Resources LLC</t>
        </is>
      </c>
      <c r="D20" t="inlineStr">
        <is>
          <t>B</t>
        </is>
      </c>
      <c r="E20" t="inlineStr">
        <is>
          <t>Energy</t>
        </is>
      </c>
      <c r="F20" t="inlineStr">
        <is>
          <t>O</t>
        </is>
      </c>
      <c r="G20" t="inlineStr">
        <is>
          <t>NJ</t>
        </is>
      </c>
      <c r="H20" t="inlineStr">
        <is>
          <t>Retail Power Marketer</t>
        </is>
      </c>
      <c r="I20" t="inlineStr">
        <is>
          <t>PJM</t>
        </is>
      </c>
      <c r="J20" t="n">
        <v>0</v>
      </c>
      <c r="K20" t="n">
        <v>0</v>
      </c>
      <c r="L20" t="n">
        <v>0</v>
      </c>
      <c r="M20" t="n">
        <v>150766.2</v>
      </c>
      <c r="N20" t="n">
        <v>1597787</v>
      </c>
      <c r="O20" t="n">
        <v>654</v>
      </c>
      <c r="P20" t="n">
        <v>9113.1</v>
      </c>
      <c r="Q20" t="n">
        <v>96579</v>
      </c>
      <c r="R20" t="n">
        <v>40</v>
      </c>
      <c r="S20" t="n">
        <v>0</v>
      </c>
      <c r="T20" t="n">
        <v>0</v>
      </c>
      <c r="U20" t="n">
        <v>0</v>
      </c>
      <c r="V20" t="n">
        <v>159879.3</v>
      </c>
      <c r="W20" t="n">
        <v>1694366</v>
      </c>
      <c r="X20" t="n">
        <v>694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19126</v>
      </c>
      <c r="C21" t="inlineStr">
        <is>
          <t>TriEagle Energy, L.P.</t>
        </is>
      </c>
      <c r="D21" t="inlineStr">
        <is>
          <t>B</t>
        </is>
      </c>
      <c r="E21" t="inlineStr">
        <is>
          <t>Energy</t>
        </is>
      </c>
      <c r="F21" t="inlineStr">
        <is>
          <t>O</t>
        </is>
      </c>
      <c r="G21" t="inlineStr">
        <is>
          <t>NJ</t>
        </is>
      </c>
      <c r="H21" t="inlineStr">
        <is>
          <t>Retail Power Marketer</t>
        </is>
      </c>
      <c r="I21" t="inlineStr">
        <is>
          <t>PJM</t>
        </is>
      </c>
      <c r="J21" t="n">
        <v>615.1</v>
      </c>
      <c r="K21" t="n">
        <v>4316</v>
      </c>
      <c r="L21" t="n">
        <v>342</v>
      </c>
      <c r="M21" t="n">
        <v>1584.5</v>
      </c>
      <c r="N21" t="n">
        <v>13905</v>
      </c>
      <c r="O21" t="n">
        <v>169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2199.6</v>
      </c>
      <c r="W21" t="n">
        <v>18221</v>
      </c>
      <c r="X21" t="n">
        <v>511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19856</v>
      </c>
      <c r="C22" t="inlineStr">
        <is>
          <t>City of Vineland - (NJ)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NJ</t>
        </is>
      </c>
      <c r="H22" t="inlineStr">
        <is>
          <t>Municipal</t>
        </is>
      </c>
      <c r="I22" t="inlineStr">
        <is>
          <t>PJM</t>
        </is>
      </c>
      <c r="J22" t="n">
        <v>37399.4</v>
      </c>
      <c r="K22" t="n">
        <v>209692</v>
      </c>
      <c r="L22" t="n">
        <v>22774</v>
      </c>
      <c r="M22" t="n">
        <v>46966</v>
      </c>
      <c r="N22" t="n">
        <v>269223</v>
      </c>
      <c r="O22" t="n">
        <v>3071</v>
      </c>
      <c r="P22" t="n">
        <v>30946.3</v>
      </c>
      <c r="Q22" t="n">
        <v>228824</v>
      </c>
      <c r="R22" t="n">
        <v>60</v>
      </c>
      <c r="S22" t="n">
        <v>0</v>
      </c>
      <c r="T22" t="n">
        <v>0</v>
      </c>
      <c r="U22" t="n">
        <v>0</v>
      </c>
      <c r="V22" t="n">
        <v>115311.7</v>
      </c>
      <c r="W22" t="n">
        <v>707739</v>
      </c>
      <c r="X22" t="n">
        <v>25905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28802</v>
      </c>
      <c r="C23" t="inlineStr">
        <is>
          <t>Talen Energy Marketing, LLC</t>
        </is>
      </c>
      <c r="D23" t="inlineStr">
        <is>
          <t>B</t>
        </is>
      </c>
      <c r="E23" t="inlineStr">
        <is>
          <t>Energy</t>
        </is>
      </c>
      <c r="F23" t="inlineStr">
        <is>
          <t>O</t>
        </is>
      </c>
      <c r="G23" t="inlineStr">
        <is>
          <t>NJ</t>
        </is>
      </c>
      <c r="H23" t="inlineStr">
        <is>
          <t>Retail Power Marketer</t>
        </is>
      </c>
      <c r="I23" t="inlineStr">
        <is>
          <t>PJM</t>
        </is>
      </c>
      <c r="J23" t="inlineStr">
        <is>
          <t>.</t>
        </is>
      </c>
      <c r="K23" t="inlineStr">
        <is>
          <t>.</t>
        </is>
      </c>
      <c r="L23" t="inlineStr">
        <is>
          <t>.</t>
        </is>
      </c>
      <c r="M23" t="inlineStr">
        <is>
          <t>.</t>
        </is>
      </c>
      <c r="N23" t="inlineStr">
        <is>
          <t>.</t>
        </is>
      </c>
      <c r="O23" t="inlineStr">
        <is>
          <t>.</t>
        </is>
      </c>
      <c r="P23" t="n">
        <v>36</v>
      </c>
      <c r="Q23" t="n">
        <v>928</v>
      </c>
      <c r="R23" t="n">
        <v>1</v>
      </c>
      <c r="S23" t="inlineStr">
        <is>
          <t>.</t>
        </is>
      </c>
      <c r="T23" t="inlineStr">
        <is>
          <t>.</t>
        </is>
      </c>
      <c r="U23" t="inlineStr">
        <is>
          <t>.</t>
        </is>
      </c>
      <c r="V23" t="n">
        <v>36</v>
      </c>
      <c r="W23" t="n">
        <v>928</v>
      </c>
      <c r="X23" t="n">
        <v>1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50046</v>
      </c>
      <c r="C24" t="inlineStr">
        <is>
          <t>Texas Retail Energy, LLC</t>
        </is>
      </c>
      <c r="D24" t="inlineStr">
        <is>
          <t>B</t>
        </is>
      </c>
      <c r="E24" t="inlineStr">
        <is>
          <t>Energy</t>
        </is>
      </c>
      <c r="F24" t="inlineStr">
        <is>
          <t>O</t>
        </is>
      </c>
      <c r="G24" t="inlineStr">
        <is>
          <t>NJ</t>
        </is>
      </c>
      <c r="H24" t="inlineStr">
        <is>
          <t>Retail Power Marketer</t>
        </is>
      </c>
      <c r="I24" t="inlineStr">
        <is>
          <t>PJM</t>
        </is>
      </c>
      <c r="J24" t="n">
        <v>0</v>
      </c>
      <c r="K24" t="n">
        <v>0</v>
      </c>
      <c r="L24" t="n">
        <v>0</v>
      </c>
      <c r="M24" t="n">
        <v>14672.3</v>
      </c>
      <c r="N24" t="n">
        <v>182046</v>
      </c>
      <c r="O24" t="n">
        <v>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14672.3</v>
      </c>
      <c r="W24" t="n">
        <v>182046</v>
      </c>
      <c r="X24" t="n">
        <v>91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54820</v>
      </c>
      <c r="C25" t="inlineStr">
        <is>
          <t>Direct Energy Services</t>
        </is>
      </c>
      <c r="D25" t="inlineStr">
        <is>
          <t>B</t>
        </is>
      </c>
      <c r="E25" t="inlineStr">
        <is>
          <t>Energy</t>
        </is>
      </c>
      <c r="F25" t="inlineStr">
        <is>
          <t>O</t>
        </is>
      </c>
      <c r="G25" t="inlineStr">
        <is>
          <t>NJ</t>
        </is>
      </c>
      <c r="H25" t="inlineStr">
        <is>
          <t>Retail Power Marketer</t>
        </is>
      </c>
      <c r="I25" t="inlineStr">
        <is>
          <t>PJM</t>
        </is>
      </c>
      <c r="J25" t="n">
        <v>18770.9</v>
      </c>
      <c r="K25" t="n">
        <v>130025</v>
      </c>
      <c r="L25" t="n">
        <v>18448</v>
      </c>
      <c r="M25" t="n">
        <v>11816.3</v>
      </c>
      <c r="N25" t="n">
        <v>88778</v>
      </c>
      <c r="O25" t="n">
        <v>5772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30587.2</v>
      </c>
      <c r="W25" t="n">
        <v>218803</v>
      </c>
      <c r="X25" t="n">
        <v>24220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54862</v>
      </c>
      <c r="C26" t="inlineStr">
        <is>
          <t>Champion Energy Services</t>
        </is>
      </c>
      <c r="D26" t="inlineStr">
        <is>
          <t>B</t>
        </is>
      </c>
      <c r="E26" t="inlineStr">
        <is>
          <t>Energy</t>
        </is>
      </c>
      <c r="F26" t="inlineStr">
        <is>
          <t>O</t>
        </is>
      </c>
      <c r="G26" t="inlineStr">
        <is>
          <t>NJ</t>
        </is>
      </c>
      <c r="H26" t="inlineStr">
        <is>
          <t>Retail Power Marketer</t>
        </is>
      </c>
      <c r="I26" t="inlineStr">
        <is>
          <t>PJM</t>
        </is>
      </c>
      <c r="J26" t="n">
        <v>0</v>
      </c>
      <c r="K26" t="n">
        <v>0</v>
      </c>
      <c r="L26" t="n">
        <v>0</v>
      </c>
      <c r="M26" t="n">
        <v>37604.7</v>
      </c>
      <c r="N26" t="n">
        <v>459853</v>
      </c>
      <c r="O26" t="n">
        <v>1445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37604.7</v>
      </c>
      <c r="W26" t="n">
        <v>459853</v>
      </c>
      <c r="X26" t="n">
        <v>1445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55722</v>
      </c>
      <c r="C27" t="inlineStr">
        <is>
          <t>AEP Energy</t>
        </is>
      </c>
      <c r="D27" t="inlineStr">
        <is>
          <t>B</t>
        </is>
      </c>
      <c r="E27" t="inlineStr">
        <is>
          <t>Energy</t>
        </is>
      </c>
      <c r="F27" t="inlineStr">
        <is>
          <t>O</t>
        </is>
      </c>
      <c r="G27" t="inlineStr">
        <is>
          <t>NJ</t>
        </is>
      </c>
      <c r="H27" t="inlineStr">
        <is>
          <t>Retail Power Marketer</t>
        </is>
      </c>
      <c r="I27" t="inlineStr">
        <is>
          <t>PJM</t>
        </is>
      </c>
      <c r="J27" t="n">
        <v>42.2</v>
      </c>
      <c r="K27" t="n">
        <v>339</v>
      </c>
      <c r="L27" t="n">
        <v>18</v>
      </c>
      <c r="M27" t="n">
        <v>59415.8</v>
      </c>
      <c r="N27" t="n">
        <v>632768</v>
      </c>
      <c r="O27" t="n">
        <v>2077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59458</v>
      </c>
      <c r="W27" t="n">
        <v>633107</v>
      </c>
      <c r="X27" t="n">
        <v>2095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55815</v>
      </c>
      <c r="C28" t="inlineStr">
        <is>
          <t>IDT Energy, Inc.</t>
        </is>
      </c>
      <c r="D28" t="inlineStr">
        <is>
          <t>B</t>
        </is>
      </c>
      <c r="E28" t="inlineStr">
        <is>
          <t>Energy</t>
        </is>
      </c>
      <c r="F28" t="inlineStr">
        <is>
          <t>O</t>
        </is>
      </c>
      <c r="G28" t="inlineStr">
        <is>
          <t>NJ</t>
        </is>
      </c>
      <c r="H28" t="inlineStr">
        <is>
          <t>Retail Power Marketer</t>
        </is>
      </c>
      <c r="I28" t="inlineStr">
        <is>
          <t>PJM</t>
        </is>
      </c>
      <c r="J28" t="n">
        <v>12423</v>
      </c>
      <c r="K28" t="n">
        <v>104463</v>
      </c>
      <c r="L28" t="n">
        <v>11278</v>
      </c>
      <c r="M28" t="n">
        <v>1486.2</v>
      </c>
      <c r="N28" t="n">
        <v>10953</v>
      </c>
      <c r="O28" t="n">
        <v>196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13909.2</v>
      </c>
      <c r="W28" t="n">
        <v>115416</v>
      </c>
      <c r="X28" t="n">
        <v>11474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55874</v>
      </c>
      <c r="C29" t="inlineStr">
        <is>
          <t>Energy Services Providers, Inc</t>
        </is>
      </c>
      <c r="D29" t="inlineStr">
        <is>
          <t>B</t>
        </is>
      </c>
      <c r="E29" t="inlineStr">
        <is>
          <t>Energy</t>
        </is>
      </c>
      <c r="F29" t="inlineStr">
        <is>
          <t>O</t>
        </is>
      </c>
      <c r="G29" t="inlineStr">
        <is>
          <t>NJ</t>
        </is>
      </c>
      <c r="H29" t="inlineStr">
        <is>
          <t>Retail Power Marketer</t>
        </is>
      </c>
      <c r="I29" t="inlineStr">
        <is>
          <t>PJM</t>
        </is>
      </c>
      <c r="J29" t="n">
        <v>2537.6</v>
      </c>
      <c r="K29" t="n">
        <v>14920</v>
      </c>
      <c r="L29" t="n">
        <v>2904</v>
      </c>
      <c r="M29" t="n">
        <v>4590.3</v>
      </c>
      <c r="N29" t="n">
        <v>38053</v>
      </c>
      <c r="O29" t="n">
        <v>623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7127.9</v>
      </c>
      <c r="W29" t="n">
        <v>52973</v>
      </c>
      <c r="X29" t="n">
        <v>3527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55878</v>
      </c>
      <c r="C30" t="inlineStr">
        <is>
          <t>Hudson Energy Services</t>
        </is>
      </c>
      <c r="D30" t="inlineStr">
        <is>
          <t>B</t>
        </is>
      </c>
      <c r="E30" t="inlineStr">
        <is>
          <t>Energy</t>
        </is>
      </c>
      <c r="F30" t="inlineStr">
        <is>
          <t>O</t>
        </is>
      </c>
      <c r="G30" t="inlineStr">
        <is>
          <t>NJ</t>
        </is>
      </c>
      <c r="H30" t="inlineStr">
        <is>
          <t>Retail Power Marketer</t>
        </is>
      </c>
      <c r="I30" t="inlineStr">
        <is>
          <t>PJM</t>
        </is>
      </c>
      <c r="J30" t="n">
        <v>0</v>
      </c>
      <c r="K30" t="n">
        <v>0</v>
      </c>
      <c r="L30" t="n">
        <v>0</v>
      </c>
      <c r="M30" t="n">
        <v>47992.8</v>
      </c>
      <c r="N30" t="n">
        <v>465687</v>
      </c>
      <c r="O30" t="n">
        <v>4520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47992.8</v>
      </c>
      <c r="W30" t="n">
        <v>465687</v>
      </c>
      <c r="X30" t="n">
        <v>4520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56212</v>
      </c>
      <c r="C31" t="inlineStr">
        <is>
          <t>Ambit Energy Holdings, LLC</t>
        </is>
      </c>
      <c r="D31" t="inlineStr">
        <is>
          <t>B</t>
        </is>
      </c>
      <c r="E31" t="inlineStr">
        <is>
          <t>Energy</t>
        </is>
      </c>
      <c r="F31" t="inlineStr">
        <is>
          <t>O</t>
        </is>
      </c>
      <c r="G31" t="inlineStr">
        <is>
          <t>NJ</t>
        </is>
      </c>
      <c r="H31" t="inlineStr">
        <is>
          <t>Retail Power Marketer</t>
        </is>
      </c>
      <c r="I31" t="inlineStr">
        <is>
          <t>PJM</t>
        </is>
      </c>
      <c r="J31" t="n">
        <v>8882</v>
      </c>
      <c r="K31" t="n">
        <v>57920</v>
      </c>
      <c r="L31" t="n">
        <v>5962</v>
      </c>
      <c r="M31" t="n">
        <v>3805</v>
      </c>
      <c r="N31" t="n">
        <v>28655</v>
      </c>
      <c r="O31" t="n">
        <v>1228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12687</v>
      </c>
      <c r="W31" t="n">
        <v>86575</v>
      </c>
      <c r="X31" t="n">
        <v>7190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56265</v>
      </c>
      <c r="C32" t="inlineStr">
        <is>
          <t>Energy Plus Holdings LLC</t>
        </is>
      </c>
      <c r="D32" t="inlineStr">
        <is>
          <t>B</t>
        </is>
      </c>
      <c r="E32" t="inlineStr">
        <is>
          <t>Energy</t>
        </is>
      </c>
      <c r="F32" t="inlineStr">
        <is>
          <t>O</t>
        </is>
      </c>
      <c r="G32" t="inlineStr">
        <is>
          <t>NJ</t>
        </is>
      </c>
      <c r="H32" t="inlineStr">
        <is>
          <t>Retail Power Marketer</t>
        </is>
      </c>
      <c r="I32" t="inlineStr">
        <is>
          <t>PJM</t>
        </is>
      </c>
      <c r="J32" t="n">
        <v>5442.3</v>
      </c>
      <c r="K32" t="n">
        <v>29633</v>
      </c>
      <c r="L32" t="n">
        <v>3654</v>
      </c>
      <c r="M32" t="n">
        <v>1080.4</v>
      </c>
      <c r="N32" t="n">
        <v>5883</v>
      </c>
      <c r="O32" t="n">
        <v>402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6522.7</v>
      </c>
      <c r="W32" t="n">
        <v>35516</v>
      </c>
      <c r="X32" t="n">
        <v>4056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56286</v>
      </c>
      <c r="C33" t="inlineStr">
        <is>
          <t>Frontier Utilities, LLC</t>
        </is>
      </c>
      <c r="D33" t="inlineStr">
        <is>
          <t>B</t>
        </is>
      </c>
      <c r="E33" t="inlineStr">
        <is>
          <t>Energy</t>
        </is>
      </c>
      <c r="F33" t="inlineStr">
        <is>
          <t>O</t>
        </is>
      </c>
      <c r="G33" t="inlineStr">
        <is>
          <t>NJ</t>
        </is>
      </c>
      <c r="H33" t="inlineStr">
        <is>
          <t>Retail Power Marketer</t>
        </is>
      </c>
      <c r="I33" t="inlineStr">
        <is>
          <t>PJM</t>
        </is>
      </c>
      <c r="J33" t="n">
        <v>821.8</v>
      </c>
      <c r="K33" t="n">
        <v>4646</v>
      </c>
      <c r="L33" t="n">
        <v>495</v>
      </c>
      <c r="M33" t="inlineStr">
        <is>
          <t>.</t>
        </is>
      </c>
      <c r="N33" t="inlineStr">
        <is>
          <t>.</t>
        </is>
      </c>
      <c r="O33" t="inlineStr">
        <is>
          <t>.</t>
        </is>
      </c>
      <c r="P33" t="inlineStr">
        <is>
          <t>.</t>
        </is>
      </c>
      <c r="Q33" t="inlineStr">
        <is>
          <t>.</t>
        </is>
      </c>
      <c r="R33" t="inlineStr">
        <is>
          <t>.</t>
        </is>
      </c>
      <c r="S33" t="inlineStr">
        <is>
          <t>.</t>
        </is>
      </c>
      <c r="T33" t="inlineStr">
        <is>
          <t>.</t>
        </is>
      </c>
      <c r="U33" t="inlineStr">
        <is>
          <t>.</t>
        </is>
      </c>
      <c r="V33" t="n">
        <v>821.8</v>
      </c>
      <c r="W33" t="n">
        <v>4646</v>
      </c>
      <c r="X33" t="n">
        <v>495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56408</v>
      </c>
      <c r="C34" t="inlineStr">
        <is>
          <t>UGI Energy Services, LLC</t>
        </is>
      </c>
      <c r="D34" t="inlineStr">
        <is>
          <t>B</t>
        </is>
      </c>
      <c r="E34" t="inlineStr">
        <is>
          <t>Energy</t>
        </is>
      </c>
      <c r="F34" t="inlineStr">
        <is>
          <t>O</t>
        </is>
      </c>
      <c r="G34" t="inlineStr">
        <is>
          <t>NJ</t>
        </is>
      </c>
      <c r="H34" t="inlineStr">
        <is>
          <t>Retail Power Marketer</t>
        </is>
      </c>
      <c r="I34" t="inlineStr">
        <is>
          <t>PJM</t>
        </is>
      </c>
      <c r="J34" t="n">
        <v>0</v>
      </c>
      <c r="K34" t="n">
        <v>0</v>
      </c>
      <c r="L34" t="n">
        <v>0</v>
      </c>
      <c r="M34" t="n">
        <v>6026.7</v>
      </c>
      <c r="N34" t="n">
        <v>72789</v>
      </c>
      <c r="O34" t="n">
        <v>330</v>
      </c>
      <c r="P34" t="n">
        <v>800.2</v>
      </c>
      <c r="Q34" t="n">
        <v>9048</v>
      </c>
      <c r="R34" t="n">
        <v>20</v>
      </c>
      <c r="S34" t="n">
        <v>0</v>
      </c>
      <c r="T34" t="n">
        <v>0</v>
      </c>
      <c r="U34" t="n">
        <v>0</v>
      </c>
      <c r="V34" t="n">
        <v>6826.9</v>
      </c>
      <c r="W34" t="n">
        <v>81837</v>
      </c>
      <c r="X34" t="n">
        <v>350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56501</v>
      </c>
      <c r="C35" t="inlineStr">
        <is>
          <t>Palmco Power NJ, LLC</t>
        </is>
      </c>
      <c r="D35" t="inlineStr">
        <is>
          <t>B</t>
        </is>
      </c>
      <c r="E35" t="inlineStr">
        <is>
          <t>Energy</t>
        </is>
      </c>
      <c r="F35" t="inlineStr">
        <is>
          <t>O</t>
        </is>
      </c>
      <c r="G35" t="inlineStr">
        <is>
          <t>NJ</t>
        </is>
      </c>
      <c r="H35" t="inlineStr">
        <is>
          <t>Retail Power Marketer</t>
        </is>
      </c>
      <c r="I35" t="inlineStr">
        <is>
          <t>PJM</t>
        </is>
      </c>
      <c r="J35" t="n">
        <v>6851.2</v>
      </c>
      <c r="K35" t="n">
        <v>30144</v>
      </c>
      <c r="L35" t="n">
        <v>7102</v>
      </c>
      <c r="M35" t="n">
        <v>1908.7</v>
      </c>
      <c r="N35" t="n">
        <v>16673</v>
      </c>
      <c r="O35" t="n">
        <v>109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8759.9</v>
      </c>
      <c r="W35" t="n">
        <v>46817</v>
      </c>
      <c r="X35" t="n">
        <v>7211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56571</v>
      </c>
      <c r="C36" t="inlineStr">
        <is>
          <t>AP Holdings LLC</t>
        </is>
      </c>
      <c r="D36" t="inlineStr">
        <is>
          <t>B</t>
        </is>
      </c>
      <c r="E36" t="inlineStr">
        <is>
          <t>Energy</t>
        </is>
      </c>
      <c r="F36" t="inlineStr">
        <is>
          <t>O</t>
        </is>
      </c>
      <c r="G36" t="inlineStr">
        <is>
          <t>NJ</t>
        </is>
      </c>
      <c r="H36" t="inlineStr">
        <is>
          <t>Retail Power Marketer</t>
        </is>
      </c>
      <c r="I36" t="inlineStr">
        <is>
          <t>PJM</t>
        </is>
      </c>
      <c r="J36" t="n">
        <v>248.8</v>
      </c>
      <c r="K36" t="n">
        <v>1294</v>
      </c>
      <c r="L36" t="n">
        <v>224</v>
      </c>
      <c r="M36" t="n">
        <v>10631</v>
      </c>
      <c r="N36" t="n">
        <v>93713</v>
      </c>
      <c r="O36" t="n">
        <v>1028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10879.8</v>
      </c>
      <c r="W36" t="n">
        <v>95007</v>
      </c>
      <c r="X36" t="n">
        <v>1252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57037</v>
      </c>
      <c r="C37" t="inlineStr">
        <is>
          <t>Reliant Energy Northeast LLC</t>
        </is>
      </c>
      <c r="D37" t="inlineStr">
        <is>
          <t>B</t>
        </is>
      </c>
      <c r="E37" t="inlineStr">
        <is>
          <t>Energy</t>
        </is>
      </c>
      <c r="F37" t="inlineStr">
        <is>
          <t>O</t>
        </is>
      </c>
      <c r="G37" t="inlineStr">
        <is>
          <t>NJ</t>
        </is>
      </c>
      <c r="H37" t="inlineStr">
        <is>
          <t>Retail Power Marketer</t>
        </is>
      </c>
      <c r="I37" t="inlineStr">
        <is>
          <t>PJM</t>
        </is>
      </c>
      <c r="J37" t="n">
        <v>19149</v>
      </c>
      <c r="K37" t="n">
        <v>120757</v>
      </c>
      <c r="L37" t="n">
        <v>13872</v>
      </c>
      <c r="M37" t="n">
        <v>474</v>
      </c>
      <c r="N37" t="n">
        <v>2755</v>
      </c>
      <c r="O37" t="n">
        <v>62</v>
      </c>
      <c r="P37" t="n">
        <v>1790.2</v>
      </c>
      <c r="Q37" t="n">
        <v>25209</v>
      </c>
      <c r="R37" t="n">
        <v>7</v>
      </c>
      <c r="S37" t="n">
        <v>0</v>
      </c>
      <c r="T37" t="n">
        <v>0</v>
      </c>
      <c r="U37" t="n">
        <v>0</v>
      </c>
      <c r="V37" t="n">
        <v>21413.2</v>
      </c>
      <c r="W37" t="n">
        <v>148721</v>
      </c>
      <c r="X37" t="n">
        <v>13941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57074</v>
      </c>
      <c r="C38" t="inlineStr">
        <is>
          <t>Stream Energy New Jersey, LLC</t>
        </is>
      </c>
      <c r="D38" t="inlineStr">
        <is>
          <t>B</t>
        </is>
      </c>
      <c r="E38" t="inlineStr">
        <is>
          <t>Energy</t>
        </is>
      </c>
      <c r="F38" t="inlineStr">
        <is>
          <t>O</t>
        </is>
      </c>
      <c r="G38" t="inlineStr">
        <is>
          <t>NJ</t>
        </is>
      </c>
      <c r="H38" t="inlineStr">
        <is>
          <t>Retail Power Marketer</t>
        </is>
      </c>
      <c r="I38" t="inlineStr">
        <is>
          <t>PJM</t>
        </is>
      </c>
      <c r="J38" t="n">
        <v>8028</v>
      </c>
      <c r="K38" t="n">
        <v>43487</v>
      </c>
      <c r="L38" t="n">
        <v>5307</v>
      </c>
      <c r="M38" t="n">
        <v>2744</v>
      </c>
      <c r="N38" t="n">
        <v>17076</v>
      </c>
      <c r="O38" t="n">
        <v>617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10772</v>
      </c>
      <c r="W38" t="n">
        <v>60563</v>
      </c>
      <c r="X38" t="n">
        <v>5924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57307</v>
      </c>
      <c r="C39" t="inlineStr">
        <is>
          <t>ENGIE Power &amp; Gas LLC</t>
        </is>
      </c>
      <c r="D39" t="inlineStr">
        <is>
          <t>B</t>
        </is>
      </c>
      <c r="E39" t="inlineStr">
        <is>
          <t>Energy</t>
        </is>
      </c>
      <c r="F39" t="inlineStr">
        <is>
          <t>O</t>
        </is>
      </c>
      <c r="G39" t="inlineStr">
        <is>
          <t>NJ</t>
        </is>
      </c>
      <c r="H39" t="inlineStr">
        <is>
          <t>Retail Power Marketer</t>
        </is>
      </c>
      <c r="I39" t="inlineStr">
        <is>
          <t>PJM</t>
        </is>
      </c>
      <c r="J39" t="n">
        <v>759.1</v>
      </c>
      <c r="K39" t="n">
        <v>3686</v>
      </c>
      <c r="L39" t="n">
        <v>432</v>
      </c>
      <c r="M39" t="n">
        <v>4487.9</v>
      </c>
      <c r="N39" t="n">
        <v>39339</v>
      </c>
      <c r="O39" t="n">
        <v>265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5247</v>
      </c>
      <c r="W39" t="n">
        <v>43025</v>
      </c>
      <c r="X39" t="n">
        <v>697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57313</v>
      </c>
      <c r="C40" t="inlineStr">
        <is>
          <t>Tesla Inc.</t>
        </is>
      </c>
      <c r="D40" t="inlineStr">
        <is>
          <t>A</t>
        </is>
      </c>
      <c r="E40" t="inlineStr">
        <is>
          <t>Bundled</t>
        </is>
      </c>
      <c r="F40" t="inlineStr">
        <is>
          <t>O</t>
        </is>
      </c>
      <c r="G40" t="inlineStr">
        <is>
          <t>NJ</t>
        </is>
      </c>
      <c r="H40" t="inlineStr">
        <is>
          <t>Behind the Meter</t>
        </is>
      </c>
      <c r="I40" t="inlineStr">
        <is>
          <t>PJM</t>
        </is>
      </c>
      <c r="J40" t="n">
        <v>10864.9</v>
      </c>
      <c r="K40" t="n">
        <v>61641</v>
      </c>
      <c r="L40" t="n">
        <v>10055</v>
      </c>
      <c r="M40" t="n">
        <v>228</v>
      </c>
      <c r="N40" t="n">
        <v>2826</v>
      </c>
      <c r="O40" t="n">
        <v>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11092.9</v>
      </c>
      <c r="W40" t="n">
        <v>64467</v>
      </c>
      <c r="X40" t="n">
        <v>10131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57491</v>
      </c>
      <c r="C41" t="inlineStr">
        <is>
          <t>XOOM Energy New Jersey, LLC</t>
        </is>
      </c>
      <c r="D41" t="inlineStr">
        <is>
          <t>B</t>
        </is>
      </c>
      <c r="E41" t="inlineStr">
        <is>
          <t>Energy</t>
        </is>
      </c>
      <c r="F41" t="inlineStr">
        <is>
          <t>O</t>
        </is>
      </c>
      <c r="G41" t="inlineStr">
        <is>
          <t>NJ</t>
        </is>
      </c>
      <c r="H41" t="inlineStr">
        <is>
          <t>Retail Power Marketer</t>
        </is>
      </c>
      <c r="I41" t="inlineStr">
        <is>
          <t>PJM</t>
        </is>
      </c>
      <c r="J41" t="n">
        <v>3261</v>
      </c>
      <c r="K41" t="n">
        <v>19367</v>
      </c>
      <c r="L41" t="n">
        <v>2300</v>
      </c>
      <c r="M41" t="n">
        <v>2488</v>
      </c>
      <c r="N41" t="n">
        <v>13811</v>
      </c>
      <c r="O41" t="n">
        <v>813</v>
      </c>
      <c r="P41" t="inlineStr">
        <is>
          <t>.</t>
        </is>
      </c>
      <c r="Q41" t="inlineStr">
        <is>
          <t>.</t>
        </is>
      </c>
      <c r="R41" t="inlineStr">
        <is>
          <t>.</t>
        </is>
      </c>
      <c r="S41" t="inlineStr">
        <is>
          <t>.</t>
        </is>
      </c>
      <c r="T41" t="inlineStr">
        <is>
          <t>.</t>
        </is>
      </c>
      <c r="U41" t="inlineStr">
        <is>
          <t>.</t>
        </is>
      </c>
      <c r="V41" t="n">
        <v>5749</v>
      </c>
      <c r="W41" t="n">
        <v>33178</v>
      </c>
      <c r="X41" t="n">
        <v>3113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58162</v>
      </c>
      <c r="C42" t="inlineStr">
        <is>
          <t>Viridian Energy PA LLC</t>
        </is>
      </c>
      <c r="D42" t="inlineStr">
        <is>
          <t>B</t>
        </is>
      </c>
      <c r="E42" t="inlineStr">
        <is>
          <t>Energy</t>
        </is>
      </c>
      <c r="F42" t="inlineStr">
        <is>
          <t>O</t>
        </is>
      </c>
      <c r="G42" t="inlineStr">
        <is>
          <t>NJ</t>
        </is>
      </c>
      <c r="H42" t="inlineStr">
        <is>
          <t>Retail Power Marketer</t>
        </is>
      </c>
      <c r="I42" t="inlineStr">
        <is>
          <t>PJM</t>
        </is>
      </c>
      <c r="J42" t="n">
        <v>10559.1</v>
      </c>
      <c r="K42" t="n">
        <v>61283</v>
      </c>
      <c r="L42" t="n">
        <v>6908</v>
      </c>
      <c r="M42" t="n">
        <v>926.8</v>
      </c>
      <c r="N42" t="n">
        <v>5717</v>
      </c>
      <c r="O42" t="n">
        <v>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11485.9</v>
      </c>
      <c r="W42" t="n">
        <v>67000</v>
      </c>
      <c r="X42" t="n">
        <v>7316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58663</v>
      </c>
      <c r="C43" t="inlineStr">
        <is>
          <t>Respond Power LLC</t>
        </is>
      </c>
      <c r="D43" t="inlineStr">
        <is>
          <t>B</t>
        </is>
      </c>
      <c r="E43" t="inlineStr">
        <is>
          <t>Energy</t>
        </is>
      </c>
      <c r="F43" t="inlineStr">
        <is>
          <t>O</t>
        </is>
      </c>
      <c r="G43" t="inlineStr">
        <is>
          <t>NJ</t>
        </is>
      </c>
      <c r="H43" t="inlineStr">
        <is>
          <t>Retail Power Marketer</t>
        </is>
      </c>
      <c r="I43" t="inlineStr">
        <is>
          <t>PJM</t>
        </is>
      </c>
      <c r="J43" t="n">
        <v>2668</v>
      </c>
      <c r="K43" t="n">
        <v>15586</v>
      </c>
      <c r="L43" t="n">
        <v>3118</v>
      </c>
      <c r="M43" t="n">
        <v>2870</v>
      </c>
      <c r="N43" t="n">
        <v>21745</v>
      </c>
      <c r="O43" t="n">
        <v>289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5538</v>
      </c>
      <c r="W43" t="n">
        <v>37331</v>
      </c>
      <c r="X43" t="n">
        <v>3407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58667</v>
      </c>
      <c r="C44" t="inlineStr">
        <is>
          <t>North American Power and Gas, LLC</t>
        </is>
      </c>
      <c r="D44" t="inlineStr">
        <is>
          <t>B</t>
        </is>
      </c>
      <c r="E44" t="inlineStr">
        <is>
          <t>Energy</t>
        </is>
      </c>
      <c r="F44" t="inlineStr">
        <is>
          <t>O</t>
        </is>
      </c>
      <c r="G44" t="inlineStr">
        <is>
          <t>NJ</t>
        </is>
      </c>
      <c r="H44" t="inlineStr">
        <is>
          <t>Retail Power Marketer</t>
        </is>
      </c>
      <c r="I44" t="inlineStr">
        <is>
          <t>PJM</t>
        </is>
      </c>
      <c r="J44" t="n">
        <v>6926.6</v>
      </c>
      <c r="K44" t="n">
        <v>41084</v>
      </c>
      <c r="L44" t="n">
        <v>4140</v>
      </c>
      <c r="M44" t="n">
        <v>159.5</v>
      </c>
      <c r="N44" t="n">
        <v>937</v>
      </c>
      <c r="O44" t="n">
        <v>71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7086.1</v>
      </c>
      <c r="W44" t="n">
        <v>42021</v>
      </c>
      <c r="X44" t="n">
        <v>4211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58951</v>
      </c>
      <c r="C45" t="inlineStr">
        <is>
          <t>CleanChoice Energy, Inc.</t>
        </is>
      </c>
      <c r="D45" t="inlineStr">
        <is>
          <t>B</t>
        </is>
      </c>
      <c r="E45" t="inlineStr">
        <is>
          <t>Energy</t>
        </is>
      </c>
      <c r="F45" t="inlineStr">
        <is>
          <t>O</t>
        </is>
      </c>
      <c r="G45" t="inlineStr">
        <is>
          <t>NJ</t>
        </is>
      </c>
      <c r="H45" t="inlineStr">
        <is>
          <t>Retail Power Marketer</t>
        </is>
      </c>
      <c r="I45" t="inlineStr">
        <is>
          <t>PJM</t>
        </is>
      </c>
      <c r="J45" t="n">
        <v>15536</v>
      </c>
      <c r="K45" t="n">
        <v>72614</v>
      </c>
      <c r="L45" t="n">
        <v>11117</v>
      </c>
      <c r="M45" t="n">
        <v>391.3</v>
      </c>
      <c r="N45" t="n">
        <v>2562</v>
      </c>
      <c r="O45" t="n">
        <v>115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15927.3</v>
      </c>
      <c r="W45" t="n">
        <v>75176</v>
      </c>
      <c r="X45" t="n">
        <v>11232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58952</v>
      </c>
      <c r="C46" t="inlineStr">
        <is>
          <t>Tomorrow Energy Corp.</t>
        </is>
      </c>
      <c r="D46" t="inlineStr">
        <is>
          <t>B</t>
        </is>
      </c>
      <c r="E46" t="inlineStr">
        <is>
          <t>Energy</t>
        </is>
      </c>
      <c r="F46" t="inlineStr">
        <is>
          <t>O</t>
        </is>
      </c>
      <c r="G46" t="inlineStr">
        <is>
          <t>NJ</t>
        </is>
      </c>
      <c r="H46" t="inlineStr">
        <is>
          <t>Retail Power Marketer</t>
        </is>
      </c>
      <c r="I46" t="inlineStr">
        <is>
          <t>PJM</t>
        </is>
      </c>
      <c r="J46" t="n">
        <v>3032.2</v>
      </c>
      <c r="K46" t="n">
        <v>12754</v>
      </c>
      <c r="L46" t="n">
        <v>2166</v>
      </c>
      <c r="M46" t="n">
        <v>1.5</v>
      </c>
      <c r="N46" t="n">
        <v>4</v>
      </c>
      <c r="O46" t="n">
        <v>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3033.7</v>
      </c>
      <c r="W46" t="n">
        <v>12758</v>
      </c>
      <c r="X46" t="n">
        <v>2170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58956</v>
      </c>
      <c r="C47" t="inlineStr">
        <is>
          <t>SmartEnergy Holdings, LLC</t>
        </is>
      </c>
      <c r="D47" t="inlineStr">
        <is>
          <t>B</t>
        </is>
      </c>
      <c r="E47" t="inlineStr">
        <is>
          <t>Energy</t>
        </is>
      </c>
      <c r="F47" t="inlineStr">
        <is>
          <t>O</t>
        </is>
      </c>
      <c r="G47" t="inlineStr">
        <is>
          <t>NJ</t>
        </is>
      </c>
      <c r="H47" t="inlineStr">
        <is>
          <t>Retail Power Marketer</t>
        </is>
      </c>
      <c r="I47" t="inlineStr">
        <is>
          <t>PJM</t>
        </is>
      </c>
      <c r="J47" t="n">
        <v>25733.6</v>
      </c>
      <c r="K47" t="n">
        <v>126579</v>
      </c>
      <c r="L47" t="n">
        <v>22956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25733.6</v>
      </c>
      <c r="W47" t="n">
        <v>126579</v>
      </c>
      <c r="X47" t="n">
        <v>22956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58964</v>
      </c>
      <c r="C48" t="inlineStr">
        <is>
          <t>Alpha Gas and Electric, LLC</t>
        </is>
      </c>
      <c r="D48" t="inlineStr">
        <is>
          <t>B</t>
        </is>
      </c>
      <c r="E48" t="inlineStr">
        <is>
          <t>Energy</t>
        </is>
      </c>
      <c r="F48" t="inlineStr">
        <is>
          <t>O</t>
        </is>
      </c>
      <c r="G48" t="inlineStr">
        <is>
          <t>NJ</t>
        </is>
      </c>
      <c r="H48" t="inlineStr">
        <is>
          <t>Retail Power Marketer</t>
        </is>
      </c>
      <c r="I48" t="inlineStr">
        <is>
          <t>PJM</t>
        </is>
      </c>
      <c r="J48" t="n">
        <v>919.2</v>
      </c>
      <c r="K48" t="n">
        <v>5287</v>
      </c>
      <c r="L48" t="n">
        <v>901</v>
      </c>
      <c r="M48" t="n">
        <v>459.2</v>
      </c>
      <c r="N48" t="n">
        <v>2929</v>
      </c>
      <c r="O48" t="n">
        <v>13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1378.4</v>
      </c>
      <c r="W48" t="n">
        <v>8216</v>
      </c>
      <c r="X48" t="n">
        <v>914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58966</v>
      </c>
      <c r="C49" t="inlineStr">
        <is>
          <t>Marathon Power LLC</t>
        </is>
      </c>
      <c r="D49" t="inlineStr">
        <is>
          <t>B</t>
        </is>
      </c>
      <c r="E49" t="inlineStr">
        <is>
          <t>Energy</t>
        </is>
      </c>
      <c r="F49" t="inlineStr">
        <is>
          <t>O</t>
        </is>
      </c>
      <c r="G49" t="inlineStr">
        <is>
          <t>NJ</t>
        </is>
      </c>
      <c r="H49" t="inlineStr">
        <is>
          <t>Retail Power Marketer</t>
        </is>
      </c>
      <c r="I49" t="inlineStr">
        <is>
          <t>PJM</t>
        </is>
      </c>
      <c r="J49" t="n">
        <v>58.7</v>
      </c>
      <c r="K49" t="n">
        <v>378</v>
      </c>
      <c r="L49" t="n">
        <v>90</v>
      </c>
      <c r="M49" t="n">
        <v>6308.4</v>
      </c>
      <c r="N49" t="n">
        <v>60510</v>
      </c>
      <c r="O49" t="n">
        <v>684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6367.1</v>
      </c>
      <c r="W49" t="n">
        <v>60888</v>
      </c>
      <c r="X49" t="n">
        <v>774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58973</v>
      </c>
      <c r="C50" t="inlineStr">
        <is>
          <t>Town Square Energy East, LLC</t>
        </is>
      </c>
      <c r="D50" t="inlineStr">
        <is>
          <t>B</t>
        </is>
      </c>
      <c r="E50" t="inlineStr">
        <is>
          <t>Energy</t>
        </is>
      </c>
      <c r="F50" t="inlineStr">
        <is>
          <t>O</t>
        </is>
      </c>
      <c r="G50" t="inlineStr">
        <is>
          <t>NJ</t>
        </is>
      </c>
      <c r="H50" t="inlineStr">
        <is>
          <t>Retail Power Marketer</t>
        </is>
      </c>
      <c r="I50" t="inlineStr">
        <is>
          <t>PJM</t>
        </is>
      </c>
      <c r="J50" t="n">
        <v>134.8</v>
      </c>
      <c r="K50" t="n">
        <v>984</v>
      </c>
      <c r="L50" t="n">
        <v>137</v>
      </c>
      <c r="M50" t="n">
        <v>1.5</v>
      </c>
      <c r="N50" t="n">
        <v>12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136.3</v>
      </c>
      <c r="W50" t="n">
        <v>996</v>
      </c>
      <c r="X50" t="n">
        <v>139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58974</v>
      </c>
      <c r="C51" t="inlineStr">
        <is>
          <t>Clearview Electric Inc.</t>
        </is>
      </c>
      <c r="D51" t="inlineStr">
        <is>
          <t>B</t>
        </is>
      </c>
      <c r="E51" t="inlineStr">
        <is>
          <t>Energy</t>
        </is>
      </c>
      <c r="F51" t="inlineStr">
        <is>
          <t>O</t>
        </is>
      </c>
      <c r="G51" t="inlineStr">
        <is>
          <t>NJ</t>
        </is>
      </c>
      <c r="H51" t="inlineStr">
        <is>
          <t>Retail Power Marketer</t>
        </is>
      </c>
      <c r="I51" t="inlineStr">
        <is>
          <t>PJM</t>
        </is>
      </c>
      <c r="J51" t="n">
        <v>3811.8</v>
      </c>
      <c r="K51" t="n">
        <v>17460</v>
      </c>
      <c r="L51" t="n">
        <v>2197</v>
      </c>
      <c r="M51" t="n">
        <v>1359</v>
      </c>
      <c r="N51" t="n">
        <v>8164</v>
      </c>
      <c r="O51" t="n">
        <v>179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5170.8</v>
      </c>
      <c r="W51" t="n">
        <v>25624</v>
      </c>
      <c r="X51" t="n">
        <v>2376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  <row r="52">
      <c r="A52" t="n">
        <v>2024</v>
      </c>
      <c r="B52" t="n">
        <v>58978</v>
      </c>
      <c r="C52" t="inlineStr">
        <is>
          <t>Harborside Energy, LLC</t>
        </is>
      </c>
      <c r="D52" t="inlineStr">
        <is>
          <t>B</t>
        </is>
      </c>
      <c r="E52" t="inlineStr">
        <is>
          <t>Energy</t>
        </is>
      </c>
      <c r="F52" t="inlineStr">
        <is>
          <t>O</t>
        </is>
      </c>
      <c r="G52" t="inlineStr">
        <is>
          <t>NJ</t>
        </is>
      </c>
      <c r="H52" t="inlineStr">
        <is>
          <t>Retail Power Marketer</t>
        </is>
      </c>
      <c r="I52" t="inlineStr">
        <is>
          <t>PJM</t>
        </is>
      </c>
      <c r="J52" t="n">
        <v>313.4</v>
      </c>
      <c r="K52" t="n">
        <v>1446</v>
      </c>
      <c r="L52" t="n">
        <v>246</v>
      </c>
      <c r="M52" t="n">
        <v>65.7</v>
      </c>
      <c r="N52" t="n">
        <v>639</v>
      </c>
      <c r="O52" t="n">
        <v>4</v>
      </c>
      <c r="P52" t="inlineStr">
        <is>
          <t>.</t>
        </is>
      </c>
      <c r="Q52" t="inlineStr">
        <is>
          <t>.</t>
        </is>
      </c>
      <c r="R52" t="inlineStr">
        <is>
          <t>.</t>
        </is>
      </c>
      <c r="S52" t="inlineStr">
        <is>
          <t>.</t>
        </is>
      </c>
      <c r="T52" t="inlineStr">
        <is>
          <t>.</t>
        </is>
      </c>
      <c r="U52" t="inlineStr">
        <is>
          <t>.</t>
        </is>
      </c>
      <c r="V52" t="n">
        <v>379.1</v>
      </c>
      <c r="W52" t="n">
        <v>2085</v>
      </c>
      <c r="X52" t="n">
        <v>250</v>
      </c>
      <c r="Y52">
        <f>IF(ISNUMBER($W52),$W52,0)</f>
        <v/>
      </c>
      <c r="Z52">
        <f>IF(ISNUMBER(SEARCH("Adjustment",$C52)),"excluded",IF($H52="Behind the Meter","excluded",IF(NOT(OR($E52="Bundled",$E52="Energy")),"excluded",IF(OR($H52="Retail Power Marketer",$H52="Community Choice Aggregator",$E52="Energy"),"procurement",IF(OR($H52="Municipal",$H52="Cooperative",$H52="Federal",$H52="State",$H52="Political Subdivision"),"cost_service",IF($H52="Investor Owned",IF(AND(COUNTIF(Parameters!$A$4:$A$33,$G52)&gt;0,COUNTIF(Parameters!$B$4:$B$33,$B52)=0),"procurement","cost_service"),"unclassified"))))))</f>
        <v/>
      </c>
    </row>
    <row r="53">
      <c r="A53" t="n">
        <v>2024</v>
      </c>
      <c r="B53" t="n">
        <v>59054</v>
      </c>
      <c r="C53" t="inlineStr">
        <is>
          <t>Eligo Energy, LLC</t>
        </is>
      </c>
      <c r="D53" t="inlineStr">
        <is>
          <t>B</t>
        </is>
      </c>
      <c r="E53" t="inlineStr">
        <is>
          <t>Energy</t>
        </is>
      </c>
      <c r="F53" t="inlineStr">
        <is>
          <t>O</t>
        </is>
      </c>
      <c r="G53" t="inlineStr">
        <is>
          <t>NJ</t>
        </is>
      </c>
      <c r="H53" t="inlineStr">
        <is>
          <t>Retail Power Marketer</t>
        </is>
      </c>
      <c r="I53" t="inlineStr">
        <is>
          <t>PJM</t>
        </is>
      </c>
      <c r="J53" t="n">
        <v>1113.9</v>
      </c>
      <c r="K53" t="n">
        <v>7706</v>
      </c>
      <c r="L53" t="n">
        <v>666</v>
      </c>
      <c r="M53" t="n">
        <v>919.2</v>
      </c>
      <c r="N53" t="n">
        <v>7157</v>
      </c>
      <c r="O53" t="n">
        <v>228</v>
      </c>
      <c r="P53" t="inlineStr">
        <is>
          <t>.</t>
        </is>
      </c>
      <c r="Q53" t="inlineStr">
        <is>
          <t>.</t>
        </is>
      </c>
      <c r="R53" t="inlineStr">
        <is>
          <t>.</t>
        </is>
      </c>
      <c r="S53" t="inlineStr">
        <is>
          <t>.</t>
        </is>
      </c>
      <c r="T53" t="inlineStr">
        <is>
          <t>.</t>
        </is>
      </c>
      <c r="U53" t="inlineStr">
        <is>
          <t>.</t>
        </is>
      </c>
      <c r="V53" t="n">
        <v>2033.1</v>
      </c>
      <c r="W53" t="n">
        <v>14863</v>
      </c>
      <c r="X53" t="n">
        <v>894</v>
      </c>
      <c r="Y53">
        <f>IF(ISNUMBER($W53),$W53,0)</f>
        <v/>
      </c>
      <c r="Z53">
        <f>IF(ISNUMBER(SEARCH("Adjustment",$C53)),"excluded",IF($H53="Behind the Meter","excluded",IF(NOT(OR($E53="Bundled",$E53="Energy")),"excluded",IF(OR($H53="Retail Power Marketer",$H53="Community Choice Aggregator",$E53="Energy"),"procurement",IF(OR($H53="Municipal",$H53="Cooperative",$H53="Federal",$H53="State",$H53="Political Subdivision"),"cost_service",IF($H53="Investor Owned",IF(AND(COUNTIF(Parameters!$A$4:$A$33,$G53)&gt;0,COUNTIF(Parameters!$B$4:$B$33,$B53)=0),"procurement","cost_service"),"unclassified"))))))</f>
        <v/>
      </c>
    </row>
    <row r="54">
      <c r="A54" t="n">
        <v>2024</v>
      </c>
      <c r="B54" t="n">
        <v>59055</v>
      </c>
      <c r="C54" t="inlineStr">
        <is>
          <t>Choice Energy, LLC</t>
        </is>
      </c>
      <c r="D54" t="inlineStr">
        <is>
          <t>B</t>
        </is>
      </c>
      <c r="E54" t="inlineStr">
        <is>
          <t>Energy</t>
        </is>
      </c>
      <c r="F54" t="inlineStr">
        <is>
          <t>O</t>
        </is>
      </c>
      <c r="G54" t="inlineStr">
        <is>
          <t>NJ</t>
        </is>
      </c>
      <c r="H54" t="inlineStr">
        <is>
          <t>Retail Power Marketer</t>
        </is>
      </c>
      <c r="I54" t="inlineStr">
        <is>
          <t>PJM</t>
        </is>
      </c>
      <c r="J54" t="n">
        <v>1177.7</v>
      </c>
      <c r="K54" t="n">
        <v>6040</v>
      </c>
      <c r="L54" t="n">
        <v>808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1177.7</v>
      </c>
      <c r="W54" t="n">
        <v>6040</v>
      </c>
      <c r="X54" t="n">
        <v>808</v>
      </c>
      <c r="Y54">
        <f>IF(ISNUMBER($W54),$W54,0)</f>
        <v/>
      </c>
      <c r="Z54">
        <f>IF(ISNUMBER(SEARCH("Adjustment",$C54)),"excluded",IF($H54="Behind the Meter","excluded",IF(NOT(OR($E54="Bundled",$E54="Energy")),"excluded",IF(OR($H54="Retail Power Marketer",$H54="Community Choice Aggregator",$E54="Energy"),"procurement",IF(OR($H54="Municipal",$H54="Cooperative",$H54="Federal",$H54="State",$H54="Political Subdivision"),"cost_service",IF($H54="Investor Owned",IF(AND(COUNTIF(Parameters!$A$4:$A$33,$G54)&gt;0,COUNTIF(Parameters!$B$4:$B$33,$B54)=0),"procurement","cost_service"),"unclassified"))))))</f>
        <v/>
      </c>
    </row>
    <row r="55">
      <c r="A55" t="n">
        <v>2024</v>
      </c>
      <c r="B55" t="n">
        <v>59065</v>
      </c>
      <c r="C55" t="inlineStr">
        <is>
          <t>Titan Gas LLC</t>
        </is>
      </c>
      <c r="D55" t="inlineStr">
        <is>
          <t>B</t>
        </is>
      </c>
      <c r="E55" t="inlineStr">
        <is>
          <t>Energy</t>
        </is>
      </c>
      <c r="F55" t="inlineStr">
        <is>
          <t>O</t>
        </is>
      </c>
      <c r="G55" t="inlineStr">
        <is>
          <t>NJ</t>
        </is>
      </c>
      <c r="H55" t="inlineStr">
        <is>
          <t>Retail Power Marketer</t>
        </is>
      </c>
      <c r="I55" t="inlineStr">
        <is>
          <t>PJM</t>
        </is>
      </c>
      <c r="J55" t="n">
        <v>832.4</v>
      </c>
      <c r="K55" t="n">
        <v>5470</v>
      </c>
      <c r="L55" t="n">
        <v>731</v>
      </c>
      <c r="M55" t="n">
        <v>2520.6</v>
      </c>
      <c r="N55" t="n">
        <v>19040</v>
      </c>
      <c r="O55" t="n">
        <v>337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3353</v>
      </c>
      <c r="W55" t="n">
        <v>24510</v>
      </c>
      <c r="X55" t="n">
        <v>1068</v>
      </c>
      <c r="Y55">
        <f>IF(ISNUMBER($W55),$W55,0)</f>
        <v/>
      </c>
      <c r="Z55">
        <f>IF(ISNUMBER(SEARCH("Adjustment",$C55)),"excluded",IF($H55="Behind the Meter","excluded",IF(NOT(OR($E55="Bundled",$E55="Energy")),"excluded",IF(OR($H55="Retail Power Marketer",$H55="Community Choice Aggregator",$E55="Energy"),"procurement",IF(OR($H55="Municipal",$H55="Cooperative",$H55="Federal",$H55="State",$H55="Political Subdivision"),"cost_service",IF($H55="Investor Owned",IF(AND(COUNTIF(Parameters!$A$4:$A$33,$G55)&gt;0,COUNTIF(Parameters!$B$4:$B$33,$B55)=0),"procurement","cost_service"),"unclassified"))))))</f>
        <v/>
      </c>
    </row>
    <row r="56">
      <c r="A56" t="n">
        <v>2024</v>
      </c>
      <c r="B56" t="n">
        <v>59085</v>
      </c>
      <c r="C56" t="inlineStr">
        <is>
          <t>SFE Energy NJ, Inc.</t>
        </is>
      </c>
      <c r="D56" t="inlineStr">
        <is>
          <t>B</t>
        </is>
      </c>
      <c r="E56" t="inlineStr">
        <is>
          <t>Energy</t>
        </is>
      </c>
      <c r="F56" t="inlineStr">
        <is>
          <t>O</t>
        </is>
      </c>
      <c r="G56" t="inlineStr">
        <is>
          <t>NJ</t>
        </is>
      </c>
      <c r="H56" t="inlineStr">
        <is>
          <t>Retail Power Marketer</t>
        </is>
      </c>
      <c r="I56" t="inlineStr">
        <is>
          <t>PJM</t>
        </is>
      </c>
      <c r="J56" t="n">
        <v>2751.8</v>
      </c>
      <c r="K56" t="n">
        <v>20000</v>
      </c>
      <c r="L56" t="n">
        <v>2767</v>
      </c>
      <c r="M56" t="n">
        <v>15554.9</v>
      </c>
      <c r="N56" t="n">
        <v>112992</v>
      </c>
      <c r="O56" t="n">
        <v>1770</v>
      </c>
      <c r="P56" t="inlineStr">
        <is>
          <t>.</t>
        </is>
      </c>
      <c r="Q56" t="inlineStr">
        <is>
          <t>.</t>
        </is>
      </c>
      <c r="R56" t="inlineStr">
        <is>
          <t>.</t>
        </is>
      </c>
      <c r="S56" t="inlineStr">
        <is>
          <t>.</t>
        </is>
      </c>
      <c r="T56" t="inlineStr">
        <is>
          <t>.</t>
        </is>
      </c>
      <c r="U56" t="inlineStr">
        <is>
          <t>.</t>
        </is>
      </c>
      <c r="V56" t="n">
        <v>18306.7</v>
      </c>
      <c r="W56" t="n">
        <v>132992</v>
      </c>
      <c r="X56" t="n">
        <v>4537</v>
      </c>
      <c r="Y56">
        <f>IF(ISNUMBER($W56),$W56,0)</f>
        <v/>
      </c>
      <c r="Z56">
        <f>IF(ISNUMBER(SEARCH("Adjustment",$C56)),"excluded",IF($H56="Behind the Meter","excluded",IF(NOT(OR($E56="Bundled",$E56="Energy")),"excluded",IF(OR($H56="Retail Power Marketer",$H56="Community Choice Aggregator",$E56="Energy"),"procurement",IF(OR($H56="Municipal",$H56="Cooperative",$H56="Federal",$H56="State",$H56="Political Subdivision"),"cost_service",IF($H56="Investor Owned",IF(AND(COUNTIF(Parameters!$A$4:$A$33,$G56)&gt;0,COUNTIF(Parameters!$B$4:$B$33,$B56)=0),"procurement","cost_service"),"unclassified"))))))</f>
        <v/>
      </c>
    </row>
    <row r="57">
      <c r="A57" t="n">
        <v>2024</v>
      </c>
      <c r="B57" t="n">
        <v>59088</v>
      </c>
      <c r="C57" t="inlineStr">
        <is>
          <t>Nordic Energy Services, LLC</t>
        </is>
      </c>
      <c r="D57" t="inlineStr">
        <is>
          <t>B</t>
        </is>
      </c>
      <c r="E57" t="inlineStr">
        <is>
          <t>Energy</t>
        </is>
      </c>
      <c r="F57" t="inlineStr">
        <is>
          <t>O</t>
        </is>
      </c>
      <c r="G57" t="inlineStr">
        <is>
          <t>NJ</t>
        </is>
      </c>
      <c r="H57" t="inlineStr">
        <is>
          <t>Retail Power Marketer</t>
        </is>
      </c>
      <c r="I57" t="inlineStr">
        <is>
          <t>PJM</t>
        </is>
      </c>
      <c r="J57" t="n">
        <v>488.1</v>
      </c>
      <c r="K57" t="n">
        <v>3141</v>
      </c>
      <c r="L57" t="n">
        <v>576</v>
      </c>
      <c r="M57" t="n">
        <v>144.1</v>
      </c>
      <c r="N57" t="n">
        <v>975</v>
      </c>
      <c r="O57" t="n">
        <v>61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632.2</v>
      </c>
      <c r="W57" t="n">
        <v>4116</v>
      </c>
      <c r="X57" t="n">
        <v>637</v>
      </c>
      <c r="Y57">
        <f>IF(ISNUMBER($W57),$W57,0)</f>
        <v/>
      </c>
      <c r="Z57">
        <f>IF(ISNUMBER(SEARCH("Adjustment",$C57)),"excluded",IF($H57="Behind the Meter","excluded",IF(NOT(OR($E57="Bundled",$E57="Energy")),"excluded",IF(OR($H57="Retail Power Marketer",$H57="Community Choice Aggregator",$E57="Energy"),"procurement",IF(OR($H57="Municipal",$H57="Cooperative",$H57="Federal",$H57="State",$H57="Political Subdivision"),"cost_service",IF($H57="Investor Owned",IF(AND(COUNTIF(Parameters!$A$4:$A$33,$G57)&gt;0,COUNTIF(Parameters!$B$4:$B$33,$B57)=0),"procurement","cost_service"),"unclassified"))))))</f>
        <v/>
      </c>
    </row>
    <row r="58">
      <c r="A58" t="n">
        <v>2024</v>
      </c>
      <c r="B58" t="n">
        <v>59310</v>
      </c>
      <c r="C58" t="inlineStr">
        <is>
          <t>Inspire Energy Holdings, LLC</t>
        </is>
      </c>
      <c r="D58" t="inlineStr">
        <is>
          <t>B</t>
        </is>
      </c>
      <c r="E58" t="inlineStr">
        <is>
          <t>Energy</t>
        </is>
      </c>
      <c r="F58" t="inlineStr">
        <is>
          <t>O</t>
        </is>
      </c>
      <c r="G58" t="inlineStr">
        <is>
          <t>NJ</t>
        </is>
      </c>
      <c r="H58" t="inlineStr">
        <is>
          <t>Retail Power Marketer</t>
        </is>
      </c>
      <c r="I58" t="inlineStr">
        <is>
          <t>PJM</t>
        </is>
      </c>
      <c r="J58" t="n">
        <v>38164.2</v>
      </c>
      <c r="K58" t="n">
        <v>189513</v>
      </c>
      <c r="L58" t="n">
        <v>26530</v>
      </c>
      <c r="M58" t="n">
        <v>106.4</v>
      </c>
      <c r="N58" t="n">
        <v>548</v>
      </c>
      <c r="O58" t="n">
        <v>40</v>
      </c>
      <c r="P58" t="inlineStr">
        <is>
          <t>.</t>
        </is>
      </c>
      <c r="Q58" t="inlineStr">
        <is>
          <t>.</t>
        </is>
      </c>
      <c r="R58" t="inlineStr">
        <is>
          <t>.</t>
        </is>
      </c>
      <c r="S58" t="inlineStr">
        <is>
          <t>.</t>
        </is>
      </c>
      <c r="T58" t="inlineStr">
        <is>
          <t>.</t>
        </is>
      </c>
      <c r="U58" t="inlineStr">
        <is>
          <t>.</t>
        </is>
      </c>
      <c r="V58" t="n">
        <v>38270.6</v>
      </c>
      <c r="W58" t="n">
        <v>190061</v>
      </c>
      <c r="X58" t="n">
        <v>26570</v>
      </c>
      <c r="Y58">
        <f>IF(ISNUMBER($W58),$W58,0)</f>
        <v/>
      </c>
      <c r="Z58">
        <f>IF(ISNUMBER(SEARCH("Adjustment",$C58)),"excluded",IF($H58="Behind the Meter","excluded",IF(NOT(OR($E58="Bundled",$E58="Energy")),"excluded",IF(OR($H58="Retail Power Marketer",$H58="Community Choice Aggregator",$E58="Energy"),"procurement",IF(OR($H58="Municipal",$H58="Cooperative",$H58="Federal",$H58="State",$H58="Political Subdivision"),"cost_service",IF($H58="Investor Owned",IF(AND(COUNTIF(Parameters!$A$4:$A$33,$G58)&gt;0,COUNTIF(Parameters!$B$4:$B$33,$B58)=0),"procurement","cost_service"),"unclassified"))))))</f>
        <v/>
      </c>
    </row>
    <row r="59">
      <c r="A59" t="n">
        <v>2024</v>
      </c>
      <c r="B59" t="n">
        <v>59579</v>
      </c>
      <c r="C59" t="inlineStr">
        <is>
          <t>Sunnova</t>
        </is>
      </c>
      <c r="D59" t="inlineStr">
        <is>
          <t>A</t>
        </is>
      </c>
      <c r="E59" t="inlineStr">
        <is>
          <t>Bundled</t>
        </is>
      </c>
      <c r="F59" t="inlineStr">
        <is>
          <t>O</t>
        </is>
      </c>
      <c r="G59" t="inlineStr">
        <is>
          <t>NJ</t>
        </is>
      </c>
      <c r="H59" t="inlineStr">
        <is>
          <t>Behind the Meter</t>
        </is>
      </c>
      <c r="I59" t="inlineStr">
        <is>
          <t>NYIS</t>
        </is>
      </c>
      <c r="J59" t="n">
        <v>0</v>
      </c>
      <c r="K59" t="n">
        <v>0</v>
      </c>
      <c r="L59" t="n">
        <v>0</v>
      </c>
      <c r="M59" t="inlineStr">
        <is>
          <t>.</t>
        </is>
      </c>
      <c r="N59" t="inlineStr">
        <is>
          <t>.</t>
        </is>
      </c>
      <c r="O59" t="inlineStr">
        <is>
          <t>.</t>
        </is>
      </c>
      <c r="P59" t="inlineStr">
        <is>
          <t>.</t>
        </is>
      </c>
      <c r="Q59" t="inlineStr">
        <is>
          <t>.</t>
        </is>
      </c>
      <c r="R59" t="inlineStr">
        <is>
          <t>.</t>
        </is>
      </c>
      <c r="S59" t="inlineStr">
        <is>
          <t>.</t>
        </is>
      </c>
      <c r="T59" t="inlineStr">
        <is>
          <t>.</t>
        </is>
      </c>
      <c r="U59" t="inlineStr">
        <is>
          <t>.</t>
        </is>
      </c>
      <c r="V59" t="n">
        <v>0</v>
      </c>
      <c r="W59" t="n">
        <v>0</v>
      </c>
      <c r="X59" t="n">
        <v>0</v>
      </c>
      <c r="Y59">
        <f>IF(ISNUMBER($W59),$W59,0)</f>
        <v/>
      </c>
      <c r="Z59">
        <f>IF(ISNUMBER(SEARCH("Adjustment",$C59)),"excluded",IF($H59="Behind the Meter","excluded",IF(NOT(OR($E59="Bundled",$E59="Energy")),"excluded",IF(OR($H59="Retail Power Marketer",$H59="Community Choice Aggregator",$E59="Energy"),"procurement",IF(OR($H59="Municipal",$H59="Cooperative",$H59="Federal",$H59="State",$H59="Political Subdivision"),"cost_service",IF($H59="Investor Owned",IF(AND(COUNTIF(Parameters!$A$4:$A$33,$G59)&gt;0,COUNTIF(Parameters!$B$4:$B$33,$B59)=0),"procurement","cost_service"),"unclassified"))))))</f>
        <v/>
      </c>
    </row>
    <row r="60">
      <c r="A60" t="n">
        <v>2024</v>
      </c>
      <c r="B60" t="n">
        <v>59579</v>
      </c>
      <c r="C60" t="inlineStr">
        <is>
          <t>Sunnova</t>
        </is>
      </c>
      <c r="D60" t="inlineStr">
        <is>
          <t>A</t>
        </is>
      </c>
      <c r="E60" t="inlineStr">
        <is>
          <t>Bundled</t>
        </is>
      </c>
      <c r="F60" t="inlineStr">
        <is>
          <t>O</t>
        </is>
      </c>
      <c r="G60" t="inlineStr">
        <is>
          <t>NJ</t>
        </is>
      </c>
      <c r="H60" t="inlineStr">
        <is>
          <t>Behind the Meter</t>
        </is>
      </c>
      <c r="I60" t="inlineStr">
        <is>
          <t>PJM</t>
        </is>
      </c>
      <c r="J60" t="n">
        <v>47779.9</v>
      </c>
      <c r="K60" t="n">
        <v>250957</v>
      </c>
      <c r="L60" t="n">
        <v>30079</v>
      </c>
      <c r="M60" t="inlineStr">
        <is>
          <t>.</t>
        </is>
      </c>
      <c r="N60" t="inlineStr">
        <is>
          <t>.</t>
        </is>
      </c>
      <c r="O60" t="inlineStr">
        <is>
          <t>.</t>
        </is>
      </c>
      <c r="P60" t="inlineStr">
        <is>
          <t>.</t>
        </is>
      </c>
      <c r="Q60" t="inlineStr">
        <is>
          <t>.</t>
        </is>
      </c>
      <c r="R60" t="inlineStr">
        <is>
          <t>.</t>
        </is>
      </c>
      <c r="S60" t="inlineStr">
        <is>
          <t>.</t>
        </is>
      </c>
      <c r="T60" t="inlineStr">
        <is>
          <t>.</t>
        </is>
      </c>
      <c r="U60" t="inlineStr">
        <is>
          <t>.</t>
        </is>
      </c>
      <c r="V60" t="n">
        <v>47779.9</v>
      </c>
      <c r="W60" t="n">
        <v>250957</v>
      </c>
      <c r="X60" t="n">
        <v>30079</v>
      </c>
      <c r="Y60">
        <f>IF(ISNUMBER($W60),$W60,0)</f>
        <v/>
      </c>
      <c r="Z60">
        <f>IF(ISNUMBER(SEARCH("Adjustment",$C60)),"excluded",IF($H60="Behind the Meter","excluded",IF(NOT(OR($E60="Bundled",$E60="Energy")),"excluded",IF(OR($H60="Retail Power Marketer",$H60="Community Choice Aggregator",$E60="Energy"),"procurement",IF(OR($H60="Municipal",$H60="Cooperative",$H60="Federal",$H60="State",$H60="Political Subdivision"),"cost_service",IF($H60="Investor Owned",IF(AND(COUNTIF(Parameters!$A$4:$A$33,$G60)&gt;0,COUNTIF(Parameters!$B$4:$B$33,$B60)=0),"procurement","cost_service"),"unclassified"))))))</f>
        <v/>
      </c>
    </row>
    <row r="61">
      <c r="A61" t="n">
        <v>2024</v>
      </c>
      <c r="B61" t="n">
        <v>59580</v>
      </c>
      <c r="C61" t="inlineStr">
        <is>
          <t>SunPower Capital, LLC</t>
        </is>
      </c>
      <c r="D61" t="inlineStr">
        <is>
          <t>A</t>
        </is>
      </c>
      <c r="E61" t="inlineStr">
        <is>
          <t>Bundled</t>
        </is>
      </c>
      <c r="F61" t="inlineStr">
        <is>
          <t>O</t>
        </is>
      </c>
      <c r="G61" t="inlineStr">
        <is>
          <t>NJ</t>
        </is>
      </c>
      <c r="H61" t="inlineStr">
        <is>
          <t>Behind the Meter</t>
        </is>
      </c>
      <c r="I61" t="inlineStr">
        <is>
          <t>NYIS</t>
        </is>
      </c>
      <c r="J61" t="n">
        <v>27.8</v>
      </c>
      <c r="K61" t="n">
        <v>182</v>
      </c>
      <c r="L61" t="n">
        <v>18</v>
      </c>
      <c r="M61" t="inlineStr">
        <is>
          <t>.</t>
        </is>
      </c>
      <c r="N61" t="inlineStr">
        <is>
          <t>.</t>
        </is>
      </c>
      <c r="O61" t="inlineStr">
        <is>
          <t>.</t>
        </is>
      </c>
      <c r="P61" t="inlineStr">
        <is>
          <t>.</t>
        </is>
      </c>
      <c r="Q61" t="inlineStr">
        <is>
          <t>.</t>
        </is>
      </c>
      <c r="R61" t="inlineStr">
        <is>
          <t>.</t>
        </is>
      </c>
      <c r="S61" t="inlineStr">
        <is>
          <t>.</t>
        </is>
      </c>
      <c r="T61" t="inlineStr">
        <is>
          <t>.</t>
        </is>
      </c>
      <c r="U61" t="inlineStr">
        <is>
          <t>.</t>
        </is>
      </c>
      <c r="V61" t="n">
        <v>27.8</v>
      </c>
      <c r="W61" t="n">
        <v>182</v>
      </c>
      <c r="X61" t="n">
        <v>18</v>
      </c>
      <c r="Y61">
        <f>IF(ISNUMBER($W61),$W61,0)</f>
        <v/>
      </c>
      <c r="Z61">
        <f>IF(ISNUMBER(SEARCH("Adjustment",$C61)),"excluded",IF($H61="Behind the Meter","excluded",IF(NOT(OR($E61="Bundled",$E61="Energy")),"excluded",IF(OR($H61="Retail Power Marketer",$H61="Community Choice Aggregator",$E61="Energy"),"procurement",IF(OR($H61="Municipal",$H61="Cooperative",$H61="Federal",$H61="State",$H61="Political Subdivision"),"cost_service",IF($H61="Investor Owned",IF(AND(COUNTIF(Parameters!$A$4:$A$33,$G61)&gt;0,COUNTIF(Parameters!$B$4:$B$33,$B61)=0),"procurement","cost_service"),"unclassified"))))))</f>
        <v/>
      </c>
    </row>
    <row r="62">
      <c r="A62" t="n">
        <v>2024</v>
      </c>
      <c r="B62" t="n">
        <v>59580</v>
      </c>
      <c r="C62" t="inlineStr">
        <is>
          <t>SunPower Capital, LLC</t>
        </is>
      </c>
      <c r="D62" t="inlineStr">
        <is>
          <t>A</t>
        </is>
      </c>
      <c r="E62" t="inlineStr">
        <is>
          <t>Bundled</t>
        </is>
      </c>
      <c r="F62" t="inlineStr">
        <is>
          <t>O</t>
        </is>
      </c>
      <c r="G62" t="inlineStr">
        <is>
          <t>NJ</t>
        </is>
      </c>
      <c r="H62" t="inlineStr">
        <is>
          <t>Behind the Meter</t>
        </is>
      </c>
      <c r="I62" t="inlineStr">
        <is>
          <t>PJM</t>
        </is>
      </c>
      <c r="J62" t="n">
        <v>8924.700000000001</v>
      </c>
      <c r="K62" t="n">
        <v>58547</v>
      </c>
      <c r="L62" t="n">
        <v>5666</v>
      </c>
      <c r="M62" t="inlineStr">
        <is>
          <t>.</t>
        </is>
      </c>
      <c r="N62" t="inlineStr">
        <is>
          <t>.</t>
        </is>
      </c>
      <c r="O62" t="inlineStr">
        <is>
          <t>.</t>
        </is>
      </c>
      <c r="P62" t="inlineStr">
        <is>
          <t>.</t>
        </is>
      </c>
      <c r="Q62" t="inlineStr">
        <is>
          <t>.</t>
        </is>
      </c>
      <c r="R62" t="inlineStr">
        <is>
          <t>.</t>
        </is>
      </c>
      <c r="S62" t="inlineStr">
        <is>
          <t>.</t>
        </is>
      </c>
      <c r="T62" t="inlineStr">
        <is>
          <t>.</t>
        </is>
      </c>
      <c r="U62" t="inlineStr">
        <is>
          <t>.</t>
        </is>
      </c>
      <c r="V62" t="n">
        <v>8924.700000000001</v>
      </c>
      <c r="W62" t="n">
        <v>58547</v>
      </c>
      <c r="X62" t="n">
        <v>5666</v>
      </c>
      <c r="Y62">
        <f>IF(ISNUMBER($W62),$W62,0)</f>
        <v/>
      </c>
      <c r="Z62">
        <f>IF(ISNUMBER(SEARCH("Adjustment",$C62)),"excluded",IF($H62="Behind the Meter","excluded",IF(NOT(OR($E62="Bundled",$E62="Energy")),"excluded",IF(OR($H62="Retail Power Marketer",$H62="Community Choice Aggregator",$E62="Energy"),"procurement",IF(OR($H62="Municipal",$H62="Cooperative",$H62="Federal",$H62="State",$H62="Political Subdivision"),"cost_service",IF($H62="Investor Owned",IF(AND(COUNTIF(Parameters!$A$4:$A$33,$G62)&gt;0,COUNTIF(Parameters!$B$4:$B$33,$B62)=0),"procurement","cost_service"),"unclassified"))))))</f>
        <v/>
      </c>
    </row>
    <row r="63">
      <c r="A63" t="n">
        <v>2024</v>
      </c>
      <c r="B63" t="n">
        <v>59620</v>
      </c>
      <c r="C63" t="inlineStr">
        <is>
          <t>Verde Energy USA</t>
        </is>
      </c>
      <c r="D63" t="inlineStr">
        <is>
          <t>B</t>
        </is>
      </c>
      <c r="E63" t="inlineStr">
        <is>
          <t>Energy</t>
        </is>
      </c>
      <c r="F63" t="inlineStr">
        <is>
          <t>O</t>
        </is>
      </c>
      <c r="G63" t="inlineStr">
        <is>
          <t>NJ</t>
        </is>
      </c>
      <c r="H63" t="inlineStr">
        <is>
          <t>Retail Power Marketer</t>
        </is>
      </c>
      <c r="I63" t="inlineStr">
        <is>
          <t>PJM</t>
        </is>
      </c>
      <c r="J63" t="n">
        <v>11565</v>
      </c>
      <c r="K63" t="n">
        <v>49022</v>
      </c>
      <c r="L63" t="n">
        <v>6530</v>
      </c>
      <c r="M63" t="n">
        <v>426</v>
      </c>
      <c r="N63" t="n">
        <v>1631</v>
      </c>
      <c r="O63" t="n">
        <v>87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11991</v>
      </c>
      <c r="W63" t="n">
        <v>50653</v>
      </c>
      <c r="X63" t="n">
        <v>6617</v>
      </c>
      <c r="Y63">
        <f>IF(ISNUMBER($W63),$W63,0)</f>
        <v/>
      </c>
      <c r="Z63">
        <f>IF(ISNUMBER(SEARCH("Adjustment",$C63)),"excluded",IF($H63="Behind the Meter","excluded",IF(NOT(OR($E63="Bundled",$E63="Energy")),"excluded",IF(OR($H63="Retail Power Marketer",$H63="Community Choice Aggregator",$E63="Energy"),"procurement",IF(OR($H63="Municipal",$H63="Cooperative",$H63="Federal",$H63="State",$H63="Political Subdivision"),"cost_service",IF($H63="Investor Owned",IF(AND(COUNTIF(Parameters!$A$4:$A$33,$G63)&gt;0,COUNTIF(Parameters!$B$4:$B$33,$B63)=0),"procurement","cost_service"),"unclassified"))))))</f>
        <v/>
      </c>
    </row>
    <row r="64">
      <c r="A64" t="n">
        <v>2024</v>
      </c>
      <c r="B64" t="n">
        <v>59622</v>
      </c>
      <c r="C64" t="inlineStr">
        <is>
          <t>Ahana Renewables, LLC</t>
        </is>
      </c>
      <c r="D64" t="inlineStr">
        <is>
          <t>A</t>
        </is>
      </c>
      <c r="E64" t="inlineStr">
        <is>
          <t>Bundled</t>
        </is>
      </c>
      <c r="F64" t="inlineStr">
        <is>
          <t>O</t>
        </is>
      </c>
      <c r="G64" t="inlineStr">
        <is>
          <t>NJ</t>
        </is>
      </c>
      <c r="H64" t="inlineStr">
        <is>
          <t>Behind the Meter</t>
        </is>
      </c>
      <c r="I64" t="inlineStr">
        <is>
          <t>PJM</t>
        </is>
      </c>
      <c r="J64" t="n">
        <v>0</v>
      </c>
      <c r="K64" t="n">
        <v>0</v>
      </c>
      <c r="L64" t="n">
        <v>0</v>
      </c>
      <c r="M64" t="n">
        <v>233.1</v>
      </c>
      <c r="N64" t="n">
        <v>2426</v>
      </c>
      <c r="O64" t="n">
        <v>9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233.1</v>
      </c>
      <c r="W64" t="n">
        <v>2426</v>
      </c>
      <c r="X64" t="n">
        <v>9</v>
      </c>
      <c r="Y64">
        <f>IF(ISNUMBER($W64),$W64,0)</f>
        <v/>
      </c>
      <c r="Z64">
        <f>IF(ISNUMBER(SEARCH("Adjustment",$C64)),"excluded",IF($H64="Behind the Meter","excluded",IF(NOT(OR($E64="Bundled",$E64="Energy")),"excluded",IF(OR($H64="Retail Power Marketer",$H64="Community Choice Aggregator",$E64="Energy"),"procurement",IF(OR($H64="Municipal",$H64="Cooperative",$H64="Federal",$H64="State",$H64="Political Subdivision"),"cost_service",IF($H64="Investor Owned",IF(AND(COUNTIF(Parameters!$A$4:$A$33,$G64)&gt;0,COUNTIF(Parameters!$B$4:$B$33,$B64)=0),"procurement","cost_service"),"unclassified"))))))</f>
        <v/>
      </c>
    </row>
    <row r="65">
      <c r="A65" t="n">
        <v>2024</v>
      </c>
      <c r="B65" t="n">
        <v>59647</v>
      </c>
      <c r="C65" t="inlineStr">
        <is>
          <t>Sunrun Inc.</t>
        </is>
      </c>
      <c r="D65" t="inlineStr">
        <is>
          <t>A</t>
        </is>
      </c>
      <c r="E65" t="inlineStr">
        <is>
          <t>Bundled</t>
        </is>
      </c>
      <c r="F65" t="inlineStr">
        <is>
          <t>O</t>
        </is>
      </c>
      <c r="G65" t="inlineStr">
        <is>
          <t>NJ</t>
        </is>
      </c>
      <c r="H65" t="inlineStr">
        <is>
          <t>Behind the Meter</t>
        </is>
      </c>
      <c r="I65" t="inlineStr">
        <is>
          <t>PJM</t>
        </is>
      </c>
      <c r="J65" t="n">
        <v>61295.8</v>
      </c>
      <c r="K65" t="n">
        <v>339127</v>
      </c>
      <c r="L65" t="n">
        <v>45019</v>
      </c>
      <c r="M65" t="inlineStr">
        <is>
          <t>.</t>
        </is>
      </c>
      <c r="N65" t="inlineStr">
        <is>
          <t>.</t>
        </is>
      </c>
      <c r="O65" t="inlineStr">
        <is>
          <t>.</t>
        </is>
      </c>
      <c r="P65" t="inlineStr">
        <is>
          <t>.</t>
        </is>
      </c>
      <c r="Q65" t="inlineStr">
        <is>
          <t>.</t>
        </is>
      </c>
      <c r="R65" t="inlineStr">
        <is>
          <t>.</t>
        </is>
      </c>
      <c r="S65" t="inlineStr">
        <is>
          <t>.</t>
        </is>
      </c>
      <c r="T65" t="inlineStr">
        <is>
          <t>.</t>
        </is>
      </c>
      <c r="U65" t="inlineStr">
        <is>
          <t>.</t>
        </is>
      </c>
      <c r="V65" t="n">
        <v>61295.8</v>
      </c>
      <c r="W65" t="n">
        <v>339127</v>
      </c>
      <c r="X65" t="n">
        <v>45019</v>
      </c>
      <c r="Y65">
        <f>IF(ISNUMBER($W65),$W65,0)</f>
        <v/>
      </c>
      <c r="Z65">
        <f>IF(ISNUMBER(SEARCH("Adjustment",$C65)),"excluded",IF($H65="Behind the Meter","excluded",IF(NOT(OR($E65="Bundled",$E65="Energy")),"excluded",IF(OR($H65="Retail Power Marketer",$H65="Community Choice Aggregator",$E65="Energy"),"procurement",IF(OR($H65="Municipal",$H65="Cooperative",$H65="Federal",$H65="State",$H65="Political Subdivision"),"cost_service",IF($H65="Investor Owned",IF(AND(COUNTIF(Parameters!$A$4:$A$33,$G65)&gt;0,COUNTIF(Parameters!$B$4:$B$33,$B65)=0),"procurement","cost_service"),"unclassified"))))))</f>
        <v/>
      </c>
    </row>
    <row r="66">
      <c r="A66" t="n">
        <v>2024</v>
      </c>
      <c r="B66" t="n">
        <v>59793</v>
      </c>
      <c r="C66" t="inlineStr">
        <is>
          <t>First Point Power, LLC</t>
        </is>
      </c>
      <c r="D66" t="inlineStr">
        <is>
          <t>B</t>
        </is>
      </c>
      <c r="E66" t="inlineStr">
        <is>
          <t>Energy</t>
        </is>
      </c>
      <c r="F66" t="inlineStr">
        <is>
          <t>O</t>
        </is>
      </c>
      <c r="G66" t="inlineStr">
        <is>
          <t>NJ</t>
        </is>
      </c>
      <c r="H66" t="inlineStr">
        <is>
          <t>Retail Power Marketer</t>
        </is>
      </c>
      <c r="I66" t="inlineStr">
        <is>
          <t>PJM</t>
        </is>
      </c>
      <c r="J66" t="n">
        <v>1.1</v>
      </c>
      <c r="K66" t="n">
        <v>6</v>
      </c>
      <c r="L66" t="n">
        <v>1</v>
      </c>
      <c r="M66" t="n">
        <v>76.3</v>
      </c>
      <c r="N66" t="n">
        <v>467</v>
      </c>
      <c r="O66" t="n">
        <v>15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77.40000000000001</v>
      </c>
      <c r="W66" t="n">
        <v>473</v>
      </c>
      <c r="X66" t="n">
        <v>16</v>
      </c>
      <c r="Y66">
        <f>IF(ISNUMBER($W66),$W66,0)</f>
        <v/>
      </c>
      <c r="Z66">
        <f>IF(ISNUMBER(SEARCH("Adjustment",$C66)),"excluded",IF($H66="Behind the Meter","excluded",IF(NOT(OR($E66="Bundled",$E66="Energy")),"excluded",IF(OR($H66="Retail Power Marketer",$H66="Community Choice Aggregator",$E66="Energy"),"procurement",IF(OR($H66="Municipal",$H66="Cooperative",$H66="Federal",$H66="State",$H66="Political Subdivision"),"cost_service",IF($H66="Investor Owned",IF(AND(COUNTIF(Parameters!$A$4:$A$33,$G66)&gt;0,COUNTIF(Parameters!$B$4:$B$33,$B66)=0),"procurement","cost_service"),"unclassified"))))))</f>
        <v/>
      </c>
    </row>
    <row r="67">
      <c r="A67" t="n">
        <v>2024</v>
      </c>
      <c r="B67" t="n">
        <v>59799</v>
      </c>
      <c r="C67" t="inlineStr">
        <is>
          <t>American Power &amp; Gas</t>
        </is>
      </c>
      <c r="D67" t="inlineStr">
        <is>
          <t>B</t>
        </is>
      </c>
      <c r="E67" t="inlineStr">
        <is>
          <t>Energy</t>
        </is>
      </c>
      <c r="F67" t="inlineStr">
        <is>
          <t>O</t>
        </is>
      </c>
      <c r="G67" t="inlineStr">
        <is>
          <t>NJ</t>
        </is>
      </c>
      <c r="H67" t="inlineStr">
        <is>
          <t>Retail Power Marketer</t>
        </is>
      </c>
      <c r="I67" t="inlineStr">
        <is>
          <t>PJM</t>
        </is>
      </c>
      <c r="J67" t="n">
        <v>3041.1</v>
      </c>
      <c r="K67" t="n">
        <v>15213</v>
      </c>
      <c r="L67" t="n">
        <v>1593</v>
      </c>
      <c r="M67" t="n">
        <v>14341.4</v>
      </c>
      <c r="N67" t="n">
        <v>79028</v>
      </c>
      <c r="O67" t="n">
        <v>3148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17382.5</v>
      </c>
      <c r="W67" t="n">
        <v>94241</v>
      </c>
      <c r="X67" t="n">
        <v>4741</v>
      </c>
      <c r="Y67">
        <f>IF(ISNUMBER($W67),$W67,0)</f>
        <v/>
      </c>
      <c r="Z67">
        <f>IF(ISNUMBER(SEARCH("Adjustment",$C67)),"excluded",IF($H67="Behind the Meter","excluded",IF(NOT(OR($E67="Bundled",$E67="Energy")),"excluded",IF(OR($H67="Retail Power Marketer",$H67="Community Choice Aggregator",$E67="Energy"),"procurement",IF(OR($H67="Municipal",$H67="Cooperative",$H67="Federal",$H67="State",$H67="Political Subdivision"),"cost_service",IF($H67="Investor Owned",IF(AND(COUNTIF(Parameters!$A$4:$A$33,$G67)&gt;0,COUNTIF(Parameters!$B$4:$B$33,$B67)=0),"procurement","cost_service"),"unclassified"))))))</f>
        <v/>
      </c>
    </row>
    <row r="68">
      <c r="A68" t="n">
        <v>2024</v>
      </c>
      <c r="B68" t="n">
        <v>59807</v>
      </c>
      <c r="C68" t="inlineStr">
        <is>
          <t>Rushmore Energy, LLC</t>
        </is>
      </c>
      <c r="D68" t="inlineStr">
        <is>
          <t>B</t>
        </is>
      </c>
      <c r="E68" t="inlineStr">
        <is>
          <t>Energy</t>
        </is>
      </c>
      <c r="F68" t="inlineStr">
        <is>
          <t>O</t>
        </is>
      </c>
      <c r="G68" t="inlineStr">
        <is>
          <t>NJ</t>
        </is>
      </c>
      <c r="H68" t="inlineStr">
        <is>
          <t>Retail Power Marketer</t>
        </is>
      </c>
      <c r="I68" t="inlineStr">
        <is>
          <t>PJM</t>
        </is>
      </c>
      <c r="J68" t="n">
        <v>748.6</v>
      </c>
      <c r="K68" t="n">
        <v>5121</v>
      </c>
      <c r="L68" t="n">
        <v>824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748.6</v>
      </c>
      <c r="W68" t="n">
        <v>5121</v>
      </c>
      <c r="X68" t="n">
        <v>824</v>
      </c>
      <c r="Y68">
        <f>IF(ISNUMBER($W68),$W68,0)</f>
        <v/>
      </c>
      <c r="Z68">
        <f>IF(ISNUMBER(SEARCH("Adjustment",$C68)),"excluded",IF($H68="Behind the Meter","excluded",IF(NOT(OR($E68="Bundled",$E68="Energy")),"excluded",IF(OR($H68="Retail Power Marketer",$H68="Community Choice Aggregator",$E68="Energy"),"procurement",IF(OR($H68="Municipal",$H68="Cooperative",$H68="Federal",$H68="State",$H68="Political Subdivision"),"cost_service",IF($H68="Investor Owned",IF(AND(COUNTIF(Parameters!$A$4:$A$33,$G68)&gt;0,COUNTIF(Parameters!$B$4:$B$33,$B68)=0),"procurement","cost_service"),"unclassified"))))))</f>
        <v/>
      </c>
    </row>
    <row r="69">
      <c r="A69" t="n">
        <v>2024</v>
      </c>
      <c r="B69" t="n">
        <v>59808</v>
      </c>
      <c r="C69" t="inlineStr">
        <is>
          <t>MP2 Energy LLC</t>
        </is>
      </c>
      <c r="D69" t="inlineStr">
        <is>
          <t>B</t>
        </is>
      </c>
      <c r="E69" t="inlineStr">
        <is>
          <t>Energy</t>
        </is>
      </c>
      <c r="F69" t="inlineStr">
        <is>
          <t>O</t>
        </is>
      </c>
      <c r="G69" t="inlineStr">
        <is>
          <t>NJ</t>
        </is>
      </c>
      <c r="H69" t="inlineStr">
        <is>
          <t>Retail Power Marketer</t>
        </is>
      </c>
      <c r="I69" t="inlineStr">
        <is>
          <t>PJM</t>
        </is>
      </c>
      <c r="J69" t="n">
        <v>0</v>
      </c>
      <c r="K69" t="n">
        <v>0</v>
      </c>
      <c r="L69" t="n">
        <v>0</v>
      </c>
      <c r="M69" t="n">
        <v>79242</v>
      </c>
      <c r="N69" t="n">
        <v>864809</v>
      </c>
      <c r="O69" t="n">
        <v>2072</v>
      </c>
      <c r="P69" t="n">
        <v>14784.2</v>
      </c>
      <c r="Q69" t="n">
        <v>317133</v>
      </c>
      <c r="R69" t="n">
        <v>54</v>
      </c>
      <c r="S69" t="n">
        <v>0</v>
      </c>
      <c r="T69" t="n">
        <v>0</v>
      </c>
      <c r="U69" t="n">
        <v>0</v>
      </c>
      <c r="V69" t="n">
        <v>94026.2</v>
      </c>
      <c r="W69" t="n">
        <v>1181942</v>
      </c>
      <c r="X69" t="n">
        <v>2126</v>
      </c>
      <c r="Y69">
        <f>IF(ISNUMBER($W69),$W69,0)</f>
        <v/>
      </c>
      <c r="Z69">
        <f>IF(ISNUMBER(SEARCH("Adjustment",$C69)),"excluded",IF($H69="Behind the Meter","excluded",IF(NOT(OR($E69="Bundled",$E69="Energy")),"excluded",IF(OR($H69="Retail Power Marketer",$H69="Community Choice Aggregator",$E69="Energy"),"procurement",IF(OR($H69="Municipal",$H69="Cooperative",$H69="Federal",$H69="State",$H69="Political Subdivision"),"cost_service",IF($H69="Investor Owned",IF(AND(COUNTIF(Parameters!$A$4:$A$33,$G69)&gt;0,COUNTIF(Parameters!$B$4:$B$33,$B69)=0),"procurement","cost_service"),"unclassified"))))))</f>
        <v/>
      </c>
    </row>
    <row r="70">
      <c r="A70" t="n">
        <v>2024</v>
      </c>
      <c r="B70" t="n">
        <v>59809</v>
      </c>
      <c r="C70" t="inlineStr">
        <is>
          <t>Residents Energy, LLC</t>
        </is>
      </c>
      <c r="D70" t="inlineStr">
        <is>
          <t>B</t>
        </is>
      </c>
      <c r="E70" t="inlineStr">
        <is>
          <t>Energy</t>
        </is>
      </c>
      <c r="F70" t="inlineStr">
        <is>
          <t>O</t>
        </is>
      </c>
      <c r="G70" t="inlineStr">
        <is>
          <t>NJ</t>
        </is>
      </c>
      <c r="H70" t="inlineStr">
        <is>
          <t>Retail Power Marketer</t>
        </is>
      </c>
      <c r="I70" t="inlineStr">
        <is>
          <t>PJM</t>
        </is>
      </c>
      <c r="J70" t="n">
        <v>4790</v>
      </c>
      <c r="K70" t="n">
        <v>27624</v>
      </c>
      <c r="L70" t="n">
        <v>4303</v>
      </c>
      <c r="M70" t="n">
        <v>32.8</v>
      </c>
      <c r="N70" t="n">
        <v>181</v>
      </c>
      <c r="O70" t="n">
        <v>26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4822.8</v>
      </c>
      <c r="W70" t="n">
        <v>27805</v>
      </c>
      <c r="X70" t="n">
        <v>4329</v>
      </c>
      <c r="Y70">
        <f>IF(ISNUMBER($W70),$W70,0)</f>
        <v/>
      </c>
      <c r="Z70">
        <f>IF(ISNUMBER(SEARCH("Adjustment",$C70)),"excluded",IF($H70="Behind the Meter","excluded",IF(NOT(OR($E70="Bundled",$E70="Energy")),"excluded",IF(OR($H70="Retail Power Marketer",$H70="Community Choice Aggregator",$E70="Energy"),"procurement",IF(OR($H70="Municipal",$H70="Cooperative",$H70="Federal",$H70="State",$H70="Political Subdivision"),"cost_service",IF($H70="Investor Owned",IF(AND(COUNTIF(Parameters!$A$4:$A$33,$G70)&gt;0,COUNTIF(Parameters!$B$4:$B$33,$B70)=0),"procurement","cost_service"),"unclassified"))))))</f>
        <v/>
      </c>
    </row>
    <row r="71">
      <c r="A71" t="n">
        <v>2024</v>
      </c>
      <c r="B71" t="n">
        <v>59810</v>
      </c>
      <c r="C71" t="inlineStr">
        <is>
          <t>Greenlight Energy Inc.</t>
        </is>
      </c>
      <c r="D71" t="inlineStr">
        <is>
          <t>B</t>
        </is>
      </c>
      <c r="E71" t="inlineStr">
        <is>
          <t>Energy</t>
        </is>
      </c>
      <c r="F71" t="inlineStr">
        <is>
          <t>O</t>
        </is>
      </c>
      <c r="G71" t="inlineStr">
        <is>
          <t>NJ</t>
        </is>
      </c>
      <c r="H71" t="inlineStr">
        <is>
          <t>Retail Power Marketer</t>
        </is>
      </c>
      <c r="I71" t="inlineStr">
        <is>
          <t>PJM</t>
        </is>
      </c>
      <c r="J71" t="n">
        <v>187</v>
      </c>
      <c r="K71" t="n">
        <v>984</v>
      </c>
      <c r="L71" t="n">
        <v>183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187</v>
      </c>
      <c r="W71" t="n">
        <v>984</v>
      </c>
      <c r="X71" t="n">
        <v>183</v>
      </c>
      <c r="Y71">
        <f>IF(ISNUMBER($W71),$W71,0)</f>
        <v/>
      </c>
      <c r="Z71">
        <f>IF(ISNUMBER(SEARCH("Adjustment",$C71)),"excluded",IF($H71="Behind the Meter","excluded",IF(NOT(OR($E71="Bundled",$E71="Energy")),"excluded",IF(OR($H71="Retail Power Marketer",$H71="Community Choice Aggregator",$E71="Energy"),"procurement",IF(OR($H71="Municipal",$H71="Cooperative",$H71="Federal",$H71="State",$H71="Political Subdivision"),"cost_service",IF($H71="Investor Owned",IF(AND(COUNTIF(Parameters!$A$4:$A$33,$G71)&gt;0,COUNTIF(Parameters!$B$4:$B$33,$B71)=0),"procurement","cost_service"),"unclassified"))))))</f>
        <v/>
      </c>
    </row>
    <row r="72">
      <c r="A72" t="n">
        <v>2024</v>
      </c>
      <c r="B72" t="n">
        <v>59812</v>
      </c>
      <c r="C72" t="inlineStr">
        <is>
          <t>New Wave Energy Corporation</t>
        </is>
      </c>
      <c r="D72" t="inlineStr">
        <is>
          <t>B</t>
        </is>
      </c>
      <c r="E72" t="inlineStr">
        <is>
          <t>Energy</t>
        </is>
      </c>
      <c r="F72" t="inlineStr">
        <is>
          <t>O</t>
        </is>
      </c>
      <c r="G72" t="inlineStr">
        <is>
          <t>NJ</t>
        </is>
      </c>
      <c r="H72" t="inlineStr">
        <is>
          <t>Retail Power Marketer</t>
        </is>
      </c>
      <c r="I72" t="inlineStr">
        <is>
          <t>PJM</t>
        </is>
      </c>
      <c r="J72" t="n">
        <v>189.5</v>
      </c>
      <c r="K72" t="n">
        <v>1486</v>
      </c>
      <c r="L72" t="n">
        <v>135</v>
      </c>
      <c r="M72" t="n">
        <v>34.1</v>
      </c>
      <c r="N72" t="n">
        <v>237</v>
      </c>
      <c r="O72" t="n">
        <v>8</v>
      </c>
      <c r="P72" t="inlineStr">
        <is>
          <t>.</t>
        </is>
      </c>
      <c r="Q72" t="inlineStr">
        <is>
          <t>.</t>
        </is>
      </c>
      <c r="R72" t="inlineStr">
        <is>
          <t>.</t>
        </is>
      </c>
      <c r="S72" t="inlineStr">
        <is>
          <t>.</t>
        </is>
      </c>
      <c r="T72" t="inlineStr">
        <is>
          <t>.</t>
        </is>
      </c>
      <c r="U72" t="inlineStr">
        <is>
          <t>.</t>
        </is>
      </c>
      <c r="V72" t="n">
        <v>223.6</v>
      </c>
      <c r="W72" t="n">
        <v>1723</v>
      </c>
      <c r="X72" t="n">
        <v>143</v>
      </c>
      <c r="Y72">
        <f>IF(ISNUMBER($W72),$W72,0)</f>
        <v/>
      </c>
      <c r="Z72">
        <f>IF(ISNUMBER(SEARCH("Adjustment",$C72)),"excluded",IF($H72="Behind the Meter","excluded",IF(NOT(OR($E72="Bundled",$E72="Energy")),"excluded",IF(OR($H72="Retail Power Marketer",$H72="Community Choice Aggregator",$E72="Energy"),"procurement",IF(OR($H72="Municipal",$H72="Cooperative",$H72="Federal",$H72="State",$H72="Political Subdivision"),"cost_service",IF($H72="Investor Owned",IF(AND(COUNTIF(Parameters!$A$4:$A$33,$G72)&gt;0,COUNTIF(Parameters!$B$4:$B$33,$B72)=0),"procurement","cost_service"),"unclassified"))))))</f>
        <v/>
      </c>
    </row>
    <row r="73">
      <c r="A73" t="n">
        <v>2024</v>
      </c>
      <c r="B73" t="n">
        <v>59931</v>
      </c>
      <c r="C73" t="inlineStr">
        <is>
          <t>MidAmerican Energy Services, LLC</t>
        </is>
      </c>
      <c r="D73" t="inlineStr">
        <is>
          <t>B</t>
        </is>
      </c>
      <c r="E73" t="inlineStr">
        <is>
          <t>Energy</t>
        </is>
      </c>
      <c r="F73" t="inlineStr">
        <is>
          <t>O</t>
        </is>
      </c>
      <c r="G73" t="inlineStr">
        <is>
          <t>NJ</t>
        </is>
      </c>
      <c r="H73" t="inlineStr">
        <is>
          <t>Retail Power Marketer</t>
        </is>
      </c>
      <c r="I73" t="inlineStr">
        <is>
          <t>PJM</t>
        </is>
      </c>
      <c r="J73" t="n">
        <v>0</v>
      </c>
      <c r="K73" t="n">
        <v>0</v>
      </c>
      <c r="L73" t="n">
        <v>0</v>
      </c>
      <c r="M73" t="n">
        <v>12508.7</v>
      </c>
      <c r="N73" t="n">
        <v>189901</v>
      </c>
      <c r="O73" t="n">
        <v>466</v>
      </c>
      <c r="P73" t="n">
        <v>22071.4</v>
      </c>
      <c r="Q73" t="n">
        <v>308548</v>
      </c>
      <c r="R73" t="n">
        <v>14</v>
      </c>
      <c r="S73" t="n">
        <v>0</v>
      </c>
      <c r="T73" t="n">
        <v>0</v>
      </c>
      <c r="U73" t="n">
        <v>0</v>
      </c>
      <c r="V73" t="n">
        <v>34580.1</v>
      </c>
      <c r="W73" t="n">
        <v>498449</v>
      </c>
      <c r="X73" t="n">
        <v>480</v>
      </c>
      <c r="Y73">
        <f>IF(ISNUMBER($W73),$W73,0)</f>
        <v/>
      </c>
      <c r="Z73">
        <f>IF(ISNUMBER(SEARCH("Adjustment",$C73)),"excluded",IF($H73="Behind the Meter","excluded",IF(NOT(OR($E73="Bundled",$E73="Energy")),"excluded",IF(OR($H73="Retail Power Marketer",$H73="Community Choice Aggregator",$E73="Energy"),"procurement",IF(OR($H73="Municipal",$H73="Cooperative",$H73="Federal",$H73="State",$H73="Political Subdivision"),"cost_service",IF($H73="Investor Owned",IF(AND(COUNTIF(Parameters!$A$4:$A$33,$G73)&gt;0,COUNTIF(Parameters!$B$4:$B$33,$B73)=0),"procurement","cost_service"),"unclassified"))))))</f>
        <v/>
      </c>
    </row>
    <row r="74">
      <c r="A74" t="n">
        <v>2024</v>
      </c>
      <c r="B74" t="n">
        <v>59943</v>
      </c>
      <c r="C74" t="inlineStr">
        <is>
          <t>Spruce Finance</t>
        </is>
      </c>
      <c r="D74" t="inlineStr">
        <is>
          <t>A</t>
        </is>
      </c>
      <c r="E74" t="inlineStr">
        <is>
          <t>Bundled</t>
        </is>
      </c>
      <c r="F74" t="inlineStr">
        <is>
          <t>O</t>
        </is>
      </c>
      <c r="G74" t="inlineStr">
        <is>
          <t>NJ</t>
        </is>
      </c>
      <c r="H74" t="inlineStr">
        <is>
          <t>Behind the Meter</t>
        </is>
      </c>
      <c r="I74" t="inlineStr">
        <is>
          <t>PJM</t>
        </is>
      </c>
      <c r="J74" t="n">
        <v>7855</v>
      </c>
      <c r="K74" t="n">
        <v>48660</v>
      </c>
      <c r="L74" t="n">
        <v>6250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7855</v>
      </c>
      <c r="W74" t="n">
        <v>48660</v>
      </c>
      <c r="X74" t="n">
        <v>6250</v>
      </c>
      <c r="Y74">
        <f>IF(ISNUMBER($W74),$W74,0)</f>
        <v/>
      </c>
      <c r="Z74">
        <f>IF(ISNUMBER(SEARCH("Adjustment",$C74)),"excluded",IF($H74="Behind the Meter","excluded",IF(NOT(OR($E74="Bundled",$E74="Energy")),"excluded",IF(OR($H74="Retail Power Marketer",$H74="Community Choice Aggregator",$E74="Energy"),"procurement",IF(OR($H74="Municipal",$H74="Cooperative",$H74="Federal",$H74="State",$H74="Political Subdivision"),"cost_service",IF($H74="Investor Owned",IF(AND(COUNTIF(Parameters!$A$4:$A$33,$G74)&gt;0,COUNTIF(Parameters!$B$4:$B$33,$B74)=0),"procurement","cost_service"),"unclassified"))))))</f>
        <v/>
      </c>
    </row>
    <row r="75">
      <c r="A75" t="n">
        <v>2024</v>
      </c>
      <c r="B75" t="n">
        <v>59993</v>
      </c>
      <c r="C75" t="inlineStr">
        <is>
          <t>Discount Power Inc - (CT)</t>
        </is>
      </c>
      <c r="D75" t="inlineStr">
        <is>
          <t>B</t>
        </is>
      </c>
      <c r="E75" t="inlineStr">
        <is>
          <t>Energy</t>
        </is>
      </c>
      <c r="F75" t="inlineStr">
        <is>
          <t>O</t>
        </is>
      </c>
      <c r="G75" t="inlineStr">
        <is>
          <t>NJ</t>
        </is>
      </c>
      <c r="H75" t="inlineStr">
        <is>
          <t>Retail Power Marketer</t>
        </is>
      </c>
      <c r="I75" t="inlineStr">
        <is>
          <t>PJM</t>
        </is>
      </c>
      <c r="J75" t="n">
        <v>966.5</v>
      </c>
      <c r="K75" t="n">
        <v>4487</v>
      </c>
      <c r="L75" t="n">
        <v>757</v>
      </c>
      <c r="M75" t="n">
        <v>232.9</v>
      </c>
      <c r="N75" t="n">
        <v>1633</v>
      </c>
      <c r="O75" t="n">
        <v>20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1199.4</v>
      </c>
      <c r="W75" t="n">
        <v>6120</v>
      </c>
      <c r="X75" t="n">
        <v>777</v>
      </c>
      <c r="Y75">
        <f>IF(ISNUMBER($W75),$W75,0)</f>
        <v/>
      </c>
      <c r="Z75">
        <f>IF(ISNUMBER(SEARCH("Adjustment",$C75)),"excluded",IF($H75="Behind the Meter","excluded",IF(NOT(OR($E75="Bundled",$E75="Energy")),"excluded",IF(OR($H75="Retail Power Marketer",$H75="Community Choice Aggregator",$E75="Energy"),"procurement",IF(OR($H75="Municipal",$H75="Cooperative",$H75="Federal",$H75="State",$H75="Political Subdivision"),"cost_service",IF($H75="Investor Owned",IF(AND(COUNTIF(Parameters!$A$4:$A$33,$G75)&gt;0,COUNTIF(Parameters!$B$4:$B$33,$B75)=0),"procurement","cost_service"),"unclassified"))))))</f>
        <v/>
      </c>
    </row>
    <row r="76">
      <c r="A76" t="n">
        <v>2024</v>
      </c>
      <c r="B76" t="n">
        <v>60025</v>
      </c>
      <c r="C76" t="inlineStr">
        <is>
          <t>Greenbacker Renewable Energy Corporation</t>
        </is>
      </c>
      <c r="D76" t="inlineStr">
        <is>
          <t>A</t>
        </is>
      </c>
      <c r="E76" t="inlineStr">
        <is>
          <t>Bundled</t>
        </is>
      </c>
      <c r="F76" t="inlineStr">
        <is>
          <t>O</t>
        </is>
      </c>
      <c r="G76" t="inlineStr">
        <is>
          <t>NJ</t>
        </is>
      </c>
      <c r="H76" t="inlineStr">
        <is>
          <t>Behind the Meter</t>
        </is>
      </c>
      <c r="I76" t="inlineStr">
        <is>
          <t>PJM</t>
        </is>
      </c>
      <c r="J76" t="n">
        <v>0</v>
      </c>
      <c r="K76" t="n">
        <v>0</v>
      </c>
      <c r="L76" t="n">
        <v>0</v>
      </c>
      <c r="M76" t="n">
        <v>379</v>
      </c>
      <c r="N76" t="n">
        <v>4843</v>
      </c>
      <c r="O76" t="n">
        <v>12</v>
      </c>
      <c r="P76" t="inlineStr">
        <is>
          <t>.</t>
        </is>
      </c>
      <c r="Q76" t="inlineStr">
        <is>
          <t>.</t>
        </is>
      </c>
      <c r="R76" t="inlineStr">
        <is>
          <t>.</t>
        </is>
      </c>
      <c r="S76" t="inlineStr">
        <is>
          <t>.</t>
        </is>
      </c>
      <c r="T76" t="inlineStr">
        <is>
          <t>.</t>
        </is>
      </c>
      <c r="U76" t="inlineStr">
        <is>
          <t>.</t>
        </is>
      </c>
      <c r="V76" t="n">
        <v>379</v>
      </c>
      <c r="W76" t="n">
        <v>4843</v>
      </c>
      <c r="X76" t="n">
        <v>12</v>
      </c>
      <c r="Y76">
        <f>IF(ISNUMBER($W76),$W76,0)</f>
        <v/>
      </c>
      <c r="Z76">
        <f>IF(ISNUMBER(SEARCH("Adjustment",$C76)),"excluded",IF($H76="Behind the Meter","excluded",IF(NOT(OR($E76="Bundled",$E76="Energy")),"excluded",IF(OR($H76="Retail Power Marketer",$H76="Community Choice Aggregator",$E76="Energy"),"procurement",IF(OR($H76="Municipal",$H76="Cooperative",$H76="Federal",$H76="State",$H76="Political Subdivision"),"cost_service",IF($H76="Investor Owned",IF(AND(COUNTIF(Parameters!$A$4:$A$33,$G76)&gt;0,COUNTIF(Parameters!$B$4:$B$33,$B76)=0),"procurement","cost_service"),"unclassified"))))))</f>
        <v/>
      </c>
    </row>
    <row r="77">
      <c r="A77" t="n">
        <v>2024</v>
      </c>
      <c r="B77" t="n">
        <v>60124</v>
      </c>
      <c r="C77" t="inlineStr">
        <is>
          <t>Spring Energy RRH LLC</t>
        </is>
      </c>
      <c r="D77" t="inlineStr">
        <is>
          <t>B</t>
        </is>
      </c>
      <c r="E77" t="inlineStr">
        <is>
          <t>Energy</t>
        </is>
      </c>
      <c r="F77" t="inlineStr">
        <is>
          <t>O</t>
        </is>
      </c>
      <c r="G77" t="inlineStr">
        <is>
          <t>NJ</t>
        </is>
      </c>
      <c r="H77" t="inlineStr">
        <is>
          <t>Retail Power Marketer</t>
        </is>
      </c>
      <c r="I77" t="inlineStr">
        <is>
          <t>PJM</t>
        </is>
      </c>
      <c r="J77" t="n">
        <v>2127</v>
      </c>
      <c r="K77" t="n">
        <v>13726</v>
      </c>
      <c r="L77" t="n">
        <v>2331</v>
      </c>
      <c r="M77" t="n">
        <v>54</v>
      </c>
      <c r="N77" t="n">
        <v>336</v>
      </c>
      <c r="O77" t="n">
        <v>13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2181</v>
      </c>
      <c r="W77" t="n">
        <v>14062</v>
      </c>
      <c r="X77" t="n">
        <v>2344</v>
      </c>
      <c r="Y77">
        <f>IF(ISNUMBER($W77),$W77,0)</f>
        <v/>
      </c>
      <c r="Z77">
        <f>IF(ISNUMBER(SEARCH("Adjustment",$C77)),"excluded",IF($H77="Behind the Meter","excluded",IF(NOT(OR($E77="Bundled",$E77="Energy")),"excluded",IF(OR($H77="Retail Power Marketer",$H77="Community Choice Aggregator",$E77="Energy"),"procurement",IF(OR($H77="Municipal",$H77="Cooperative",$H77="Federal",$H77="State",$H77="Political Subdivision"),"cost_service",IF($H77="Investor Owned",IF(AND(COUNTIF(Parameters!$A$4:$A$33,$G77)&gt;0,COUNTIF(Parameters!$B$4:$B$33,$B77)=0),"procurement","cost_service"),"unclassified"))))))</f>
        <v/>
      </c>
    </row>
    <row r="78">
      <c r="A78" t="n">
        <v>2024</v>
      </c>
      <c r="B78" t="n">
        <v>60218</v>
      </c>
      <c r="C78" t="inlineStr">
        <is>
          <t>MPower Energy NJ LLC</t>
        </is>
      </c>
      <c r="D78" t="inlineStr">
        <is>
          <t>B</t>
        </is>
      </c>
      <c r="E78" t="inlineStr">
        <is>
          <t>Energy</t>
        </is>
      </c>
      <c r="F78" t="inlineStr">
        <is>
          <t>O</t>
        </is>
      </c>
      <c r="G78" t="inlineStr">
        <is>
          <t>NJ</t>
        </is>
      </c>
      <c r="H78" t="inlineStr">
        <is>
          <t>Retail Power Marketer</t>
        </is>
      </c>
      <c r="I78" t="inlineStr">
        <is>
          <t>PJM</t>
        </is>
      </c>
      <c r="J78" t="n">
        <v>3311.6</v>
      </c>
      <c r="K78" t="n">
        <v>16972</v>
      </c>
      <c r="L78" t="n">
        <v>3505</v>
      </c>
      <c r="M78" t="n">
        <v>446.6</v>
      </c>
      <c r="N78" t="n">
        <v>2229</v>
      </c>
      <c r="O78" t="n">
        <v>117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3758.2</v>
      </c>
      <c r="W78" t="n">
        <v>19201</v>
      </c>
      <c r="X78" t="n">
        <v>3622</v>
      </c>
      <c r="Y78">
        <f>IF(ISNUMBER($W78),$W78,0)</f>
        <v/>
      </c>
      <c r="Z78">
        <f>IF(ISNUMBER(SEARCH("Adjustment",$C78)),"excluded",IF($H78="Behind the Meter","excluded",IF(NOT(OR($E78="Bundled",$E78="Energy")),"excluded",IF(OR($H78="Retail Power Marketer",$H78="Community Choice Aggregator",$E78="Energy"),"procurement",IF(OR($H78="Municipal",$H78="Cooperative",$H78="Federal",$H78="State",$H78="Political Subdivision"),"cost_service",IF($H78="Investor Owned",IF(AND(COUNTIF(Parameters!$A$4:$A$33,$G78)&gt;0,COUNTIF(Parameters!$B$4:$B$33,$B78)=0),"procurement","cost_service"),"unclassified"))))))</f>
        <v/>
      </c>
    </row>
    <row r="79">
      <c r="A79" t="n">
        <v>2024</v>
      </c>
      <c r="B79" t="n">
        <v>60583</v>
      </c>
      <c r="C79" t="inlineStr">
        <is>
          <t>Atlantic Energy LLC</t>
        </is>
      </c>
      <c r="D79" t="inlineStr">
        <is>
          <t>B</t>
        </is>
      </c>
      <c r="E79" t="inlineStr">
        <is>
          <t>Energy</t>
        </is>
      </c>
      <c r="F79" t="inlineStr">
        <is>
          <t>O</t>
        </is>
      </c>
      <c r="G79" t="inlineStr">
        <is>
          <t>NJ</t>
        </is>
      </c>
      <c r="H79" t="inlineStr">
        <is>
          <t>Retail Power Marketer</t>
        </is>
      </c>
      <c r="I79" t="inlineStr">
        <is>
          <t>PJM</t>
        </is>
      </c>
      <c r="J79" t="n">
        <v>1609.6</v>
      </c>
      <c r="K79" t="n">
        <v>5636</v>
      </c>
      <c r="L79" t="n">
        <v>1065</v>
      </c>
      <c r="M79" t="n">
        <v>1300.8</v>
      </c>
      <c r="N79" t="n">
        <v>4445</v>
      </c>
      <c r="O79" t="n">
        <v>106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2910.4</v>
      </c>
      <c r="W79" t="n">
        <v>10081</v>
      </c>
      <c r="X79" t="n">
        <v>1171</v>
      </c>
      <c r="Y79">
        <f>IF(ISNUMBER($W79),$W79,0)</f>
        <v/>
      </c>
      <c r="Z79">
        <f>IF(ISNUMBER(SEARCH("Adjustment",$C79)),"excluded",IF($H79="Behind the Meter","excluded",IF(NOT(OR($E79="Bundled",$E79="Energy")),"excluded",IF(OR($H79="Retail Power Marketer",$H79="Community Choice Aggregator",$E79="Energy"),"procurement",IF(OR($H79="Municipal",$H79="Cooperative",$H79="Federal",$H79="State",$H79="Political Subdivision"),"cost_service",IF($H79="Investor Owned",IF(AND(COUNTIF(Parameters!$A$4:$A$33,$G79)&gt;0,COUNTIF(Parameters!$B$4:$B$33,$B79)=0),"procurement","cost_service"),"unclassified"))))))</f>
        <v/>
      </c>
    </row>
    <row r="80">
      <c r="A80" t="n">
        <v>2024</v>
      </c>
      <c r="B80" t="n">
        <v>60696</v>
      </c>
      <c r="C80" t="inlineStr">
        <is>
          <t>Vista Energy Marketing, L.P.</t>
        </is>
      </c>
      <c r="D80" t="inlineStr">
        <is>
          <t>B</t>
        </is>
      </c>
      <c r="E80" t="inlineStr">
        <is>
          <t>Energy</t>
        </is>
      </c>
      <c r="F80" t="inlineStr">
        <is>
          <t>O</t>
        </is>
      </c>
      <c r="G80" t="inlineStr">
        <is>
          <t>NJ</t>
        </is>
      </c>
      <c r="H80" t="inlineStr">
        <is>
          <t>Retail Power Marketer</t>
        </is>
      </c>
      <c r="I80" t="inlineStr">
        <is>
          <t>PJM</t>
        </is>
      </c>
      <c r="J80" t="n">
        <v>139.1</v>
      </c>
      <c r="K80" t="n">
        <v>673</v>
      </c>
      <c r="L80" t="n">
        <v>134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139.1</v>
      </c>
      <c r="W80" t="n">
        <v>673</v>
      </c>
      <c r="X80" t="n">
        <v>134</v>
      </c>
      <c r="Y80">
        <f>IF(ISNUMBER($W80),$W80,0)</f>
        <v/>
      </c>
      <c r="Z80">
        <f>IF(ISNUMBER(SEARCH("Adjustment",$C80)),"excluded",IF($H80="Behind the Meter","excluded",IF(NOT(OR($E80="Bundled",$E80="Energy")),"excluded",IF(OR($H80="Retail Power Marketer",$H80="Community Choice Aggregator",$E80="Energy"),"procurement",IF(OR($H80="Municipal",$H80="Cooperative",$H80="Federal",$H80="State",$H80="Political Subdivision"),"cost_service",IF($H80="Investor Owned",IF(AND(COUNTIF(Parameters!$A$4:$A$33,$G80)&gt;0,COUNTIF(Parameters!$B$4:$B$33,$B80)=0),"procurement","cost_service"),"unclassified"))))))</f>
        <v/>
      </c>
    </row>
    <row r="81">
      <c r="A81" t="n">
        <v>2024</v>
      </c>
      <c r="B81" t="n">
        <v>60981</v>
      </c>
      <c r="C81" t="inlineStr">
        <is>
          <t>TerraForm US Energy Services, LLC</t>
        </is>
      </c>
      <c r="D81" t="inlineStr">
        <is>
          <t>A</t>
        </is>
      </c>
      <c r="E81" t="inlineStr">
        <is>
          <t>Bundled</t>
        </is>
      </c>
      <c r="F81" t="inlineStr">
        <is>
          <t>O</t>
        </is>
      </c>
      <c r="G81" t="inlineStr">
        <is>
          <t>NJ</t>
        </is>
      </c>
      <c r="H81" t="inlineStr">
        <is>
          <t>Behind the Meter</t>
        </is>
      </c>
      <c r="I81" t="inlineStr">
        <is>
          <t>PJM</t>
        </is>
      </c>
      <c r="J81" t="n">
        <v>0</v>
      </c>
      <c r="K81" t="n">
        <v>0</v>
      </c>
      <c r="L81" t="n">
        <v>0</v>
      </c>
      <c r="M81" t="n">
        <v>4462</v>
      </c>
      <c r="N81" t="n">
        <v>34435</v>
      </c>
      <c r="O81" t="n">
        <v>130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4462</v>
      </c>
      <c r="W81" t="n">
        <v>34435</v>
      </c>
      <c r="X81" t="n">
        <v>130</v>
      </c>
      <c r="Y81">
        <f>IF(ISNUMBER($W81),$W81,0)</f>
        <v/>
      </c>
      <c r="Z81">
        <f>IF(ISNUMBER(SEARCH("Adjustment",$C81)),"excluded",IF($H81="Behind the Meter","excluded",IF(NOT(OR($E81="Bundled",$E81="Energy")),"excluded",IF(OR($H81="Retail Power Marketer",$H81="Community Choice Aggregator",$E81="Energy"),"procurement",IF(OR($H81="Municipal",$H81="Cooperative",$H81="Federal",$H81="State",$H81="Political Subdivision"),"cost_service",IF($H81="Investor Owned",IF(AND(COUNTIF(Parameters!$A$4:$A$33,$G81)&gt;0,COUNTIF(Parameters!$B$4:$B$33,$B81)=0),"procurement","cost_service"),"unclassified"))))))</f>
        <v/>
      </c>
    </row>
    <row r="82">
      <c r="A82" t="n">
        <v>2024</v>
      </c>
      <c r="B82" t="n">
        <v>61131</v>
      </c>
      <c r="C82" t="inlineStr">
        <is>
          <t>Freepoint Energy Solutions LLC</t>
        </is>
      </c>
      <c r="D82" t="inlineStr">
        <is>
          <t>B</t>
        </is>
      </c>
      <c r="E82" t="inlineStr">
        <is>
          <t>Energy</t>
        </is>
      </c>
      <c r="F82" t="inlineStr">
        <is>
          <t>O</t>
        </is>
      </c>
      <c r="G82" t="inlineStr">
        <is>
          <t>NJ</t>
        </is>
      </c>
      <c r="H82" t="inlineStr">
        <is>
          <t>Retail Power Marketer</t>
        </is>
      </c>
      <c r="I82" t="inlineStr">
        <is>
          <t>PJM</t>
        </is>
      </c>
      <c r="J82" t="n">
        <v>0</v>
      </c>
      <c r="K82" t="n">
        <v>0</v>
      </c>
      <c r="L82" t="n">
        <v>0</v>
      </c>
      <c r="M82" t="n">
        <v>63895</v>
      </c>
      <c r="N82" t="n">
        <v>642866</v>
      </c>
      <c r="O82" t="n">
        <v>440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63895</v>
      </c>
      <c r="W82" t="n">
        <v>642866</v>
      </c>
      <c r="X82" t="n">
        <v>440</v>
      </c>
      <c r="Y82">
        <f>IF(ISNUMBER($W82),$W82,0)</f>
        <v/>
      </c>
      <c r="Z82">
        <f>IF(ISNUMBER(SEARCH("Adjustment",$C82)),"excluded",IF($H82="Behind the Meter","excluded",IF(NOT(OR($E82="Bundled",$E82="Energy")),"excluded",IF(OR($H82="Retail Power Marketer",$H82="Community Choice Aggregator",$E82="Energy"),"procurement",IF(OR($H82="Municipal",$H82="Cooperative",$H82="Federal",$H82="State",$H82="Political Subdivision"),"cost_service",IF($H82="Investor Owned",IF(AND(COUNTIF(Parameters!$A$4:$A$33,$G82)&gt;0,COUNTIF(Parameters!$B$4:$B$33,$B82)=0),"procurement","cost_service"),"unclassified"))))))</f>
        <v/>
      </c>
    </row>
    <row r="83">
      <c r="A83" t="n">
        <v>2024</v>
      </c>
      <c r="B83" t="n">
        <v>61367</v>
      </c>
      <c r="C83" t="inlineStr">
        <is>
          <t>South Bay Energy Corp.</t>
        </is>
      </c>
      <c r="D83" t="inlineStr">
        <is>
          <t>B</t>
        </is>
      </c>
      <c r="E83" t="inlineStr">
        <is>
          <t>Energy</t>
        </is>
      </c>
      <c r="F83" t="inlineStr">
        <is>
          <t>O</t>
        </is>
      </c>
      <c r="G83" t="inlineStr">
        <is>
          <t>NJ</t>
        </is>
      </c>
      <c r="H83" t="inlineStr">
        <is>
          <t>Retail Power Marketer</t>
        </is>
      </c>
      <c r="I83" t="inlineStr">
        <is>
          <t>PJM</t>
        </is>
      </c>
      <c r="J83" t="n">
        <v>1580</v>
      </c>
      <c r="K83" t="n">
        <v>7948</v>
      </c>
      <c r="L83" t="n">
        <v>1195</v>
      </c>
      <c r="M83" t="n">
        <v>3627</v>
      </c>
      <c r="N83" t="n">
        <v>17693</v>
      </c>
      <c r="O83" t="n">
        <v>910</v>
      </c>
      <c r="P83" t="n">
        <v>393</v>
      </c>
      <c r="Q83" t="n">
        <v>1836</v>
      </c>
      <c r="R83" t="n">
        <v>11</v>
      </c>
      <c r="S83" t="n">
        <v>0</v>
      </c>
      <c r="T83" t="n">
        <v>0</v>
      </c>
      <c r="U83" t="n">
        <v>0</v>
      </c>
      <c r="V83" t="n">
        <v>5600</v>
      </c>
      <c r="W83" t="n">
        <v>27477</v>
      </c>
      <c r="X83" t="n">
        <v>2116</v>
      </c>
      <c r="Y83">
        <f>IF(ISNUMBER($W83),$W83,0)</f>
        <v/>
      </c>
      <c r="Z83">
        <f>IF(ISNUMBER(SEARCH("Adjustment",$C83)),"excluded",IF($H83="Behind the Meter","excluded",IF(NOT(OR($E83="Bundled",$E83="Energy")),"excluded",IF(OR($H83="Retail Power Marketer",$H83="Community Choice Aggregator",$E83="Energy"),"procurement",IF(OR($H83="Municipal",$H83="Cooperative",$H83="Federal",$H83="State",$H83="Political Subdivision"),"cost_service",IF($H83="Investor Owned",IF(AND(COUNTIF(Parameters!$A$4:$A$33,$G83)&gt;0,COUNTIF(Parameters!$B$4:$B$33,$B83)=0),"procurement","cost_service"),"unclassified"))))))</f>
        <v/>
      </c>
    </row>
    <row r="84">
      <c r="A84" t="n">
        <v>2024</v>
      </c>
      <c r="B84" t="n">
        <v>61823</v>
      </c>
      <c r="C84" t="inlineStr">
        <is>
          <t>Greenskies Renewable Energy, LLC</t>
        </is>
      </c>
      <c r="D84" t="inlineStr">
        <is>
          <t>A</t>
        </is>
      </c>
      <c r="E84" t="inlineStr">
        <is>
          <t>Bundled</t>
        </is>
      </c>
      <c r="F84" t="inlineStr">
        <is>
          <t>O</t>
        </is>
      </c>
      <c r="G84" t="inlineStr">
        <is>
          <t>NJ</t>
        </is>
      </c>
      <c r="H84" t="inlineStr">
        <is>
          <t>Behind the Meter</t>
        </is>
      </c>
      <c r="I84" t="inlineStr">
        <is>
          <t>PJM</t>
        </is>
      </c>
      <c r="J84" t="inlineStr">
        <is>
          <t>.</t>
        </is>
      </c>
      <c r="K84" t="inlineStr">
        <is>
          <t>.</t>
        </is>
      </c>
      <c r="L84" t="inlineStr">
        <is>
          <t>.</t>
        </is>
      </c>
      <c r="M84" t="n">
        <v>995.7</v>
      </c>
      <c r="N84" t="n">
        <v>35070</v>
      </c>
      <c r="O84" t="n">
        <v>22</v>
      </c>
      <c r="P84" t="inlineStr">
        <is>
          <t>.</t>
        </is>
      </c>
      <c r="Q84" t="inlineStr">
        <is>
          <t>.</t>
        </is>
      </c>
      <c r="R84" t="inlineStr">
        <is>
          <t>.</t>
        </is>
      </c>
      <c r="S84" t="inlineStr">
        <is>
          <t>.</t>
        </is>
      </c>
      <c r="T84" t="inlineStr">
        <is>
          <t>.</t>
        </is>
      </c>
      <c r="U84" t="inlineStr">
        <is>
          <t>.</t>
        </is>
      </c>
      <c r="V84" t="n">
        <v>995.7</v>
      </c>
      <c r="W84" t="n">
        <v>35070</v>
      </c>
      <c r="X84" t="n">
        <v>22</v>
      </c>
      <c r="Y84">
        <f>IF(ISNUMBER($W84),$W84,0)</f>
        <v/>
      </c>
      <c r="Z84">
        <f>IF(ISNUMBER(SEARCH("Adjustment",$C84)),"excluded",IF($H84="Behind the Meter","excluded",IF(NOT(OR($E84="Bundled",$E84="Energy")),"excluded",IF(OR($H84="Retail Power Marketer",$H84="Community Choice Aggregator",$E84="Energy"),"procurement",IF(OR($H84="Municipal",$H84="Cooperative",$H84="Federal",$H84="State",$H84="Political Subdivision"),"cost_service",IF($H84="Investor Owned",IF(AND(COUNTIF(Parameters!$A$4:$A$33,$G84)&gt;0,COUNTIF(Parameters!$B$4:$B$33,$B84)=0),"procurement","cost_service"),"unclassified"))))))</f>
        <v/>
      </c>
    </row>
    <row r="85">
      <c r="A85" t="n">
        <v>2024</v>
      </c>
      <c r="B85" t="n">
        <v>61920</v>
      </c>
      <c r="C85" t="inlineStr">
        <is>
          <t>All American Power and Gas, LLC</t>
        </is>
      </c>
      <c r="D85" t="inlineStr">
        <is>
          <t>B</t>
        </is>
      </c>
      <c r="E85" t="inlineStr">
        <is>
          <t>Energy</t>
        </is>
      </c>
      <c r="F85" t="inlineStr">
        <is>
          <t>O</t>
        </is>
      </c>
      <c r="G85" t="inlineStr">
        <is>
          <t>NJ</t>
        </is>
      </c>
      <c r="H85" t="inlineStr">
        <is>
          <t>Retail Power Marketer</t>
        </is>
      </c>
      <c r="I85" t="inlineStr">
        <is>
          <t>PJM</t>
        </is>
      </c>
      <c r="J85" t="n">
        <v>292.6</v>
      </c>
      <c r="K85" t="n">
        <v>814</v>
      </c>
      <c r="L85" t="n">
        <v>123</v>
      </c>
      <c r="M85" t="n">
        <v>2468.5</v>
      </c>
      <c r="N85" t="n">
        <v>6659</v>
      </c>
      <c r="O85" t="n">
        <v>283</v>
      </c>
      <c r="P85" t="inlineStr">
        <is>
          <t>.</t>
        </is>
      </c>
      <c r="Q85" t="inlineStr">
        <is>
          <t>.</t>
        </is>
      </c>
      <c r="R85" t="inlineStr">
        <is>
          <t>.</t>
        </is>
      </c>
      <c r="S85" t="inlineStr">
        <is>
          <t>.</t>
        </is>
      </c>
      <c r="T85" t="inlineStr">
        <is>
          <t>.</t>
        </is>
      </c>
      <c r="U85" t="inlineStr">
        <is>
          <t>.</t>
        </is>
      </c>
      <c r="V85" t="n">
        <v>2761.1</v>
      </c>
      <c r="W85" t="n">
        <v>7473</v>
      </c>
      <c r="X85" t="n">
        <v>406</v>
      </c>
      <c r="Y85">
        <f>IF(ISNUMBER($W85),$W85,0)</f>
        <v/>
      </c>
      <c r="Z85">
        <f>IF(ISNUMBER(SEARCH("Adjustment",$C85)),"excluded",IF($H85="Behind the Meter","excluded",IF(NOT(OR($E85="Bundled",$E85="Energy")),"excluded",IF(OR($H85="Retail Power Marketer",$H85="Community Choice Aggregator",$E85="Energy"),"procurement",IF(OR($H85="Municipal",$H85="Cooperative",$H85="Federal",$H85="State",$H85="Political Subdivision"),"cost_service",IF($H85="Investor Owned",IF(AND(COUNTIF(Parameters!$A$4:$A$33,$G85)&gt;0,COUNTIF(Parameters!$B$4:$B$33,$B85)=0),"procurement","cost_service"),"unclassified"))))))</f>
        <v/>
      </c>
    </row>
    <row r="86">
      <c r="A86" t="n">
        <v>2024</v>
      </c>
      <c r="B86" t="n">
        <v>61922</v>
      </c>
      <c r="C86" t="inlineStr">
        <is>
          <t>Pure Energy USA, LLC</t>
        </is>
      </c>
      <c r="D86" t="inlineStr">
        <is>
          <t>B</t>
        </is>
      </c>
      <c r="E86" t="inlineStr">
        <is>
          <t>Energy</t>
        </is>
      </c>
      <c r="F86" t="inlineStr">
        <is>
          <t>O</t>
        </is>
      </c>
      <c r="G86" t="inlineStr">
        <is>
          <t>NJ</t>
        </is>
      </c>
      <c r="H86" t="inlineStr">
        <is>
          <t>Retail Power Marketer</t>
        </is>
      </c>
      <c r="I86" t="inlineStr">
        <is>
          <t>PJM</t>
        </is>
      </c>
      <c r="J86" t="n">
        <v>3260.8</v>
      </c>
      <c r="K86" t="n">
        <v>9466</v>
      </c>
      <c r="L86" t="n">
        <v>1482</v>
      </c>
      <c r="M86" t="n">
        <v>7461.7</v>
      </c>
      <c r="N86" t="n">
        <v>22236</v>
      </c>
      <c r="O86" t="n">
        <v>786</v>
      </c>
      <c r="P86" t="inlineStr">
        <is>
          <t>.</t>
        </is>
      </c>
      <c r="Q86" t="inlineStr">
        <is>
          <t>.</t>
        </is>
      </c>
      <c r="R86" t="inlineStr">
        <is>
          <t>.</t>
        </is>
      </c>
      <c r="S86" t="inlineStr">
        <is>
          <t>.</t>
        </is>
      </c>
      <c r="T86" t="inlineStr">
        <is>
          <t>.</t>
        </is>
      </c>
      <c r="U86" t="inlineStr">
        <is>
          <t>.</t>
        </is>
      </c>
      <c r="V86" t="n">
        <v>10722.5</v>
      </c>
      <c r="W86" t="n">
        <v>31702</v>
      </c>
      <c r="X86" t="n">
        <v>2268</v>
      </c>
      <c r="Y86">
        <f>IF(ISNUMBER($W86),$W86,0)</f>
        <v/>
      </c>
      <c r="Z86">
        <f>IF(ISNUMBER(SEARCH("Adjustment",$C86)),"excluded",IF($H86="Behind the Meter","excluded",IF(NOT(OR($E86="Bundled",$E86="Energy")),"excluded",IF(OR($H86="Retail Power Marketer",$H86="Community Choice Aggregator",$E86="Energy"),"procurement",IF(OR($H86="Municipal",$H86="Cooperative",$H86="Federal",$H86="State",$H86="Political Subdivision"),"cost_service",IF($H86="Investor Owned",IF(AND(COUNTIF(Parameters!$A$4:$A$33,$G86)&gt;0,COUNTIF(Parameters!$B$4:$B$33,$B86)=0),"procurement","cost_service"),"unclassified"))))))</f>
        <v/>
      </c>
    </row>
    <row r="87">
      <c r="A87" t="n">
        <v>2024</v>
      </c>
      <c r="B87" t="n">
        <v>61972</v>
      </c>
      <c r="C87" t="inlineStr">
        <is>
          <t>SunSea Energy, LLC</t>
        </is>
      </c>
      <c r="D87" t="inlineStr">
        <is>
          <t>B</t>
        </is>
      </c>
      <c r="E87" t="inlineStr">
        <is>
          <t>Energy</t>
        </is>
      </c>
      <c r="F87" t="inlineStr">
        <is>
          <t>O</t>
        </is>
      </c>
      <c r="G87" t="inlineStr">
        <is>
          <t>NJ</t>
        </is>
      </c>
      <c r="H87" t="inlineStr">
        <is>
          <t>Retail Power Marketer</t>
        </is>
      </c>
      <c r="I87" t="inlineStr">
        <is>
          <t>PJM</t>
        </is>
      </c>
      <c r="J87" t="n">
        <v>2361</v>
      </c>
      <c r="K87" t="n">
        <v>8869</v>
      </c>
      <c r="L87" t="n">
        <v>1871</v>
      </c>
      <c r="M87" t="n">
        <v>37.8</v>
      </c>
      <c r="N87" t="n">
        <v>150</v>
      </c>
      <c r="O87" t="n">
        <v>25</v>
      </c>
      <c r="P87" t="inlineStr">
        <is>
          <t>.</t>
        </is>
      </c>
      <c r="Q87" t="inlineStr">
        <is>
          <t>.</t>
        </is>
      </c>
      <c r="R87" t="inlineStr">
        <is>
          <t>.</t>
        </is>
      </c>
      <c r="S87" t="inlineStr">
        <is>
          <t>.</t>
        </is>
      </c>
      <c r="T87" t="inlineStr">
        <is>
          <t>.</t>
        </is>
      </c>
      <c r="U87" t="inlineStr">
        <is>
          <t>.</t>
        </is>
      </c>
      <c r="V87" t="n">
        <v>2398.8</v>
      </c>
      <c r="W87" t="n">
        <v>9019</v>
      </c>
      <c r="X87" t="n">
        <v>1896</v>
      </c>
      <c r="Y87">
        <f>IF(ISNUMBER($W87),$W87,0)</f>
        <v/>
      </c>
      <c r="Z87">
        <f>IF(ISNUMBER(SEARCH("Adjustment",$C87)),"excluded",IF($H87="Behind the Meter","excluded",IF(NOT(OR($E87="Bundled",$E87="Energy")),"excluded",IF(OR($H87="Retail Power Marketer",$H87="Community Choice Aggregator",$E87="Energy"),"procurement",IF(OR($H87="Municipal",$H87="Cooperative",$H87="Federal",$H87="State",$H87="Political Subdivision"),"cost_service",IF($H87="Investor Owned",IF(AND(COUNTIF(Parameters!$A$4:$A$33,$G87)&gt;0,COUNTIF(Parameters!$B$4:$B$33,$B87)=0),"procurement","cost_service"),"unclassified"))))))</f>
        <v/>
      </c>
    </row>
    <row r="88">
      <c r="A88" t="n">
        <v>2024</v>
      </c>
      <c r="B88" t="n">
        <v>62156</v>
      </c>
      <c r="C88" t="inlineStr">
        <is>
          <t>Power UP Energy, LLC</t>
        </is>
      </c>
      <c r="D88" t="inlineStr">
        <is>
          <t>B</t>
        </is>
      </c>
      <c r="E88" t="inlineStr">
        <is>
          <t>Energy</t>
        </is>
      </c>
      <c r="F88" t="inlineStr">
        <is>
          <t>O</t>
        </is>
      </c>
      <c r="G88" t="inlineStr">
        <is>
          <t>NJ</t>
        </is>
      </c>
      <c r="H88" t="inlineStr">
        <is>
          <t>Retail Power Marketer</t>
        </is>
      </c>
      <c r="I88" t="inlineStr">
        <is>
          <t>PJM</t>
        </is>
      </c>
      <c r="J88" t="n">
        <v>255.7</v>
      </c>
      <c r="K88" t="n">
        <v>713</v>
      </c>
      <c r="L88" t="n">
        <v>38</v>
      </c>
      <c r="M88" t="n">
        <v>2104.3</v>
      </c>
      <c r="N88" t="n">
        <v>5894</v>
      </c>
      <c r="O88" t="n">
        <v>404</v>
      </c>
      <c r="P88" t="inlineStr">
        <is>
          <t>.</t>
        </is>
      </c>
      <c r="Q88" t="inlineStr">
        <is>
          <t>.</t>
        </is>
      </c>
      <c r="R88" t="inlineStr">
        <is>
          <t>.</t>
        </is>
      </c>
      <c r="S88" t="inlineStr">
        <is>
          <t>.</t>
        </is>
      </c>
      <c r="T88" t="inlineStr">
        <is>
          <t>.</t>
        </is>
      </c>
      <c r="U88" t="inlineStr">
        <is>
          <t>.</t>
        </is>
      </c>
      <c r="V88" t="n">
        <v>2360</v>
      </c>
      <c r="W88" t="n">
        <v>6607</v>
      </c>
      <c r="X88" t="n">
        <v>442</v>
      </c>
      <c r="Y88">
        <f>IF(ISNUMBER($W88),$W88,0)</f>
        <v/>
      </c>
      <c r="Z88">
        <f>IF(ISNUMBER(SEARCH("Adjustment",$C88)),"excluded",IF($H88="Behind the Meter","excluded",IF(NOT(OR($E88="Bundled",$E88="Energy")),"excluded",IF(OR($H88="Retail Power Marketer",$H88="Community Choice Aggregator",$E88="Energy"),"procurement",IF(OR($H88="Municipal",$H88="Cooperative",$H88="Federal",$H88="State",$H88="Political Subdivision"),"cost_service",IF($H88="Investor Owned",IF(AND(COUNTIF(Parameters!$A$4:$A$33,$G88)&gt;0,COUNTIF(Parameters!$B$4:$B$33,$B88)=0),"procurement","cost_service"),"unclassified"))))))</f>
        <v/>
      </c>
    </row>
    <row r="89">
      <c r="A89" t="n">
        <v>2024</v>
      </c>
      <c r="B89" t="n">
        <v>63008</v>
      </c>
      <c r="C89" t="inlineStr">
        <is>
          <t>Agressive Energy LLC</t>
        </is>
      </c>
      <c r="D89" t="inlineStr">
        <is>
          <t>B</t>
        </is>
      </c>
      <c r="E89" t="inlineStr">
        <is>
          <t>Energy</t>
        </is>
      </c>
      <c r="F89" t="inlineStr">
        <is>
          <t>O</t>
        </is>
      </c>
      <c r="G89" t="inlineStr">
        <is>
          <t>NJ</t>
        </is>
      </c>
      <c r="H89" t="inlineStr">
        <is>
          <t>Retail Power Marketer</t>
        </is>
      </c>
      <c r="I89" t="inlineStr">
        <is>
          <t>PJM</t>
        </is>
      </c>
      <c r="J89" t="n">
        <v>0</v>
      </c>
      <c r="K89" t="n">
        <v>0</v>
      </c>
      <c r="L89" t="n">
        <v>0</v>
      </c>
      <c r="M89" t="n">
        <v>20937.5</v>
      </c>
      <c r="N89" t="n">
        <v>178956</v>
      </c>
      <c r="O89" t="n">
        <v>656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20937.5</v>
      </c>
      <c r="W89" t="n">
        <v>178956</v>
      </c>
      <c r="X89" t="n">
        <v>656</v>
      </c>
      <c r="Y89">
        <f>IF(ISNUMBER($W89),$W89,0)</f>
        <v/>
      </c>
      <c r="Z89">
        <f>IF(ISNUMBER(SEARCH("Adjustment",$C89)),"excluded",IF($H89="Behind the Meter","excluded",IF(NOT(OR($E89="Bundled",$E89="Energy")),"excluded",IF(OR($H89="Retail Power Marketer",$H89="Community Choice Aggregator",$E89="Energy"),"procurement",IF(OR($H89="Municipal",$H89="Cooperative",$H89="Federal",$H89="State",$H89="Political Subdivision"),"cost_service",IF($H89="Investor Owned",IF(AND(COUNTIF(Parameters!$A$4:$A$33,$G89)&gt;0,COUNTIF(Parameters!$B$4:$B$33,$B89)=0),"procurement","cost_service"),"unclassified"))))))</f>
        <v/>
      </c>
    </row>
    <row r="90">
      <c r="A90" t="n">
        <v>2024</v>
      </c>
      <c r="B90" t="n">
        <v>63122</v>
      </c>
      <c r="C90" t="inlineStr">
        <is>
          <t>Approved Energy II, LLC</t>
        </is>
      </c>
      <c r="D90" t="inlineStr">
        <is>
          <t>B</t>
        </is>
      </c>
      <c r="E90" t="inlineStr">
        <is>
          <t>Energy</t>
        </is>
      </c>
      <c r="F90" t="inlineStr">
        <is>
          <t>O</t>
        </is>
      </c>
      <c r="G90" t="inlineStr">
        <is>
          <t>NJ</t>
        </is>
      </c>
      <c r="H90" t="inlineStr">
        <is>
          <t>Retail Power Marketer</t>
        </is>
      </c>
      <c r="I90" t="inlineStr">
        <is>
          <t>PJM</t>
        </is>
      </c>
      <c r="J90" t="n">
        <v>4.2</v>
      </c>
      <c r="K90" t="n">
        <v>39</v>
      </c>
      <c r="L90" t="n">
        <v>2</v>
      </c>
      <c r="M90" t="n">
        <v>44773.5</v>
      </c>
      <c r="N90" t="n">
        <v>456363</v>
      </c>
      <c r="O90" t="n">
        <v>3168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44777.7</v>
      </c>
      <c r="W90" t="n">
        <v>456402</v>
      </c>
      <c r="X90" t="n">
        <v>3170</v>
      </c>
      <c r="Y90">
        <f>IF(ISNUMBER($W90),$W90,0)</f>
        <v/>
      </c>
      <c r="Z90">
        <f>IF(ISNUMBER(SEARCH("Adjustment",$C90)),"excluded",IF($H90="Behind the Meter","excluded",IF(NOT(OR($E90="Bundled",$E90="Energy")),"excluded",IF(OR($H90="Retail Power Marketer",$H90="Community Choice Aggregator",$E90="Energy"),"procurement",IF(OR($H90="Municipal",$H90="Cooperative",$H90="Federal",$H90="State",$H90="Political Subdivision"),"cost_service",IF($H90="Investor Owned",IF(AND(COUNTIF(Parameters!$A$4:$A$33,$G90)&gt;0,COUNTIF(Parameters!$B$4:$B$33,$B90)=0),"procurement","cost_service"),"unclassified"))))))</f>
        <v/>
      </c>
    </row>
    <row r="91">
      <c r="A91" t="n">
        <v>2024</v>
      </c>
      <c r="B91" t="n">
        <v>63168</v>
      </c>
      <c r="C91" t="inlineStr">
        <is>
          <t>Median Energy Corp.</t>
        </is>
      </c>
      <c r="D91" t="inlineStr">
        <is>
          <t>B</t>
        </is>
      </c>
      <c r="E91" t="inlineStr">
        <is>
          <t>Energy</t>
        </is>
      </c>
      <c r="F91" t="inlineStr">
        <is>
          <t>O</t>
        </is>
      </c>
      <c r="G91" t="inlineStr">
        <is>
          <t>NJ</t>
        </is>
      </c>
      <c r="H91" t="inlineStr">
        <is>
          <t>Retail Power Marketer</t>
        </is>
      </c>
      <c r="I91" t="inlineStr">
        <is>
          <t>PJM</t>
        </is>
      </c>
      <c r="J91" t="n">
        <v>3219.3</v>
      </c>
      <c r="K91" t="n">
        <v>15217</v>
      </c>
      <c r="L91" t="n">
        <v>2335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3219.3</v>
      </c>
      <c r="W91" t="n">
        <v>15217</v>
      </c>
      <c r="X91" t="n">
        <v>2335</v>
      </c>
      <c r="Y91">
        <f>IF(ISNUMBER($W91),$W91,0)</f>
        <v/>
      </c>
      <c r="Z91">
        <f>IF(ISNUMBER(SEARCH("Adjustment",$C91)),"excluded",IF($H91="Behind the Meter","excluded",IF(NOT(OR($E91="Bundled",$E91="Energy")),"excluded",IF(OR($H91="Retail Power Marketer",$H91="Community Choice Aggregator",$E91="Energy"),"procurement",IF(OR($H91="Municipal",$H91="Cooperative",$H91="Federal",$H91="State",$H91="Political Subdivision"),"cost_service",IF($H91="Investor Owned",IF(AND(COUNTIF(Parameters!$A$4:$A$33,$G91)&gt;0,COUNTIF(Parameters!$B$4:$B$33,$B91)=0),"procurement","cost_service"),"unclassified"))))))</f>
        <v/>
      </c>
    </row>
    <row r="92">
      <c r="A92" t="n">
        <v>2024</v>
      </c>
      <c r="B92" t="n">
        <v>63232</v>
      </c>
      <c r="C92" t="inlineStr">
        <is>
          <t>National Gas &amp; Electric, LLC</t>
        </is>
      </c>
      <c r="D92" t="inlineStr">
        <is>
          <t>B</t>
        </is>
      </c>
      <c r="E92" t="inlineStr">
        <is>
          <t>Energy</t>
        </is>
      </c>
      <c r="F92" t="inlineStr">
        <is>
          <t>O</t>
        </is>
      </c>
      <c r="G92" t="inlineStr">
        <is>
          <t>NJ</t>
        </is>
      </c>
      <c r="H92" t="inlineStr">
        <is>
          <t>Retail Power Marketer</t>
        </is>
      </c>
      <c r="I92" t="inlineStr">
        <is>
          <t>NYIS</t>
        </is>
      </c>
      <c r="J92" t="n">
        <v>1574.3</v>
      </c>
      <c r="K92" t="n">
        <v>8472</v>
      </c>
      <c r="L92" t="n">
        <v>1278</v>
      </c>
      <c r="M92" t="n">
        <v>2</v>
      </c>
      <c r="N92" t="n">
        <v>20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1576.3</v>
      </c>
      <c r="W92" t="n">
        <v>8492</v>
      </c>
      <c r="X92" t="n">
        <v>1279</v>
      </c>
      <c r="Y92">
        <f>IF(ISNUMBER($W92),$W92,0)</f>
        <v/>
      </c>
      <c r="Z92">
        <f>IF(ISNUMBER(SEARCH("Adjustment",$C92)),"excluded",IF($H92="Behind the Meter","excluded",IF(NOT(OR($E92="Bundled",$E92="Energy")),"excluded",IF(OR($H92="Retail Power Marketer",$H92="Community Choice Aggregator",$E92="Energy"),"procurement",IF(OR($H92="Municipal",$H92="Cooperative",$H92="Federal",$H92="State",$H92="Political Subdivision"),"cost_service",IF($H92="Investor Owned",IF(AND(COUNTIF(Parameters!$A$4:$A$33,$G92)&gt;0,COUNTIF(Parameters!$B$4:$B$33,$B92)=0),"procurement","cost_service"),"unclassified"))))))</f>
        <v/>
      </c>
    </row>
    <row r="93">
      <c r="A93" t="n">
        <v>2024</v>
      </c>
      <c r="B93" t="n">
        <v>63356</v>
      </c>
      <c r="C93" t="inlineStr">
        <is>
          <t>SmartestEnergy US LLC</t>
        </is>
      </c>
      <c r="D93" t="inlineStr">
        <is>
          <t>B</t>
        </is>
      </c>
      <c r="E93" t="inlineStr">
        <is>
          <t>Energy</t>
        </is>
      </c>
      <c r="F93" t="inlineStr">
        <is>
          <t>O</t>
        </is>
      </c>
      <c r="G93" t="inlineStr">
        <is>
          <t>NJ</t>
        </is>
      </c>
      <c r="H93" t="inlineStr">
        <is>
          <t>Retail Power Marketer</t>
        </is>
      </c>
      <c r="I93" t="inlineStr">
        <is>
          <t>PJM</t>
        </is>
      </c>
      <c r="J93" t="n">
        <v>0</v>
      </c>
      <c r="K93" t="n">
        <v>0</v>
      </c>
      <c r="L93" t="n">
        <v>0</v>
      </c>
      <c r="M93" t="n">
        <v>38688</v>
      </c>
      <c r="N93" t="n">
        <v>325599</v>
      </c>
      <c r="O93" t="n">
        <v>242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38688</v>
      </c>
      <c r="W93" t="n">
        <v>325599</v>
      </c>
      <c r="X93" t="n">
        <v>242</v>
      </c>
      <c r="Y93">
        <f>IF(ISNUMBER($W93),$W93,0)</f>
        <v/>
      </c>
      <c r="Z93">
        <f>IF(ISNUMBER(SEARCH("Adjustment",$C93)),"excluded",IF($H93="Behind the Meter","excluded",IF(NOT(OR($E93="Bundled",$E93="Energy")),"excluded",IF(OR($H93="Retail Power Marketer",$H93="Community Choice Aggregator",$E93="Energy"),"procurement",IF(OR($H93="Municipal",$H93="Cooperative",$H93="Federal",$H93="State",$H93="Political Subdivision"),"cost_service",IF($H93="Investor Owned",IF(AND(COUNTIF(Parameters!$A$4:$A$33,$G93)&gt;0,COUNTIF(Parameters!$B$4:$B$33,$B93)=0),"procurement","cost_service"),"unclassified"))))))</f>
        <v/>
      </c>
    </row>
    <row r="94">
      <c r="A94" t="n">
        <v>2024</v>
      </c>
      <c r="B94" t="n">
        <v>63695</v>
      </c>
      <c r="C94" t="inlineStr">
        <is>
          <t>RPA Energy, Inc.</t>
        </is>
      </c>
      <c r="D94" t="inlineStr">
        <is>
          <t>B</t>
        </is>
      </c>
      <c r="E94" t="inlineStr">
        <is>
          <t>Energy</t>
        </is>
      </c>
      <c r="F94" t="inlineStr">
        <is>
          <t>O</t>
        </is>
      </c>
      <c r="G94" t="inlineStr">
        <is>
          <t>NJ</t>
        </is>
      </c>
      <c r="H94" t="inlineStr">
        <is>
          <t>Retail Power Marketer</t>
        </is>
      </c>
      <c r="I94" t="inlineStr">
        <is>
          <t>PJM</t>
        </is>
      </c>
      <c r="J94" t="n">
        <v>1254.8</v>
      </c>
      <c r="K94" t="n">
        <v>4614</v>
      </c>
      <c r="L94" t="n">
        <v>976</v>
      </c>
      <c r="M94" t="n">
        <v>9.5</v>
      </c>
      <c r="N94" t="n">
        <v>68</v>
      </c>
      <c r="O94" t="n">
        <v>7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1264.3</v>
      </c>
      <c r="W94" t="n">
        <v>4682</v>
      </c>
      <c r="X94" t="n">
        <v>983</v>
      </c>
      <c r="Y94">
        <f>IF(ISNUMBER($W94),$W94,0)</f>
        <v/>
      </c>
      <c r="Z94">
        <f>IF(ISNUMBER(SEARCH("Adjustment",$C94)),"excluded",IF($H94="Behind the Meter","excluded",IF(NOT(OR($E94="Bundled",$E94="Energy")),"excluded",IF(OR($H94="Retail Power Marketer",$H94="Community Choice Aggregator",$E94="Energy"),"procurement",IF(OR($H94="Municipal",$H94="Cooperative",$H94="Federal",$H94="State",$H94="Political Subdivision"),"cost_service",IF($H94="Investor Owned",IF(AND(COUNTIF(Parameters!$A$4:$A$33,$G94)&gt;0,COUNTIF(Parameters!$B$4:$B$33,$B94)=0),"procurement","cost_service"),"unclassified"))))))</f>
        <v/>
      </c>
    </row>
    <row r="95">
      <c r="A95" t="n">
        <v>2024</v>
      </c>
      <c r="B95" t="n">
        <v>64222</v>
      </c>
      <c r="C95" t="inlineStr">
        <is>
          <t>Grid Power Direct, LLC</t>
        </is>
      </c>
      <c r="D95" t="inlineStr">
        <is>
          <t>B</t>
        </is>
      </c>
      <c r="E95" t="inlineStr">
        <is>
          <t>Energy</t>
        </is>
      </c>
      <c r="F95" t="inlineStr">
        <is>
          <t>O</t>
        </is>
      </c>
      <c r="G95" t="inlineStr">
        <is>
          <t>NJ</t>
        </is>
      </c>
      <c r="H95" t="inlineStr">
        <is>
          <t>Retail Power Marketer</t>
        </is>
      </c>
      <c r="I95" t="inlineStr">
        <is>
          <t>NYIS</t>
        </is>
      </c>
      <c r="J95" t="n">
        <v>0</v>
      </c>
      <c r="K95" t="n">
        <v>0</v>
      </c>
      <c r="L95" t="n">
        <v>0</v>
      </c>
      <c r="M95" t="n">
        <v>4897</v>
      </c>
      <c r="N95" t="n">
        <v>48728</v>
      </c>
      <c r="O95" t="n">
        <v>35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4897</v>
      </c>
      <c r="W95" t="n">
        <v>48728</v>
      </c>
      <c r="X95" t="n">
        <v>35</v>
      </c>
      <c r="Y95">
        <f>IF(ISNUMBER($W95),$W95,0)</f>
        <v/>
      </c>
      <c r="Z95">
        <f>IF(ISNUMBER(SEARCH("Adjustment",$C95)),"excluded",IF($H95="Behind the Meter","excluded",IF(NOT(OR($E95="Bundled",$E95="Energy")),"excluded",IF(OR($H95="Retail Power Marketer",$H95="Community Choice Aggregator",$E95="Energy"),"procurement",IF(OR($H95="Municipal",$H95="Cooperative",$H95="Federal",$H95="State",$H95="Political Subdivision"),"cost_service",IF($H95="Investor Owned",IF(AND(COUNTIF(Parameters!$A$4:$A$33,$G95)&gt;0,COUNTIF(Parameters!$B$4:$B$33,$B95)=0),"procurement","cost_service"),"unclassified"))))))</f>
        <v/>
      </c>
    </row>
    <row r="96">
      <c r="A96" t="n">
        <v>2024</v>
      </c>
      <c r="B96" t="n">
        <v>64314</v>
      </c>
      <c r="C96" t="inlineStr">
        <is>
          <t>BP Energy Retail LLC</t>
        </is>
      </c>
      <c r="D96" t="inlineStr">
        <is>
          <t>B</t>
        </is>
      </c>
      <c r="E96" t="inlineStr">
        <is>
          <t>Energy</t>
        </is>
      </c>
      <c r="F96" t="inlineStr">
        <is>
          <t>O</t>
        </is>
      </c>
      <c r="G96" t="inlineStr">
        <is>
          <t>NJ</t>
        </is>
      </c>
      <c r="H96" t="inlineStr">
        <is>
          <t>Retail Power Marketer</t>
        </is>
      </c>
      <c r="I96" t="inlineStr">
        <is>
          <t>PJM</t>
        </is>
      </c>
      <c r="J96" t="n">
        <v>0</v>
      </c>
      <c r="K96" t="n">
        <v>0</v>
      </c>
      <c r="L96" t="n">
        <v>0</v>
      </c>
      <c r="M96" t="n">
        <v>165673</v>
      </c>
      <c r="N96" t="n">
        <v>1670322</v>
      </c>
      <c r="O96" t="n">
        <v>188</v>
      </c>
      <c r="P96" t="n">
        <v>27865</v>
      </c>
      <c r="Q96" t="n">
        <v>337435</v>
      </c>
      <c r="R96" t="n">
        <v>31</v>
      </c>
      <c r="S96" t="n">
        <v>0</v>
      </c>
      <c r="T96" t="n">
        <v>0</v>
      </c>
      <c r="U96" t="n">
        <v>0</v>
      </c>
      <c r="V96" t="n">
        <v>193538</v>
      </c>
      <c r="W96" t="n">
        <v>2007757</v>
      </c>
      <c r="X96" t="n">
        <v>219</v>
      </c>
      <c r="Y96">
        <f>IF(ISNUMBER($W96),$W96,0)</f>
        <v/>
      </c>
      <c r="Z96">
        <f>IF(ISNUMBER(SEARCH("Adjustment",$C96)),"excluded",IF($H96="Behind the Meter","excluded",IF(NOT(OR($E96="Bundled",$E96="Energy")),"excluded",IF(OR($H96="Retail Power Marketer",$H96="Community Choice Aggregator",$E96="Energy"),"procurement",IF(OR($H96="Municipal",$H96="Cooperative",$H96="Federal",$H96="State",$H96="Political Subdivision"),"cost_service",IF($H96="Investor Owned",IF(AND(COUNTIF(Parameters!$A$4:$A$33,$G96)&gt;0,COUNTIF(Parameters!$B$4:$B$33,$B96)=0),"procurement","cost_service"),"unclassified"))))))</f>
        <v/>
      </c>
    </row>
    <row r="97">
      <c r="A97" t="n">
        <v>2024</v>
      </c>
      <c r="B97" t="n">
        <v>64974</v>
      </c>
      <c r="C97" t="inlineStr">
        <is>
          <t>PBF Power Marketing</t>
        </is>
      </c>
      <c r="D97" t="inlineStr">
        <is>
          <t>B</t>
        </is>
      </c>
      <c r="E97" t="inlineStr">
        <is>
          <t>Energy</t>
        </is>
      </c>
      <c r="F97" t="inlineStr">
        <is>
          <t>O</t>
        </is>
      </c>
      <c r="G97" t="inlineStr">
        <is>
          <t>NJ</t>
        </is>
      </c>
      <c r="H97" t="inlineStr">
        <is>
          <t>Retail Power Marketer</t>
        </is>
      </c>
      <c r="I97" t="inlineStr">
        <is>
          <t>PJM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542.3</v>
      </c>
      <c r="Q97" t="n">
        <v>19136</v>
      </c>
      <c r="R97" t="n">
        <v>1</v>
      </c>
      <c r="S97" t="n">
        <v>0</v>
      </c>
      <c r="T97" t="n">
        <v>0</v>
      </c>
      <c r="U97" t="n">
        <v>0</v>
      </c>
      <c r="V97" t="n">
        <v>542.3</v>
      </c>
      <c r="W97" t="n">
        <v>19136</v>
      </c>
      <c r="X97" t="n">
        <v>1</v>
      </c>
      <c r="Y97">
        <f>IF(ISNUMBER($W97),$W97,0)</f>
        <v/>
      </c>
      <c r="Z97">
        <f>IF(ISNUMBER(SEARCH("Adjustment",$C97)),"excluded",IF($H97="Behind the Meter","excluded",IF(NOT(OR($E97="Bundled",$E97="Energy")),"excluded",IF(OR($H97="Retail Power Marketer",$H97="Community Choice Aggregator",$E97="Energy"),"procurement",IF(OR($H97="Municipal",$H97="Cooperative",$H97="Federal",$H97="State",$H97="Political Subdivision"),"cost_service",IF($H97="Investor Owned",IF(AND(COUNTIF(Parameters!$A$4:$A$33,$G97)&gt;0,COUNTIF(Parameters!$B$4:$B$33,$B97)=0),"procurement","cost_service"),"unclassified"))))))</f>
        <v/>
      </c>
    </row>
    <row r="98">
      <c r="A98" t="n">
        <v>2024</v>
      </c>
      <c r="B98" t="n">
        <v>65242</v>
      </c>
      <c r="C98" t="inlineStr">
        <is>
          <t>Scale Sustainable I, LLC</t>
        </is>
      </c>
      <c r="D98" t="inlineStr">
        <is>
          <t>A</t>
        </is>
      </c>
      <c r="E98" t="inlineStr">
        <is>
          <t>Bundled</t>
        </is>
      </c>
      <c r="F98" t="inlineStr">
        <is>
          <t>O</t>
        </is>
      </c>
      <c r="G98" t="inlineStr">
        <is>
          <t>NJ</t>
        </is>
      </c>
      <c r="H98" t="inlineStr">
        <is>
          <t>Behind the Meter</t>
        </is>
      </c>
      <c r="I98" t="inlineStr">
        <is>
          <t>PJM</t>
        </is>
      </c>
      <c r="J98" t="inlineStr">
        <is>
          <t>.</t>
        </is>
      </c>
      <c r="K98" t="inlineStr">
        <is>
          <t>.</t>
        </is>
      </c>
      <c r="L98" t="inlineStr">
        <is>
          <t>.</t>
        </is>
      </c>
      <c r="M98" t="n">
        <v>153.6</v>
      </c>
      <c r="N98" t="n">
        <v>2092</v>
      </c>
      <c r="O98" t="n">
        <v>1</v>
      </c>
      <c r="P98" t="inlineStr">
        <is>
          <t>.</t>
        </is>
      </c>
      <c r="Q98" t="inlineStr">
        <is>
          <t>.</t>
        </is>
      </c>
      <c r="R98" t="inlineStr">
        <is>
          <t>.</t>
        </is>
      </c>
      <c r="S98" t="inlineStr">
        <is>
          <t>.</t>
        </is>
      </c>
      <c r="T98" t="inlineStr">
        <is>
          <t>.</t>
        </is>
      </c>
      <c r="U98" t="inlineStr">
        <is>
          <t>.</t>
        </is>
      </c>
      <c r="V98" t="n">
        <v>153.6</v>
      </c>
      <c r="W98" t="n">
        <v>2092</v>
      </c>
      <c r="X98" t="n">
        <v>1</v>
      </c>
      <c r="Y98">
        <f>IF(ISNUMBER($W98),$W98,0)</f>
        <v/>
      </c>
      <c r="Z98">
        <f>IF(ISNUMBER(SEARCH("Adjustment",$C98)),"excluded",IF($H98="Behind the Meter","excluded",IF(NOT(OR($E98="Bundled",$E98="Energy")),"excluded",IF(OR($H98="Retail Power Marketer",$H98="Community Choice Aggregator",$E98="Energy"),"procurement",IF(OR($H98="Municipal",$H98="Cooperative",$H98="Federal",$H98="State",$H98="Political Subdivision"),"cost_service",IF($H98="Investor Owned",IF(AND(COUNTIF(Parameters!$A$4:$A$33,$G98)&gt;0,COUNTIF(Parameters!$B$4:$B$33,$B98)=0),"procurement","cost_service"),"unclassified"))))))</f>
        <v/>
      </c>
    </row>
    <row r="99">
      <c r="A99" t="n">
        <v>2024</v>
      </c>
      <c r="B99" t="n">
        <v>65310</v>
      </c>
      <c r="C99" t="inlineStr">
        <is>
          <t>Energywell LLC</t>
        </is>
      </c>
      <c r="D99" t="inlineStr">
        <is>
          <t>B</t>
        </is>
      </c>
      <c r="E99" t="inlineStr">
        <is>
          <t>Energy</t>
        </is>
      </c>
      <c r="F99" t="inlineStr">
        <is>
          <t>O</t>
        </is>
      </c>
      <c r="G99" t="inlineStr">
        <is>
          <t>NJ</t>
        </is>
      </c>
      <c r="H99" t="inlineStr">
        <is>
          <t>Retail Power Marketer</t>
        </is>
      </c>
      <c r="I99" t="inlineStr">
        <is>
          <t>PJM</t>
        </is>
      </c>
      <c r="J99" t="n">
        <v>1594.5</v>
      </c>
      <c r="K99" t="n">
        <v>15085</v>
      </c>
      <c r="L99" t="n">
        <v>1263</v>
      </c>
      <c r="M99" t="n">
        <v>292.1</v>
      </c>
      <c r="N99" t="n">
        <v>2781</v>
      </c>
      <c r="O99" t="n">
        <v>187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1886.6</v>
      </c>
      <c r="W99" t="n">
        <v>17866</v>
      </c>
      <c r="X99" t="n">
        <v>1450</v>
      </c>
      <c r="Y99">
        <f>IF(ISNUMBER($W99),$W99,0)</f>
        <v/>
      </c>
      <c r="Z99">
        <f>IF(ISNUMBER(SEARCH("Adjustment",$C99)),"excluded",IF($H99="Behind the Meter","excluded",IF(NOT(OR($E99="Bundled",$E99="Energy")),"excluded",IF(OR($H99="Retail Power Marketer",$H99="Community Choice Aggregator",$E99="Energy"),"procurement",IF(OR($H99="Municipal",$H99="Cooperative",$H99="Federal",$H99="State",$H99="Political Subdivision"),"cost_service",IF($H99="Investor Owned",IF(AND(COUNTIF(Parameters!$A$4:$A$33,$G99)&gt;0,COUNTIF(Parameters!$B$4:$B$33,$B99)=0),"procurement","cost_service"),"unclassified"))))))</f>
        <v/>
      </c>
    </row>
    <row r="100">
      <c r="A100" t="n">
        <v>2024</v>
      </c>
      <c r="B100" t="n">
        <v>65335</v>
      </c>
      <c r="C100" t="inlineStr">
        <is>
          <t>Pay Less Energy LLC</t>
        </is>
      </c>
      <c r="D100" t="inlineStr">
        <is>
          <t>B</t>
        </is>
      </c>
      <c r="E100" t="inlineStr">
        <is>
          <t>Energy</t>
        </is>
      </c>
      <c r="F100" t="inlineStr">
        <is>
          <t>O</t>
        </is>
      </c>
      <c r="G100" t="inlineStr">
        <is>
          <t>NJ</t>
        </is>
      </c>
      <c r="H100" t="inlineStr">
        <is>
          <t>Retail Power Marketer</t>
        </is>
      </c>
      <c r="I100" t="inlineStr">
        <is>
          <t>PJM</t>
        </is>
      </c>
      <c r="J100" t="n">
        <v>107.3</v>
      </c>
      <c r="K100" t="n">
        <v>461</v>
      </c>
      <c r="L100" t="n">
        <v>92</v>
      </c>
      <c r="M100" t="n">
        <v>3104.2</v>
      </c>
      <c r="N100" t="n">
        <v>14768</v>
      </c>
      <c r="O100" t="n">
        <v>297</v>
      </c>
      <c r="P100" t="inlineStr">
        <is>
          <t>.</t>
        </is>
      </c>
      <c r="Q100" t="inlineStr">
        <is>
          <t>.</t>
        </is>
      </c>
      <c r="R100" t="inlineStr">
        <is>
          <t>.</t>
        </is>
      </c>
      <c r="S100" t="inlineStr">
        <is>
          <t>.</t>
        </is>
      </c>
      <c r="T100" t="inlineStr">
        <is>
          <t>.</t>
        </is>
      </c>
      <c r="U100" t="inlineStr">
        <is>
          <t>.</t>
        </is>
      </c>
      <c r="V100" t="n">
        <v>3211.5</v>
      </c>
      <c r="W100" t="n">
        <v>15229</v>
      </c>
      <c r="X100" t="n">
        <v>389</v>
      </c>
      <c r="Y100">
        <f>IF(ISNUMBER($W100),$W100,0)</f>
        <v/>
      </c>
      <c r="Z100">
        <f>IF(ISNUMBER(SEARCH("Adjustment",$C100)),"excluded",IF($H100="Behind the Meter","excluded",IF(NOT(OR($E100="Bundled",$E100="Energy")),"excluded",IF(OR($H100="Retail Power Marketer",$H100="Community Choice Aggregator",$E100="Energy"),"procurement",IF(OR($H100="Municipal",$H100="Cooperative",$H100="Federal",$H100="State",$H100="Political Subdivision"),"cost_service",IF($H100="Investor Owned",IF(AND(COUNTIF(Parameters!$A$4:$A$33,$G100)&gt;0,COUNTIF(Parameters!$B$4:$B$33,$B100)=0),"procurement","cost_service"),"unclassified"))))))</f>
        <v/>
      </c>
    </row>
    <row r="101">
      <c r="A101" t="n">
        <v>2024</v>
      </c>
      <c r="B101" t="n">
        <v>65439</v>
      </c>
      <c r="C101" t="inlineStr">
        <is>
          <t>CPV Retail Energy LP</t>
        </is>
      </c>
      <c r="D101" t="inlineStr">
        <is>
          <t>B</t>
        </is>
      </c>
      <c r="E101" t="inlineStr">
        <is>
          <t>Energy</t>
        </is>
      </c>
      <c r="F101" t="inlineStr">
        <is>
          <t>O</t>
        </is>
      </c>
      <c r="G101" t="inlineStr">
        <is>
          <t>NJ</t>
        </is>
      </c>
      <c r="H101" t="inlineStr">
        <is>
          <t>Retail Power Marketer</t>
        </is>
      </c>
      <c r="I101" t="inlineStr">
        <is>
          <t>PJM</t>
        </is>
      </c>
      <c r="J101" t="n">
        <v>0</v>
      </c>
      <c r="K101" t="n">
        <v>0</v>
      </c>
      <c r="L101" t="n">
        <v>0</v>
      </c>
      <c r="M101" t="n">
        <v>6705</v>
      </c>
      <c r="N101" t="n">
        <v>69525</v>
      </c>
      <c r="O101" t="n">
        <v>318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6705</v>
      </c>
      <c r="W101" t="n">
        <v>69525</v>
      </c>
      <c r="X101" t="n">
        <v>318</v>
      </c>
      <c r="Y101">
        <f>IF(ISNUMBER($W101),$W101,0)</f>
        <v/>
      </c>
      <c r="Z101">
        <f>IF(ISNUMBER(SEARCH("Adjustment",$C101)),"excluded",IF($H101="Behind the Meter","excluded",IF(NOT(OR($E101="Bundled",$E101="Energy")),"excluded",IF(OR($H101="Retail Power Marketer",$H101="Community Choice Aggregator",$E101="Energy"),"procurement",IF(OR($H101="Municipal",$H101="Cooperative",$H101="Federal",$H101="State",$H101="Political Subdivision"),"cost_service",IF($H101="Investor Owned",IF(AND(COUNTIF(Parameters!$A$4:$A$33,$G101)&gt;0,COUNTIF(Parameters!$B$4:$B$33,$B101)=0),"procurement","cost_service"),"unclassified"))))))</f>
        <v/>
      </c>
    </row>
    <row r="102">
      <c r="A102" t="n">
        <v>2024</v>
      </c>
      <c r="B102" t="n">
        <v>66026</v>
      </c>
      <c r="C102" t="inlineStr">
        <is>
          <t>Palmetto Solar, LLC</t>
        </is>
      </c>
      <c r="D102" t="inlineStr">
        <is>
          <t>A</t>
        </is>
      </c>
      <c r="E102" t="inlineStr">
        <is>
          <t>Bundled</t>
        </is>
      </c>
      <c r="F102" t="inlineStr">
        <is>
          <t>O</t>
        </is>
      </c>
      <c r="G102" t="inlineStr">
        <is>
          <t>NJ</t>
        </is>
      </c>
      <c r="H102" t="inlineStr">
        <is>
          <t>Behind the Meter</t>
        </is>
      </c>
      <c r="I102" t="inlineStr">
        <is>
          <t>PJM</t>
        </is>
      </c>
      <c r="J102" t="n">
        <v>29.6</v>
      </c>
      <c r="K102" t="n">
        <v>144</v>
      </c>
      <c r="L102" t="n">
        <v>8</v>
      </c>
      <c r="M102" t="inlineStr">
        <is>
          <t>.</t>
        </is>
      </c>
      <c r="N102" t="inlineStr">
        <is>
          <t>.</t>
        </is>
      </c>
      <c r="O102" t="inlineStr">
        <is>
          <t>.</t>
        </is>
      </c>
      <c r="P102" t="inlineStr">
        <is>
          <t>.</t>
        </is>
      </c>
      <c r="Q102" t="inlineStr">
        <is>
          <t>.</t>
        </is>
      </c>
      <c r="R102" t="inlineStr">
        <is>
          <t>.</t>
        </is>
      </c>
      <c r="S102" t="inlineStr">
        <is>
          <t>.</t>
        </is>
      </c>
      <c r="T102" t="inlineStr">
        <is>
          <t>.</t>
        </is>
      </c>
      <c r="U102" t="inlineStr">
        <is>
          <t>.</t>
        </is>
      </c>
      <c r="V102" t="n">
        <v>29.6</v>
      </c>
      <c r="W102" t="n">
        <v>144</v>
      </c>
      <c r="X102" t="n">
        <v>8</v>
      </c>
      <c r="Y102">
        <f>IF(ISNUMBER($W102),$W102,0)</f>
        <v/>
      </c>
      <c r="Z102">
        <f>IF(ISNUMBER(SEARCH("Adjustment",$C102)),"excluded",IF($H102="Behind the Meter","excluded",IF(NOT(OR($E102="Bundled",$E102="Energy")),"excluded",IF(OR($H102="Retail Power Marketer",$H102="Community Choice Aggregator",$E102="Energy"),"procurement",IF(OR($H102="Municipal",$H102="Cooperative",$H102="Federal",$H102="State",$H102="Political Subdivision"),"cost_service",IF($H102="Investor Owned",IF(AND(COUNTIF(Parameters!$A$4:$A$33,$G102)&gt;0,COUNTIF(Parameters!$B$4:$B$33,$B102)=0),"procurement","cost_service"),"unclassified"))))))</f>
        <v/>
      </c>
    </row>
    <row r="103">
      <c r="A103" t="n">
        <v>2024</v>
      </c>
      <c r="B103" t="n">
        <v>66036</v>
      </c>
      <c r="C103" t="inlineStr">
        <is>
          <t>EverBright, LLC</t>
        </is>
      </c>
      <c r="D103" t="inlineStr">
        <is>
          <t>A</t>
        </is>
      </c>
      <c r="E103" t="inlineStr">
        <is>
          <t>Bundled</t>
        </is>
      </c>
      <c r="F103" t="inlineStr">
        <is>
          <t>O</t>
        </is>
      </c>
      <c r="G103" t="inlineStr">
        <is>
          <t>NJ</t>
        </is>
      </c>
      <c r="H103" t="inlineStr">
        <is>
          <t>Behind the Meter</t>
        </is>
      </c>
      <c r="I103" t="inlineStr">
        <is>
          <t>PJM</t>
        </is>
      </c>
      <c r="J103" t="n">
        <v>137.3</v>
      </c>
      <c r="K103" t="n">
        <v>1104</v>
      </c>
      <c r="L103" t="n">
        <v>160</v>
      </c>
      <c r="M103" t="inlineStr">
        <is>
          <t>.</t>
        </is>
      </c>
      <c r="N103" t="inlineStr">
        <is>
          <t>.</t>
        </is>
      </c>
      <c r="O103" t="inlineStr">
        <is>
          <t>.</t>
        </is>
      </c>
      <c r="P103" t="inlineStr">
        <is>
          <t>.</t>
        </is>
      </c>
      <c r="Q103" t="inlineStr">
        <is>
          <t>.</t>
        </is>
      </c>
      <c r="R103" t="inlineStr">
        <is>
          <t>.</t>
        </is>
      </c>
      <c r="S103" t="inlineStr">
        <is>
          <t>.</t>
        </is>
      </c>
      <c r="T103" t="inlineStr">
        <is>
          <t>.</t>
        </is>
      </c>
      <c r="U103" t="inlineStr">
        <is>
          <t>.</t>
        </is>
      </c>
      <c r="V103" t="n">
        <v>137.3</v>
      </c>
      <c r="W103" t="n">
        <v>1104</v>
      </c>
      <c r="X103" t="n">
        <v>160</v>
      </c>
      <c r="Y103">
        <f>IF(ISNUMBER($W103),$W103,0)</f>
        <v/>
      </c>
      <c r="Z103">
        <f>IF(ISNUMBER(SEARCH("Adjustment",$C103)),"excluded",IF($H103="Behind the Meter","excluded",IF(NOT(OR($E103="Bundled",$E103="Energy")),"excluded",IF(OR($H103="Retail Power Marketer",$H103="Community Choice Aggregator",$E103="Energy"),"procurement",IF(OR($H103="Municipal",$H103="Cooperative",$H103="Federal",$H103="State",$H103="Political Subdivision"),"cost_service",IF($H103="Investor Owned",IF(AND(COUNTIF(Parameters!$A$4:$A$33,$G103)&gt;0,COUNTIF(Parameters!$B$4:$B$33,$B103)=0),"procurement","cost_service"),"unclassified"))))))</f>
        <v/>
      </c>
    </row>
    <row r="104">
      <c r="A104" t="n">
        <v>2024</v>
      </c>
      <c r="B104" t="n">
        <v>66113</v>
      </c>
      <c r="C104" t="inlineStr">
        <is>
          <t>EcoPlus Power, LLC</t>
        </is>
      </c>
      <c r="D104" t="inlineStr">
        <is>
          <t>B</t>
        </is>
      </c>
      <c r="E104" t="inlineStr">
        <is>
          <t>Energy</t>
        </is>
      </c>
      <c r="F104" t="inlineStr">
        <is>
          <t>O</t>
        </is>
      </c>
      <c r="G104" t="inlineStr">
        <is>
          <t>NJ</t>
        </is>
      </c>
      <c r="H104" t="inlineStr">
        <is>
          <t>Retail Power Marketer</t>
        </is>
      </c>
      <c r="I104" t="inlineStr">
        <is>
          <t>PJM</t>
        </is>
      </c>
      <c r="J104" t="n">
        <v>225.4</v>
      </c>
      <c r="K104" t="n">
        <v>2618</v>
      </c>
      <c r="L104" t="n">
        <v>400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225.4</v>
      </c>
      <c r="W104" t="n">
        <v>2618</v>
      </c>
      <c r="X104" t="n">
        <v>400</v>
      </c>
      <c r="Y104">
        <f>IF(ISNUMBER($W104),$W104,0)</f>
        <v/>
      </c>
      <c r="Z104">
        <f>IF(ISNUMBER(SEARCH("Adjustment",$C104)),"excluded",IF($H104="Behind the Meter","excluded",IF(NOT(OR($E104="Bundled",$E104="Energy")),"excluded",IF(OR($H104="Retail Power Marketer",$H104="Community Choice Aggregator",$E104="Energy"),"procurement",IF(OR($H104="Municipal",$H104="Cooperative",$H104="Federal",$H104="State",$H104="Political Subdivision"),"cost_service",IF($H104="Investor Owned",IF(AND(COUNTIF(Parameters!$A$4:$A$33,$G104)&gt;0,COUNTIF(Parameters!$B$4:$B$33,$B104)=0),"procurement","cost_service"),"unclassified"))))))</f>
        <v/>
      </c>
    </row>
    <row r="105">
      <c r="A105" t="n">
        <v>2024</v>
      </c>
      <c r="B105" t="n">
        <v>66118</v>
      </c>
      <c r="C105" t="inlineStr">
        <is>
          <t>Spartacus Energy Services LLC</t>
        </is>
      </c>
      <c r="D105" t="inlineStr">
        <is>
          <t>B</t>
        </is>
      </c>
      <c r="E105" t="inlineStr">
        <is>
          <t>Energy</t>
        </is>
      </c>
      <c r="F105" t="inlineStr">
        <is>
          <t>O</t>
        </is>
      </c>
      <c r="G105" t="inlineStr">
        <is>
          <t>NJ</t>
        </is>
      </c>
      <c r="H105" t="inlineStr">
        <is>
          <t>Retail Power Marketer</t>
        </is>
      </c>
      <c r="I105" t="inlineStr">
        <is>
          <t>PJM</t>
        </is>
      </c>
      <c r="J105" t="n">
        <v>0.5</v>
      </c>
      <c r="K105" t="n">
        <v>3</v>
      </c>
      <c r="L105" t="n">
        <v>6</v>
      </c>
      <c r="M105" t="n">
        <v>15.9</v>
      </c>
      <c r="N105" t="n">
        <v>83</v>
      </c>
      <c r="O105" t="n">
        <v>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16.4</v>
      </c>
      <c r="W105" t="n">
        <v>86</v>
      </c>
      <c r="X105" t="n">
        <v>9</v>
      </c>
      <c r="Y105">
        <f>IF(ISNUMBER($W105),$W105,0)</f>
        <v/>
      </c>
      <c r="Z105">
        <f>IF(ISNUMBER(SEARCH("Adjustment",$C105)),"excluded",IF($H105="Behind the Meter","excluded",IF(NOT(OR($E105="Bundled",$E105="Energy")),"excluded",IF(OR($H105="Retail Power Marketer",$H105="Community Choice Aggregator",$E105="Energy"),"procurement",IF(OR($H105="Municipal",$H105="Cooperative",$H105="Federal",$H105="State",$H105="Political Subdivision"),"cost_service",IF($H105="Investor Owned",IF(AND(COUNTIF(Parameters!$A$4:$A$33,$G105)&gt;0,COUNTIF(Parameters!$B$4:$B$33,$B105)=0),"procurement","cost_service"),"unclassified"))))))</f>
        <v/>
      </c>
    </row>
    <row r="106">
      <c r="A106" t="n">
        <v>2024</v>
      </c>
      <c r="B106" t="n">
        <v>66678</v>
      </c>
      <c r="C106" t="inlineStr">
        <is>
          <t>Polaris Power Services LLC</t>
        </is>
      </c>
      <c r="D106" t="inlineStr">
        <is>
          <t>B</t>
        </is>
      </c>
      <c r="E106" t="inlineStr">
        <is>
          <t>Energy</t>
        </is>
      </c>
      <c r="F106" t="inlineStr">
        <is>
          <t>O</t>
        </is>
      </c>
      <c r="G106" t="inlineStr">
        <is>
          <t>NJ</t>
        </is>
      </c>
      <c r="H106" t="inlineStr">
        <is>
          <t>Retail Power Marketer</t>
        </is>
      </c>
      <c r="I106" t="inlineStr">
        <is>
          <t>PJM</t>
        </is>
      </c>
      <c r="J106" t="n">
        <v>88.40000000000001</v>
      </c>
      <c r="K106" t="n">
        <v>886</v>
      </c>
      <c r="L106" t="n">
        <v>39</v>
      </c>
      <c r="M106" t="n">
        <v>4118.2</v>
      </c>
      <c r="N106" t="n">
        <v>38540</v>
      </c>
      <c r="O106" t="n">
        <v>148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4206.6</v>
      </c>
      <c r="W106" t="n">
        <v>39426</v>
      </c>
      <c r="X106" t="n">
        <v>187</v>
      </c>
      <c r="Y106">
        <f>IF(ISNUMBER($W106),$W106,0)</f>
        <v/>
      </c>
      <c r="Z106">
        <f>IF(ISNUMBER(SEARCH("Adjustment",$C106)),"excluded",IF($H106="Behind the Meter","excluded",IF(NOT(OR($E106="Bundled",$E106="Energy")),"excluded",IF(OR($H106="Retail Power Marketer",$H106="Community Choice Aggregator",$E106="Energy"),"procurement",IF(OR($H106="Municipal",$H106="Cooperative",$H106="Federal",$H106="State",$H106="Political Subdivision"),"cost_service",IF($H106="Investor Owned",IF(AND(COUNTIF(Parameters!$A$4:$A$33,$G106)&gt;0,COUNTIF(Parameters!$B$4:$B$33,$B106)=0),"procurement","cost_service"),"unclassified"))))))</f>
        <v/>
      </c>
    </row>
    <row r="107">
      <c r="A107" t="n">
        <v>2024</v>
      </c>
      <c r="B107" t="n">
        <v>66867</v>
      </c>
      <c r="C107" t="inlineStr">
        <is>
          <t>David Energy Supply LLC</t>
        </is>
      </c>
      <c r="D107" t="inlineStr">
        <is>
          <t>B</t>
        </is>
      </c>
      <c r="E107" t="inlineStr">
        <is>
          <t>Energy</t>
        </is>
      </c>
      <c r="F107" t="inlineStr">
        <is>
          <t>O</t>
        </is>
      </c>
      <c r="G107" t="inlineStr">
        <is>
          <t>NJ</t>
        </is>
      </c>
      <c r="H107" t="inlineStr">
        <is>
          <t>Retail Power Marketer</t>
        </is>
      </c>
      <c r="I107" t="inlineStr">
        <is>
          <t>PJM</t>
        </is>
      </c>
      <c r="J107" t="n">
        <v>0</v>
      </c>
      <c r="K107" t="n">
        <v>0</v>
      </c>
      <c r="L107" t="n">
        <v>0</v>
      </c>
      <c r="M107" t="n">
        <v>1288.6</v>
      </c>
      <c r="N107" t="n">
        <v>12428</v>
      </c>
      <c r="O107" t="n">
        <v>74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1288.6</v>
      </c>
      <c r="W107" t="n">
        <v>12428</v>
      </c>
      <c r="X107" t="n">
        <v>74</v>
      </c>
      <c r="Y107">
        <f>IF(ISNUMBER($W107),$W107,0)</f>
        <v/>
      </c>
      <c r="Z107">
        <f>IF(ISNUMBER(SEARCH("Adjustment",$C107)),"excluded",IF($H107="Behind the Meter","excluded",IF(NOT(OR($E107="Bundled",$E107="Energy")),"excluded",IF(OR($H107="Retail Power Marketer",$H107="Community Choice Aggregator",$E107="Energy"),"procurement",IF(OR($H107="Municipal",$H107="Cooperative",$H107="Federal",$H107="State",$H107="Political Subdivision"),"cost_service",IF($H107="Investor Owned",IF(AND(COUNTIF(Parameters!$A$4:$A$33,$G107)&gt;0,COUNTIF(Parameters!$B$4:$B$33,$B107)=0),"procurement","cost_service"),"unclassified"))))))</f>
        <v/>
      </c>
    </row>
    <row r="108">
      <c r="A108" t="n">
        <v>2024</v>
      </c>
      <c r="B108" t="n">
        <v>99999</v>
      </c>
      <c r="C108" t="inlineStr">
        <is>
          <t>Adjustment 2024</t>
        </is>
      </c>
      <c r="D108" t="inlineStr">
        <is>
          <t>A</t>
        </is>
      </c>
      <c r="E108" t="inlineStr">
        <is>
          <t>Bundled</t>
        </is>
      </c>
      <c r="F108" t="inlineStr">
        <is>
          <t>I</t>
        </is>
      </c>
      <c r="G108" t="inlineStr">
        <is>
          <t>NJ</t>
        </is>
      </c>
      <c r="H108" t="inlineStr"/>
      <c r="I108" t="inlineStr">
        <is>
          <t>NYIS</t>
        </is>
      </c>
      <c r="J108" t="n">
        <v>0</v>
      </c>
      <c r="K108" t="n">
        <v>0</v>
      </c>
      <c r="L108" t="n">
        <v>-18</v>
      </c>
      <c r="M108" t="n">
        <v>0</v>
      </c>
      <c r="N108" t="n">
        <v>0</v>
      </c>
      <c r="O108" t="n">
        <v>0</v>
      </c>
      <c r="P108" t="n">
        <v>235</v>
      </c>
      <c r="Q108" t="n">
        <v>4553</v>
      </c>
      <c r="R108" t="n">
        <v>1</v>
      </c>
      <c r="S108" t="n">
        <v>0</v>
      </c>
      <c r="T108" t="n">
        <v>0</v>
      </c>
      <c r="U108" t="n">
        <v>0</v>
      </c>
      <c r="V108" t="n">
        <v>235</v>
      </c>
      <c r="W108" t="n">
        <v>4553</v>
      </c>
      <c r="X108" t="n">
        <v>-17</v>
      </c>
      <c r="Y108">
        <f>IF(ISNUMBER($W108),$W108,0)</f>
        <v/>
      </c>
      <c r="Z108">
        <f>IF(ISNUMBER(SEARCH("Adjustment",$C108)),"excluded",IF($H108="Behind the Meter","excluded",IF(NOT(OR($E108="Bundled",$E108="Energy")),"excluded",IF(OR($H108="Retail Power Marketer",$H108="Community Choice Aggregator",$E108="Energy"),"procurement",IF(OR($H108="Municipal",$H108="Cooperative",$H108="Federal",$H108="State",$H108="Political Subdivision"),"cost_service",IF($H108="Investor Owned",IF(AND(COUNTIF(Parameters!$A$4:$A$33,$G108)&gt;0,COUNTIF(Parameters!$B$4:$B$33,$B108)=0),"procurement","cost_service"),"unclassified"))))))</f>
        <v/>
      </c>
    </row>
    <row r="109">
      <c r="A109" t="n">
        <v>2024</v>
      </c>
      <c r="B109" t="n">
        <v>99999</v>
      </c>
      <c r="C109" t="inlineStr">
        <is>
          <t>Adjustment 2024</t>
        </is>
      </c>
      <c r="D109" t="inlineStr">
        <is>
          <t>A</t>
        </is>
      </c>
      <c r="E109" t="inlineStr">
        <is>
          <t>Bundled</t>
        </is>
      </c>
      <c r="F109" t="inlineStr">
        <is>
          <t>I</t>
        </is>
      </c>
      <c r="G109" t="inlineStr">
        <is>
          <t>NJ</t>
        </is>
      </c>
      <c r="H109" t="inlineStr"/>
      <c r="I109" t="inlineStr">
        <is>
          <t>PJM</t>
        </is>
      </c>
      <c r="J109" t="n">
        <v>62263.9</v>
      </c>
      <c r="K109" t="n">
        <v>421421</v>
      </c>
      <c r="L109" t="n">
        <v>-51710</v>
      </c>
      <c r="M109" t="n">
        <v>65567.39999999999</v>
      </c>
      <c r="N109" t="n">
        <v>669053</v>
      </c>
      <c r="O109" t="n">
        <v>4986</v>
      </c>
      <c r="P109" t="n">
        <v>11975.4</v>
      </c>
      <c r="Q109" t="n">
        <v>133233</v>
      </c>
      <c r="R109" t="n">
        <v>37</v>
      </c>
      <c r="S109" t="n">
        <v>0</v>
      </c>
      <c r="T109" t="n">
        <v>0</v>
      </c>
      <c r="U109" t="n">
        <v>0</v>
      </c>
      <c r="V109" t="n">
        <v>139806.7</v>
      </c>
      <c r="W109" t="n">
        <v>1223707</v>
      </c>
      <c r="X109" t="n">
        <v>-46687</v>
      </c>
      <c r="Y109">
        <f>IF(ISNUMBER($W109),$W109,0)</f>
        <v/>
      </c>
      <c r="Z109">
        <f>IF(ISNUMBER(SEARCH("Adjustment",$C109)),"excluded",IF($H109="Behind the Meter","excluded",IF(NOT(OR($E109="Bundled",$E109="Energy")),"excluded",IF(OR($H109="Retail Power Marketer",$H109="Community Choice Aggregator",$E109="Energy"),"procurement",IF(OR($H109="Municipal",$H109="Cooperative",$H109="Federal",$H109="State",$H109="Political Subdivision"),"cost_service",IF($H109="Investor Owned",IF(AND(COUNTIF(Parameters!$A$4:$A$33,$G109)&gt;0,COUNTIF(Parameters!$B$4:$B$33,$B109)=0),"procurement","cost_service"),"unclassified"))))))</f>
        <v/>
      </c>
    </row>
    <row r="110">
      <c r="A110" t="n">
        <v>2024</v>
      </c>
      <c r="B110" t="n">
        <v>99999</v>
      </c>
      <c r="C110" t="inlineStr">
        <is>
          <t>Adjustment 2024</t>
        </is>
      </c>
      <c r="D110" t="inlineStr">
        <is>
          <t>B</t>
        </is>
      </c>
      <c r="E110" t="inlineStr">
        <is>
          <t>Energy</t>
        </is>
      </c>
      <c r="F110" t="inlineStr">
        <is>
          <t>I</t>
        </is>
      </c>
      <c r="G110" t="inlineStr">
        <is>
          <t>NJ</t>
        </is>
      </c>
      <c r="H110" t="inlineStr"/>
      <c r="I110" t="inlineStr">
        <is>
          <t>NYIS</t>
        </is>
      </c>
      <c r="J110" t="n">
        <v>-755</v>
      </c>
      <c r="K110" t="n">
        <v>-4046</v>
      </c>
      <c r="L110" t="n">
        <v>-807</v>
      </c>
      <c r="M110" t="n">
        <v>-1826.8</v>
      </c>
      <c r="N110" t="n">
        <v>-17897</v>
      </c>
      <c r="O110" t="n">
        <v>106</v>
      </c>
      <c r="P110" t="n">
        <v>275.7</v>
      </c>
      <c r="Q110" t="n">
        <v>2759</v>
      </c>
      <c r="R110" t="n">
        <v>3</v>
      </c>
      <c r="S110" t="n">
        <v>0</v>
      </c>
      <c r="T110" t="n">
        <v>0</v>
      </c>
      <c r="U110" t="n">
        <v>0</v>
      </c>
      <c r="V110" t="n">
        <v>-2306.1</v>
      </c>
      <c r="W110" t="n">
        <v>-19184</v>
      </c>
      <c r="X110" t="n">
        <v>-698</v>
      </c>
      <c r="Y110">
        <f>IF(ISNUMBER($W110),$W110,0)</f>
        <v/>
      </c>
      <c r="Z110">
        <f>IF(ISNUMBER(SEARCH("Adjustment",$C110)),"excluded",IF($H110="Behind the Meter","excluded",IF(NOT(OR($E110="Bundled",$E110="Energy")),"excluded",IF(OR($H110="Retail Power Marketer",$H110="Community Choice Aggregator",$E110="Energy"),"procurement",IF(OR($H110="Municipal",$H110="Cooperative",$H110="Federal",$H110="State",$H110="Political Subdivision"),"cost_service",IF($H110="Investor Owned",IF(AND(COUNTIF(Parameters!$A$4:$A$33,$G110)&gt;0,COUNTIF(Parameters!$B$4:$B$33,$B110)=0),"procurement","cost_service"),"unclassified"))))))</f>
        <v/>
      </c>
    </row>
    <row r="111">
      <c r="A111" t="n">
        <v>2024</v>
      </c>
      <c r="B111" t="n">
        <v>99999</v>
      </c>
      <c r="C111" t="inlineStr">
        <is>
          <t>Adjustment 2024</t>
        </is>
      </c>
      <c r="D111" t="inlineStr">
        <is>
          <t>B</t>
        </is>
      </c>
      <c r="E111" t="inlineStr">
        <is>
          <t>Energy</t>
        </is>
      </c>
      <c r="F111" t="inlineStr">
        <is>
          <t>I</t>
        </is>
      </c>
      <c r="G111" t="inlineStr">
        <is>
          <t>NJ</t>
        </is>
      </c>
      <c r="H111" t="inlineStr"/>
      <c r="I111" t="inlineStr">
        <is>
          <t>PJM</t>
        </is>
      </c>
      <c r="J111" t="n">
        <v>9966.299999999999</v>
      </c>
      <c r="K111" t="n">
        <v>58183</v>
      </c>
      <c r="L111" t="n">
        <v>2342</v>
      </c>
      <c r="M111" t="n">
        <v>89509.39999999999</v>
      </c>
      <c r="N111" t="n">
        <v>971466</v>
      </c>
      <c r="O111" t="n">
        <v>28046</v>
      </c>
      <c r="P111" t="n">
        <v>-73729.7</v>
      </c>
      <c r="Q111" t="n">
        <v>-803405</v>
      </c>
      <c r="R111" t="n">
        <v>1876</v>
      </c>
      <c r="S111" t="n">
        <v>17438.4</v>
      </c>
      <c r="T111" t="n">
        <v>197287</v>
      </c>
      <c r="U111" t="n">
        <v>4</v>
      </c>
      <c r="V111" t="n">
        <v>43184.4</v>
      </c>
      <c r="W111" t="n">
        <v>423531</v>
      </c>
      <c r="X111" t="n">
        <v>32268</v>
      </c>
      <c r="Y111">
        <f>IF(ISNUMBER($W111),$W111,0)</f>
        <v/>
      </c>
      <c r="Z111">
        <f>IF(ISNUMBER(SEARCH("Adjustment",$C111)),"excluded",IF($H111="Behind the Meter","excluded",IF(NOT(OR($E111="Bundled",$E111="Energy")),"excluded",IF(OR($H111="Retail Power Marketer",$H111="Community Choice Aggregator",$E111="Energy"),"procurement",IF(OR($H111="Municipal",$H111="Cooperative",$H111="Federal",$H111="State",$H111="Political Subdivision"),"cost_service",IF($H111="Investor Owned",IF(AND(COUNTIF(Parameters!$A$4:$A$33,$G111)&gt;0,COUNTIF(Parameters!$B$4:$B$33,$B111)=0),"procurement","cost_service"),"unclassified"))))))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NJ</t>
        </is>
      </c>
      <c r="B2">
        <f>SUMIFS('EIA-861 Sales 2024'!$Y$4:$Y$111,'EIA-861 Sales 2024'!$Z$4:$Z$111,"cost_service")</f>
        <v/>
      </c>
      <c r="C2">
        <f>SUMIFS('EIA-861 Sales 2024'!$Y$4:$Y$111,'EIA-861 Sales 2024'!$Z$4:$Z$111,"procurement")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2026-06-02T20:15:31Z</dcterms:created>
  <dcterms:modified xmlns:dcterms="http://purl.org/dc/terms/" xmlns:xsi="http://www.w3.org/2001/XMLSchema-instance" xsi:type="dcterms:W3CDTF">2026-06-02T20:15:31Z</dcterms:modified>
</cp:coreProperties>
</file>