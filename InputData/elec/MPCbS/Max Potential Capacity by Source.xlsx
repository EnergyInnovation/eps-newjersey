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J\elec\MPCbS\"/>
    </mc:Choice>
  </mc:AlternateContent>
  <xr:revisionPtr revIDLastSave="0" documentId="8_{A3CCC17F-193B-4B37-9C00-188B962CD349}" xr6:coauthVersionLast="47" xr6:coauthVersionMax="47" xr10:uidLastSave="{00000000-0000-0000-0000-000000000000}"/>
  <bookViews>
    <workbookView xWindow="360" yWindow="360" windowWidth="14400" windowHeight="729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5" l="1"/>
  <c r="B1" i="5" s="1"/>
  <c r="B8" i="3" s="1"/>
  <c r="A1" i="6"/>
  <c r="B1" i="6" s="1"/>
  <c r="B9" i="3" s="1"/>
  <c r="A1" i="7"/>
  <c r="B1" i="7" s="1"/>
  <c r="B15" i="3" s="1"/>
  <c r="A1" i="10"/>
  <c r="B1" i="10" s="1"/>
  <c r="B11" i="3" s="1"/>
  <c r="A1" i="9"/>
  <c r="B1" i="9" s="1"/>
  <c r="B10" i="3" s="1"/>
  <c r="B2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<sst xmlns="http://schemas.openxmlformats.org/spreadsheetml/2006/main" count="914" uniqueCount="279">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</sst>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158</v>
      </c>
      <c r="C1" s="24">
        <v>45237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NJ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NJ</v>
      </c>
      <c r="B1" s="32">
        <f>SUMIFS(E3:E52,A3:A52,A1)</f>
        <v>290000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NJ</v>
      </c>
      <c r="B1" s="32">
        <f>SUMIFS(C3:C53,A3:A53,A1)</f>
        <v>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NJ</v>
      </c>
      <c r="B1" s="32">
        <f>SUMIFS(C4:C53,A4:A53,A1)</f>
        <v>102000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New Jersey</v>
      </c>
      <c r="B1" s="32" t="str">
        <f>LOOKUP(A1,M4:N53,N4:N53)</f>
        <v>NJ</v>
      </c>
      <c r="C1" s="32">
        <f>SUMIFS(L5:L52,A5:A52,B1)</f>
        <v>945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NJ</v>
      </c>
      <c r="B1" s="32">
        <f>SUMIFS(D4:D53,A4:A53,A1)</f>
        <v>574.52707110241352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NJ</v>
      </c>
      <c r="B1" s="32">
        <f>SUMIFS(C3:C52,A3:A52,A1)</f>
        <v>4000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NJ</v>
      </c>
      <c r="B1" s="32">
        <f>SUMIFS(D5:D54,A5:A54,A1)</f>
        <v>125.34246575342468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9*10^12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f>9*10^12</f>
        <v>9000000000000</v>
      </c>
    </row>
    <row r="6" spans="1:2" x14ac:dyDescent="0.75">
      <c r="A6" t="s">
        <v>28</v>
      </c>
      <c r="B6">
        <f>hydro!B1</f>
        <v>125.34246575342468</v>
      </c>
    </row>
    <row r="7" spans="1:2" x14ac:dyDescent="0.75">
      <c r="A7" t="s">
        <v>55</v>
      </c>
      <c r="B7">
        <f>'onshore wind'!C1</f>
        <v>945</v>
      </c>
    </row>
    <row r="8" spans="1:2" x14ac:dyDescent="0.75">
      <c r="A8" t="s">
        <v>33</v>
      </c>
      <c r="B8">
        <f>'solar PV'!B1</f>
        <v>290000</v>
      </c>
    </row>
    <row r="9" spans="1:2" x14ac:dyDescent="0.75">
      <c r="A9" t="s">
        <v>34</v>
      </c>
      <c r="B9">
        <f>'solar thermal'!B1</f>
        <v>0</v>
      </c>
    </row>
    <row r="10" spans="1:2" x14ac:dyDescent="0.75">
      <c r="A10" t="s">
        <v>29</v>
      </c>
      <c r="B10">
        <f>bio!B1</f>
        <v>574.52707110241352</v>
      </c>
    </row>
    <row r="11" spans="1:2" x14ac:dyDescent="0.75">
      <c r="A11" t="s">
        <v>39</v>
      </c>
      <c r="B11">
        <f>geothermal!B1</f>
        <v>4000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102000</v>
      </c>
    </row>
    <row r="16" spans="1:2" x14ac:dyDescent="0.75">
      <c r="A16" t="s">
        <v>57</v>
      </c>
      <c r="B16" s="14">
        <f>B12</f>
        <v>9000000000000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219.48955126568944</v>
      </c>
    </row>
    <row r="19" spans="1:2" x14ac:dyDescent="0.75">
      <c r="A19" t="s">
        <v>92</v>
      </c>
      <c r="B19" s="14">
        <f>9*10^12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574.52707110241352</v>
      </c>
    </row>
    <row r="22" spans="1:2" x14ac:dyDescent="0.75">
      <c r="A22" t="s">
        <v>95</v>
      </c>
      <c r="B22" s="14">
        <f>9*10^12</f>
        <v>9000000000000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2023-11-07T21:45:48Z</dcterms:modified>
</cp:coreProperties>
</file>