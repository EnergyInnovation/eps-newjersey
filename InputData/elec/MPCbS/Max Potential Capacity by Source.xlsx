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J\elec\MPCbS\"/>
    </mc:Choice>
  </mc:AlternateContent>
  <xr:revisionPtr revIDLastSave="0" documentId="8_{4FA6B83B-961B-42A4-B36C-91158D7A369B}" xr6:coauthVersionLast="47" xr6:coauthVersionMax="47" xr10:uidLastSave="{00000000-0000-0000-0000-000000000000}"/>
  <bookViews>
    <workbookView xWindow="7995" yWindow="195" windowWidth="2080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<sst xmlns="http://schemas.openxmlformats.org/spreadsheetml/2006/main" count="1067" uniqueCount="282">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</sst>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158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NJ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NJ</v>
      </c>
      <c r="B1" s="32">
        <f>SUMIFS(E3:E52,A3:A52,A1)</f>
        <v>290000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NJ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NJ</v>
      </c>
      <c r="B1" s="32">
        <f>SUMIFS(C4:C53,A4:A53,A1)</f>
        <v>102000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New Jersey</v>
      </c>
      <c r="B1" s="32" t="str">
        <f>LOOKUP(A1,M4:N53,N4:N53)</f>
        <v>NJ</v>
      </c>
      <c r="C1" s="32">
        <f>SUMIFS(L5:L52,A5:A52,B1)</f>
        <v>945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NJ</v>
      </c>
      <c r="B1" s="32">
        <f>SUMIFS(D4:D53,A4:A53,A1)</f>
        <v>574.52707110241352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NJ</v>
      </c>
      <c r="B1" s="32">
        <f>SUMIFS(C3:C52,A3:A52,A1)</f>
        <v>4000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NJ</v>
      </c>
      <c r="B1" s="32">
        <f>SUMIFS(D5:D54,A5:A54,A1)</f>
        <v>125.34246575342468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125.34246575342468</v>
      </c>
    </row>
    <row r="7" spans="1:2" x14ac:dyDescent="0.25">
      <c r="A7" t="s">
        <v>55</v>
      </c>
      <c r="B7">
        <f>'onshore wind'!C1</f>
        <v>945</v>
      </c>
    </row>
    <row r="8" spans="1:2" x14ac:dyDescent="0.25">
      <c r="A8" t="s">
        <v>33</v>
      </c>
      <c r="B8">
        <f>'solar PV'!B1</f>
        <v>290000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574.52707110241352</v>
      </c>
    </row>
    <row r="11" spans="1:2" x14ac:dyDescent="0.25">
      <c r="A11" t="s">
        <v>39</v>
      </c>
      <c r="B11">
        <f>geothermal!B1</f>
        <v>4000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102000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219.48955126568944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574.52707110241352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2024-01-10T23:22:32Z</dcterms:modified>
</cp:coreProperties>
</file>