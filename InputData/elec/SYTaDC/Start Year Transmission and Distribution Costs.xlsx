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elec\SYTaDC\"/>
    </mc:Choice>
  </mc:AlternateContent>
  <xr:revisionPtr revIDLastSave="0" documentId="8_{59CE50CD-CE3F-42CF-9D45-F3C48D0B7340}" xr6:coauthVersionLast="47" xr6:coauthVersionMax="47" xr10:uidLastSave="{00000000-0000-0000-0000-000000000000}"/>
  <bookViews>
    <workbookView xWindow="273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6" i="9"/>
  <c r="B2" i="5" s="1"/>
  <c r="B48" i="9"/>
  <c r="B2" i="7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<sst xmlns="http://schemas.openxmlformats.org/spreadsheetml/2006/main" count="264" uniqueCount="144">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</sst>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76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NJ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New Jersey</v>
      </c>
    </row>
    <row r="44" spans="1:42" x14ac:dyDescent="0.25">
      <c r="A44" t="s">
        <v>143</v>
      </c>
      <c r="B44" s="15">
        <f>SUMIFS('HIFLD Outputs'!$F$2:$F$49,'HIFLD Outputs'!$B$2:$B$49,'Data National'!$A$43)*B34</f>
        <v>1250363.5217158601</v>
      </c>
      <c r="C44" s="15">
        <f>SUMIFS('HIFLD Outputs'!$F$2:$F$49,'HIFLD Outputs'!$B$2:$B$49,'Data National'!$A$43)*C34</f>
        <v>1251313.6459724831</v>
      </c>
      <c r="D44" s="15">
        <f>SUMIFS('HIFLD Outputs'!$F$2:$F$49,'HIFLD Outputs'!$B$2:$B$49,'Data National'!$A$43)*D34</f>
        <v>1252263.7702291061</v>
      </c>
      <c r="E44" s="15">
        <f>SUMIFS('HIFLD Outputs'!$F$2:$F$49,'HIFLD Outputs'!$B$2:$B$49,'Data National'!$A$43)*E34</f>
        <v>1253213.894485729</v>
      </c>
      <c r="F44" s="15">
        <f>SUMIFS('HIFLD Outputs'!$F$2:$F$49,'HIFLD Outputs'!$B$2:$B$49,'Data National'!$A$43)*F34</f>
        <v>1254164.018742352</v>
      </c>
      <c r="G44" s="15">
        <f>SUMIFS('HIFLD Outputs'!$F$2:$F$49,'HIFLD Outputs'!$B$2:$B$49,'Data National'!$A$43)*G34</f>
        <v>1255114.142998975</v>
      </c>
      <c r="H44" s="15">
        <f>SUMIFS('HIFLD Outputs'!$F$2:$F$49,'HIFLD Outputs'!$B$2:$B$49,'Data National'!$A$43)*H34</f>
        <v>1256064.2672555982</v>
      </c>
      <c r="I44" s="15">
        <f>SUMIFS('HIFLD Outputs'!$F$2:$F$49,'HIFLD Outputs'!$B$2:$B$49,'Data National'!$A$43)*I34</f>
        <v>1257014.3915122212</v>
      </c>
      <c r="J44" s="15">
        <f>SUMIFS('HIFLD Outputs'!$F$2:$F$49,'HIFLD Outputs'!$B$2:$B$49,'Data National'!$A$43)*J34</f>
        <v>1257964.5157688442</v>
      </c>
      <c r="K44" s="15">
        <f>SUMIFS('HIFLD Outputs'!$F$2:$F$49,'HIFLD Outputs'!$B$2:$B$49,'Data National'!$A$43)*K34</f>
        <v>1258914.6400254671</v>
      </c>
      <c r="L44" s="15">
        <f>SUMIFS('HIFLD Outputs'!$F$2:$F$49,'HIFLD Outputs'!$B$2:$B$49,'Data National'!$A$43)*L34</f>
        <v>1259864.7642820901</v>
      </c>
      <c r="M44" s="15">
        <f>SUMIFS('HIFLD Outputs'!$F$2:$F$49,'HIFLD Outputs'!$B$2:$B$49,'Data National'!$A$43)*M34</f>
        <v>1260814.8885387131</v>
      </c>
      <c r="N44" s="15">
        <f>SUMIFS('HIFLD Outputs'!$F$2:$F$49,'HIFLD Outputs'!$B$2:$B$49,'Data National'!$A$43)*N34</f>
        <v>1261765.0127953363</v>
      </c>
      <c r="O44" s="15">
        <f>SUMIFS('HIFLD Outputs'!$F$2:$F$49,'HIFLD Outputs'!$B$2:$B$49,'Data National'!$A$43)*O34</f>
        <v>1262715.1370519593</v>
      </c>
      <c r="P44" s="15">
        <f>SUMIFS('HIFLD Outputs'!$F$2:$F$49,'HIFLD Outputs'!$B$2:$B$49,'Data National'!$A$43)*P34</f>
        <v>1263665.2613085823</v>
      </c>
      <c r="Q44" s="15">
        <f>SUMIFS('HIFLD Outputs'!$F$2:$F$49,'HIFLD Outputs'!$B$2:$B$49,'Data National'!$A$43)*Q34</f>
        <v>1264615.3855652052</v>
      </c>
      <c r="R44" s="15">
        <f>SUMIFS('HIFLD Outputs'!$F$2:$F$49,'HIFLD Outputs'!$B$2:$B$49,'Data National'!$A$43)*R34</f>
        <v>1265565.5098218282</v>
      </c>
      <c r="S44" s="15">
        <f>SUMIFS('HIFLD Outputs'!$F$2:$F$49,'HIFLD Outputs'!$B$2:$B$49,'Data National'!$A$43)*S34</f>
        <v>1266515.6340784512</v>
      </c>
      <c r="T44" s="15">
        <f>SUMIFS('HIFLD Outputs'!$F$2:$F$49,'HIFLD Outputs'!$B$2:$B$49,'Data National'!$A$43)*T34</f>
        <v>1267465.7583350744</v>
      </c>
      <c r="U44" s="15">
        <f>SUMIFS('HIFLD Outputs'!$F$2:$F$49,'HIFLD Outputs'!$B$2:$B$49,'Data National'!$A$43)*U34</f>
        <v>1268415.8825916974</v>
      </c>
      <c r="V44" s="15">
        <f>SUMIFS('HIFLD Outputs'!$F$2:$F$49,'HIFLD Outputs'!$B$2:$B$49,'Data National'!$A$43)*V34</f>
        <v>1269366.0068483204</v>
      </c>
      <c r="W44" s="15">
        <f>SUMIFS('HIFLD Outputs'!$F$2:$F$49,'HIFLD Outputs'!$B$2:$B$49,'Data National'!$A$43)*W34</f>
        <v>1270316.1311049433</v>
      </c>
      <c r="X44" s="15">
        <f>SUMIFS('HIFLD Outputs'!$F$2:$F$49,'HIFLD Outputs'!$B$2:$B$49,'Data National'!$A$43)*X34</f>
        <v>1271266.2553615663</v>
      </c>
      <c r="Y44" s="15">
        <f>SUMIFS('HIFLD Outputs'!$F$2:$F$49,'HIFLD Outputs'!$B$2:$B$49,'Data National'!$A$43)*Y34</f>
        <v>1272216.3796181893</v>
      </c>
      <c r="Z44" s="15">
        <f>SUMIFS('HIFLD Outputs'!$F$2:$F$49,'HIFLD Outputs'!$B$2:$B$49,'Data National'!$A$43)*Z34</f>
        <v>1273166.5038748125</v>
      </c>
      <c r="AA44" s="15">
        <f>SUMIFS('HIFLD Outputs'!$F$2:$F$49,'HIFLD Outputs'!$B$2:$B$49,'Data National'!$A$43)*AA34</f>
        <v>1274116.6281314355</v>
      </c>
      <c r="AB44" s="15">
        <f>SUMIFS('HIFLD Outputs'!$F$2:$F$49,'HIFLD Outputs'!$B$2:$B$49,'Data National'!$A$43)*AB34</f>
        <v>1275066.7523880585</v>
      </c>
      <c r="AC44" s="15">
        <f>SUMIFS('HIFLD Outputs'!$F$2:$F$49,'HIFLD Outputs'!$B$2:$B$49,'Data National'!$A$43)*AC34</f>
        <v>1276016.8766446814</v>
      </c>
      <c r="AD44" s="15">
        <f>SUMIFS('HIFLD Outputs'!$F$2:$F$49,'HIFLD Outputs'!$B$2:$B$49,'Data National'!$A$43)*AD34</f>
        <v>1276967.0009013044</v>
      </c>
      <c r="AE44" s="15">
        <f>SUMIFS('HIFLD Outputs'!$F$2:$F$49,'HIFLD Outputs'!$B$2:$B$49,'Data National'!$A$43)*AE34</f>
        <v>1277917.1251579274</v>
      </c>
      <c r="AF44" s="15">
        <f>SUMIFS('HIFLD Outputs'!$F$2:$F$49,'HIFLD Outputs'!$B$2:$B$49,'Data National'!$A$43)*AF34</f>
        <v>1278867.2494145506</v>
      </c>
      <c r="AG44" s="15">
        <f>SUMIFS('HIFLD Outputs'!$F$2:$F$49,'HIFLD Outputs'!$B$2:$B$49,'Data National'!$A$43)*AG34</f>
        <v>1279817.3736711736</v>
      </c>
      <c r="AH44" s="15">
        <f>SUMIFS('HIFLD Outputs'!$F$2:$F$49,'HIFLD Outputs'!$B$2:$B$49,'Data National'!$A$43)*AH34</f>
        <v>1280767.4979277966</v>
      </c>
      <c r="AI44" s="15">
        <f>SUMIFS('HIFLD Outputs'!$F$2:$F$49,'HIFLD Outputs'!$B$2:$B$49,'Data National'!$A$43)*AI34</f>
        <v>1281717.6221844195</v>
      </c>
      <c r="AJ44" s="15">
        <f>SUMIFS('HIFLD Outputs'!$F$2:$F$49,'HIFLD Outputs'!$B$2:$B$49,'Data National'!$A$43)*AJ34</f>
        <v>1282667.7464410425</v>
      </c>
      <c r="AK44" s="15">
        <f>SUMIFS('HIFLD Outputs'!$F$2:$F$49,'HIFLD Outputs'!$B$2:$B$49,'Data National'!$A$43)*AK34</f>
        <v>1283617.8706976655</v>
      </c>
      <c r="AL44" s="15">
        <f>SUMIFS('HIFLD Outputs'!$F$2:$F$49,'HIFLD Outputs'!$B$2:$B$49,'Data National'!$A$43)*AL34</f>
        <v>1284567.9949542887</v>
      </c>
      <c r="AM44" s="15">
        <f>SUMIFS('HIFLD Outputs'!$F$2:$F$49,'HIFLD Outputs'!$B$2:$B$49,'Data National'!$A$43)*AM34</f>
        <v>1285518.1192109117</v>
      </c>
      <c r="AN44" s="15">
        <f>SUMIFS('HIFLD Outputs'!$F$2:$F$49,'HIFLD Outputs'!$B$2:$B$49,'Data National'!$A$43)*AN34</f>
        <v>1286468.2434675347</v>
      </c>
      <c r="AO44" s="15">
        <f>SUMIFS('HIFLD Outputs'!$F$2:$F$49,'HIFLD Outputs'!$B$2:$B$49,'Data National'!$A$43)*AO34</f>
        <v>1287418.3677241576</v>
      </c>
      <c r="AP44" s="15">
        <f>SUMIFS('HIFLD Outputs'!$F$2:$F$49,'HIFLD Outputs'!$B$2:$B$49,'Data National'!$A$43)*AP34</f>
        <v>1288368.4919807806</v>
      </c>
    </row>
    <row r="45" spans="1:42" x14ac:dyDescent="0.25">
      <c r="A45" s="16" t="s">
        <v>15</v>
      </c>
      <c r="B45" s="17">
        <f>B37*SUMIFS('HIFLD Outputs'!$F$2:$F$49,'HIFLD Outputs'!$B$2:$B$49,$A$43)</f>
        <v>100495278.35807225</v>
      </c>
    </row>
    <row r="46" spans="1:42" x14ac:dyDescent="0.25">
      <c r="A46" s="16" t="s">
        <v>14</v>
      </c>
      <c r="B46" s="17">
        <f>B38*SUMIFS('HIFLD Outputs'!$F$2:$F$49,'HIFLD Outputs'!$B$2:$B$49,$A$43)</f>
        <v>158007636.45455936</v>
      </c>
    </row>
    <row r="47" spans="1:42" x14ac:dyDescent="0.25">
      <c r="A47" s="16" t="s">
        <v>16</v>
      </c>
      <c r="B47" s="17">
        <f>B39*SUMIFS('HIFLD Outputs'!$F$2:$F$49,'HIFLD Outputs'!$B$2:$B$49,$A$43)</f>
        <v>142267412.13341552</v>
      </c>
    </row>
    <row r="48" spans="1:42" x14ac:dyDescent="0.25">
      <c r="A48" s="16" t="s">
        <v>17</v>
      </c>
      <c r="B48" s="17">
        <f>B40*SUMIFS('HIFLD Outputs'!$F$2:$F$49,'HIFLD Outputs'!$B$2:$B$49,$A$43)</f>
        <v>190093478.33996797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100495278.35807225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158007636.45455936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142267412.13341552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190093478.33996797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2023-11-28T21:53:06Z</dcterms:modified>
</cp:coreProperties>
</file>