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NJ\fuels\BFoICStCT\"/>
    </mc:Choice>
  </mc:AlternateContent>
  <xr:revisionPtr revIDLastSave="0" documentId="8_{1137F28C-B9DD-4BD3-B1FB-08FC7E590683}" xr6:coauthVersionLast="47" xr6:coauthVersionMax="47" xr10:uidLastSave="{00000000-0000-0000-0000-000000000000}"/>
  <bookViews>
    <workbookView xWindow="338" yWindow="338" windowWidth="16200" windowHeight="9307" xr2:uid="{00000000-000D-0000-FFFF-FFFF00000000}"/>
  </bookViews>
  <sheets>
    <sheet name="About" sheetId="1" r:id="rId1"/>
    <sheet name="Keys" sheetId="2" r:id="rId2"/>
    <sheet name="State Policies" sheetId="3" r:id="rId3"/>
    <sheet name="State Calculations" sheetId="4" r:id="rId4"/>
    <sheet name="BFoICStCT" sheetId="5" r:id="rId5"/>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5" i="5" l="1"/>
  <c r="A21" i="5"/>
  <c r="A9" i="5"/>
  <c r="A7" i="5"/>
  <c r="A5" i="5"/>
  <c r="A4" i="5"/>
  <c r="A3" i="5"/>
  <c r="AE1" i="5"/>
  <c r="AD1" i="5"/>
  <c r="AC1" i="5"/>
  <c r="AB1" i="5"/>
  <c r="AA1" i="5"/>
  <c r="Z1" i="5"/>
  <c r="Y1" i="5"/>
  <c r="X1" i="5"/>
  <c r="W1" i="5"/>
  <c r="V1" i="5"/>
  <c r="U1" i="5"/>
  <c r="T1" i="5"/>
  <c r="S1" i="5"/>
  <c r="R1" i="5"/>
  <c r="Q1" i="5"/>
  <c r="P1" i="5"/>
  <c r="O1" i="5"/>
  <c r="N1" i="5"/>
  <c r="M1" i="5"/>
  <c r="L1" i="5"/>
  <c r="K1" i="5"/>
  <c r="J1" i="5"/>
  <c r="I1" i="5"/>
  <c r="H1" i="5"/>
  <c r="G1" i="5"/>
  <c r="F1" i="5"/>
  <c r="E1" i="5"/>
  <c r="D1" i="5"/>
  <c r="C1" i="5"/>
  <c r="B1" i="5"/>
  <c r="A1" i="5"/>
  <c r="A26" i="4"/>
  <c r="AE25" i="4"/>
  <c r="AE25" i="5" s="1"/>
  <c r="AD25" i="4"/>
  <c r="AD25" i="5" s="1"/>
  <c r="AC25" i="4"/>
  <c r="AC25" i="5" s="1"/>
  <c r="AB25" i="4"/>
  <c r="AB25" i="5" s="1"/>
  <c r="AA25" i="4"/>
  <c r="AA25" i="5" s="1"/>
  <c r="Z25" i="4"/>
  <c r="Z25" i="5" s="1"/>
  <c r="Y25" i="4"/>
  <c r="Y25" i="5" s="1"/>
  <c r="X25" i="4"/>
  <c r="X25" i="5" s="1"/>
  <c r="W25" i="4"/>
  <c r="W25" i="5" s="1"/>
  <c r="V25" i="4"/>
  <c r="V25" i="5" s="1"/>
  <c r="U25" i="4"/>
  <c r="U25" i="5" s="1"/>
  <c r="T25" i="4"/>
  <c r="T25" i="5" s="1"/>
  <c r="P25" i="4"/>
  <c r="P25" i="5" s="1"/>
  <c r="O25" i="4"/>
  <c r="O25" i="5" s="1"/>
  <c r="A25" i="4"/>
  <c r="S25" i="4" s="1"/>
  <c r="S25" i="5" s="1"/>
  <c r="A24" i="4"/>
  <c r="A23" i="4"/>
  <c r="A22" i="4"/>
  <c r="A21" i="4"/>
  <c r="A20" i="4"/>
  <c r="A19" i="4"/>
  <c r="A18" i="4"/>
  <c r="A17" i="4"/>
  <c r="A16" i="4"/>
  <c r="A15" i="4"/>
  <c r="A14" i="4"/>
  <c r="A13" i="4"/>
  <c r="A12" i="4"/>
  <c r="A11" i="4"/>
  <c r="A10" i="4"/>
  <c r="A9" i="4"/>
  <c r="A8" i="4"/>
  <c r="A7" i="4"/>
  <c r="A6" i="4"/>
  <c r="A5" i="4"/>
  <c r="A4" i="4"/>
  <c r="A3" i="4"/>
  <c r="AE2" i="4"/>
  <c r="AE2" i="5" s="1"/>
  <c r="AD2" i="4"/>
  <c r="AD2" i="5" s="1"/>
  <c r="AC2" i="4"/>
  <c r="AC2" i="5" s="1"/>
  <c r="AB2" i="4"/>
  <c r="AB2" i="5" s="1"/>
  <c r="AA2" i="4"/>
  <c r="AA2" i="5" s="1"/>
  <c r="Z2" i="4"/>
  <c r="Z2" i="5" s="1"/>
  <c r="Y2" i="4"/>
  <c r="Y2" i="5" s="1"/>
  <c r="X2" i="4"/>
  <c r="X2" i="5" s="1"/>
  <c r="R2" i="4"/>
  <c r="R2" i="5" s="1"/>
  <c r="D2" i="4"/>
  <c r="D2" i="5" s="1"/>
  <c r="C2" i="4"/>
  <c r="C2" i="5" s="1"/>
  <c r="A2" i="4"/>
  <c r="B2" i="1"/>
  <c r="B28" i="4" s="1"/>
  <c r="X12" i="4" l="1"/>
  <c r="X12" i="5" s="1"/>
  <c r="E13" i="4"/>
  <c r="E13" i="5" s="1"/>
  <c r="AD5" i="4"/>
  <c r="AD5" i="5" s="1"/>
  <c r="P14" i="4"/>
  <c r="P14" i="5" s="1"/>
  <c r="K6" i="4"/>
  <c r="K6" i="5" s="1"/>
  <c r="AD9" i="4"/>
  <c r="AD9" i="5" s="1"/>
  <c r="G9" i="4"/>
  <c r="G9" i="5" s="1"/>
  <c r="AC9" i="4"/>
  <c r="AC9" i="5" s="1"/>
  <c r="F9" i="4"/>
  <c r="F9" i="5" s="1"/>
  <c r="X9" i="4"/>
  <c r="X9" i="5" s="1"/>
  <c r="AA9" i="4"/>
  <c r="AA9" i="5" s="1"/>
  <c r="K7" i="4"/>
  <c r="K7" i="5" s="1"/>
  <c r="AA4" i="4"/>
  <c r="AA4" i="5" s="1"/>
  <c r="AC21" i="4"/>
  <c r="AC21" i="5" s="1"/>
  <c r="Z15" i="4"/>
  <c r="Z15" i="5" s="1"/>
  <c r="Z9" i="4"/>
  <c r="Z9" i="5" s="1"/>
  <c r="J7" i="4"/>
  <c r="J7" i="5" s="1"/>
  <c r="Z4" i="4"/>
  <c r="Z4" i="5" s="1"/>
  <c r="AB21" i="4"/>
  <c r="AB21" i="5" s="1"/>
  <c r="Y15" i="4"/>
  <c r="Y15" i="5" s="1"/>
  <c r="Y9" i="4"/>
  <c r="Y9" i="5" s="1"/>
  <c r="I7" i="4"/>
  <c r="I7" i="5" s="1"/>
  <c r="V4" i="4"/>
  <c r="V4" i="5" s="1"/>
  <c r="J21" i="4"/>
  <c r="J21" i="5" s="1"/>
  <c r="K15" i="4"/>
  <c r="K15" i="5" s="1"/>
  <c r="M9" i="4"/>
  <c r="M9" i="5" s="1"/>
  <c r="P7" i="4"/>
  <c r="P7" i="5" s="1"/>
  <c r="P4" i="4"/>
  <c r="P4" i="5" s="1"/>
  <c r="S3" i="4"/>
  <c r="S3" i="5" s="1"/>
  <c r="H26" i="4"/>
  <c r="H26" i="5" s="1"/>
  <c r="I21" i="4"/>
  <c r="I21" i="5" s="1"/>
  <c r="H21" i="4"/>
  <c r="H21" i="5" s="1"/>
  <c r="I15" i="4"/>
  <c r="I15" i="5" s="1"/>
  <c r="K9" i="4"/>
  <c r="K9" i="5" s="1"/>
  <c r="N7" i="4"/>
  <c r="N7" i="5" s="1"/>
  <c r="N4" i="4"/>
  <c r="N4" i="5" s="1"/>
  <c r="Q3" i="4"/>
  <c r="Q3" i="5" s="1"/>
  <c r="G21" i="4"/>
  <c r="G21" i="5" s="1"/>
  <c r="H15" i="4"/>
  <c r="H15" i="5" s="1"/>
  <c r="J9" i="4"/>
  <c r="J9" i="5" s="1"/>
  <c r="M7" i="4"/>
  <c r="M7" i="5" s="1"/>
  <c r="AE26" i="4"/>
  <c r="AE26" i="5" s="1"/>
  <c r="Q26" i="4"/>
  <c r="Q26" i="5" s="1"/>
  <c r="S21" i="4"/>
  <c r="S21" i="5" s="1"/>
  <c r="AD15" i="4"/>
  <c r="AD15" i="5" s="1"/>
  <c r="B9" i="4"/>
  <c r="B9" i="5" s="1"/>
  <c r="AD7" i="4"/>
  <c r="AD7" i="5" s="1"/>
  <c r="S4" i="4"/>
  <c r="S4" i="5" s="1"/>
  <c r="R3" i="4"/>
  <c r="R3" i="5" s="1"/>
  <c r="AB7" i="4"/>
  <c r="AB7" i="5" s="1"/>
  <c r="O3" i="4"/>
  <c r="O3" i="5" s="1"/>
  <c r="M26" i="4"/>
  <c r="M26" i="5" s="1"/>
  <c r="L4" i="4"/>
  <c r="L4" i="5" s="1"/>
  <c r="L26" i="4"/>
  <c r="L26" i="5" s="1"/>
  <c r="N21" i="4"/>
  <c r="N21" i="5" s="1"/>
  <c r="S15" i="4"/>
  <c r="S15" i="5" s="1"/>
  <c r="Y7" i="4"/>
  <c r="Y7" i="5" s="1"/>
  <c r="K4" i="4"/>
  <c r="K4" i="5" s="1"/>
  <c r="R15" i="4"/>
  <c r="R15" i="5" s="1"/>
  <c r="AE10" i="4"/>
  <c r="AE10" i="5" s="1"/>
  <c r="V7" i="4"/>
  <c r="V7" i="5" s="1"/>
  <c r="P26" i="4"/>
  <c r="P26" i="5" s="1"/>
  <c r="R21" i="4"/>
  <c r="R21" i="5" s="1"/>
  <c r="X15" i="4"/>
  <c r="X15" i="5" s="1"/>
  <c r="AC7" i="4"/>
  <c r="AC7" i="5" s="1"/>
  <c r="Q4" i="4"/>
  <c r="Q4" i="5" s="1"/>
  <c r="P3" i="4"/>
  <c r="P3" i="5" s="1"/>
  <c r="O26" i="4"/>
  <c r="O26" i="5" s="1"/>
  <c r="Q21" i="4"/>
  <c r="Q21" i="5" s="1"/>
  <c r="W15" i="4"/>
  <c r="W15" i="5" s="1"/>
  <c r="O4" i="4"/>
  <c r="O4" i="5" s="1"/>
  <c r="T15" i="4"/>
  <c r="T15" i="5" s="1"/>
  <c r="Z7" i="4"/>
  <c r="Z7" i="5" s="1"/>
  <c r="AE24" i="4"/>
  <c r="AE24" i="5" s="1"/>
  <c r="AB17" i="4"/>
  <c r="AB17" i="5" s="1"/>
  <c r="M21" i="4"/>
  <c r="M21" i="5" s="1"/>
  <c r="Y16" i="4"/>
  <c r="Y16" i="5" s="1"/>
  <c r="AB9" i="4"/>
  <c r="AB9" i="5" s="1"/>
  <c r="J3" i="4"/>
  <c r="J3" i="5" s="1"/>
  <c r="N26" i="4"/>
  <c r="N26" i="5" s="1"/>
  <c r="P21" i="4"/>
  <c r="P21" i="5" s="1"/>
  <c r="AE17" i="4"/>
  <c r="AE17" i="5" s="1"/>
  <c r="U15" i="4"/>
  <c r="U15" i="5" s="1"/>
  <c r="AA7" i="4"/>
  <c r="AA7" i="5" s="1"/>
  <c r="M4" i="4"/>
  <c r="M4" i="5" s="1"/>
  <c r="N3" i="4"/>
  <c r="N3" i="5" s="1"/>
  <c r="O21" i="4"/>
  <c r="O21" i="5" s="1"/>
  <c r="AD17" i="4"/>
  <c r="AD17" i="5" s="1"/>
  <c r="M3" i="4"/>
  <c r="M3" i="5" s="1"/>
  <c r="AE9" i="4"/>
  <c r="AE9" i="5" s="1"/>
  <c r="L3" i="4"/>
  <c r="L3" i="5" s="1"/>
  <c r="AD24" i="4"/>
  <c r="AD24" i="5" s="1"/>
  <c r="Y8" i="4"/>
  <c r="Y8" i="5" s="1"/>
  <c r="AA17" i="4"/>
  <c r="AA17" i="5" s="1"/>
  <c r="J4" i="4"/>
  <c r="J4" i="5" s="1"/>
  <c r="T26" i="4"/>
  <c r="T26" i="5" s="1"/>
  <c r="J24" i="4"/>
  <c r="J24" i="5" s="1"/>
  <c r="W21" i="4"/>
  <c r="W21" i="5" s="1"/>
  <c r="L18" i="4"/>
  <c r="L18" i="5" s="1"/>
  <c r="D17" i="4"/>
  <c r="D17" i="5" s="1"/>
  <c r="E9" i="4"/>
  <c r="E9" i="5" s="1"/>
  <c r="AB4" i="4"/>
  <c r="AB4" i="5" s="1"/>
  <c r="V3" i="4"/>
  <c r="V3" i="5" s="1"/>
  <c r="S26" i="4"/>
  <c r="S26" i="5" s="1"/>
  <c r="I24" i="4"/>
  <c r="I24" i="5" s="1"/>
  <c r="V21" i="4"/>
  <c r="V21" i="5" s="1"/>
  <c r="K18" i="4"/>
  <c r="K18" i="5" s="1"/>
  <c r="C17" i="4"/>
  <c r="C17" i="5" s="1"/>
  <c r="O11" i="4"/>
  <c r="O11" i="5" s="1"/>
  <c r="G10" i="4"/>
  <c r="G10" i="5" s="1"/>
  <c r="D9" i="4"/>
  <c r="D9" i="5" s="1"/>
  <c r="U4" i="4"/>
  <c r="U4" i="5" s="1"/>
  <c r="U3" i="4"/>
  <c r="U3" i="5" s="1"/>
  <c r="AA3" i="4"/>
  <c r="AA3" i="5" s="1"/>
  <c r="Z5" i="4"/>
  <c r="Z5" i="5" s="1"/>
  <c r="L7" i="4"/>
  <c r="L7" i="5" s="1"/>
  <c r="I9" i="4"/>
  <c r="I9" i="5" s="1"/>
  <c r="AB10" i="4"/>
  <c r="AB10" i="5" s="1"/>
  <c r="AA12" i="4"/>
  <c r="AA12" i="5" s="1"/>
  <c r="AB14" i="4"/>
  <c r="AB14" i="5" s="1"/>
  <c r="P16" i="4"/>
  <c r="P16" i="5" s="1"/>
  <c r="R18" i="4"/>
  <c r="R18" i="5" s="1"/>
  <c r="AE19" i="4"/>
  <c r="AE19" i="5" s="1"/>
  <c r="I22" i="4"/>
  <c r="I22" i="5" s="1"/>
  <c r="L24" i="4"/>
  <c r="L24" i="5" s="1"/>
  <c r="T2" i="4"/>
  <c r="T2" i="5" s="1"/>
  <c r="Q2" i="4"/>
  <c r="Q2" i="5" s="1"/>
  <c r="P2" i="4"/>
  <c r="P2" i="5" s="1"/>
  <c r="K2" i="4"/>
  <c r="K2" i="5" s="1"/>
  <c r="H2" i="4"/>
  <c r="H2" i="5" s="1"/>
  <c r="G2" i="4"/>
  <c r="G2" i="5" s="1"/>
  <c r="F2" i="4"/>
  <c r="F2" i="5" s="1"/>
  <c r="V2" i="4"/>
  <c r="V2" i="5" s="1"/>
  <c r="S2" i="4"/>
  <c r="S2" i="5" s="1"/>
  <c r="O2" i="4"/>
  <c r="O2" i="5" s="1"/>
  <c r="E2" i="4"/>
  <c r="E2" i="5" s="1"/>
  <c r="N2" i="4"/>
  <c r="N2" i="5" s="1"/>
  <c r="A2" i="5"/>
  <c r="M2" i="4"/>
  <c r="M2" i="5" s="1"/>
  <c r="J2" i="4"/>
  <c r="J2" i="5" s="1"/>
  <c r="I2" i="4"/>
  <c r="I2" i="5" s="1"/>
  <c r="L2" i="4"/>
  <c r="L2" i="5" s="1"/>
  <c r="W2" i="4"/>
  <c r="W2" i="5" s="1"/>
  <c r="U2" i="4"/>
  <c r="U2" i="5" s="1"/>
  <c r="W4" i="4"/>
  <c r="W4" i="5" s="1"/>
  <c r="AC5" i="4"/>
  <c r="AC5" i="5" s="1"/>
  <c r="O7" i="4"/>
  <c r="O7" i="5" s="1"/>
  <c r="L9" i="4"/>
  <c r="L9" i="5" s="1"/>
  <c r="AC10" i="4"/>
  <c r="AC10" i="5" s="1"/>
  <c r="AD12" i="4"/>
  <c r="AD12" i="5" s="1"/>
  <c r="Q16" i="4"/>
  <c r="Q16" i="5" s="1"/>
  <c r="S18" i="4"/>
  <c r="S18" i="5" s="1"/>
  <c r="L20" i="4"/>
  <c r="L20" i="5" s="1"/>
  <c r="A20" i="5"/>
  <c r="K20" i="4"/>
  <c r="K20" i="5" s="1"/>
  <c r="J20" i="4"/>
  <c r="J20" i="5" s="1"/>
  <c r="AB20" i="4"/>
  <c r="AB20" i="5" s="1"/>
  <c r="E20" i="4"/>
  <c r="E20" i="5" s="1"/>
  <c r="F20" i="4"/>
  <c r="F20" i="5" s="1"/>
  <c r="AE20" i="4"/>
  <c r="AE20" i="5" s="1"/>
  <c r="D20" i="4"/>
  <c r="D20" i="5" s="1"/>
  <c r="AD20" i="4"/>
  <c r="AD20" i="5" s="1"/>
  <c r="C20" i="4"/>
  <c r="C20" i="5" s="1"/>
  <c r="M20" i="4"/>
  <c r="M20" i="5" s="1"/>
  <c r="H20" i="4"/>
  <c r="H20" i="5" s="1"/>
  <c r="G20" i="4"/>
  <c r="G20" i="5" s="1"/>
  <c r="R20" i="4"/>
  <c r="R20" i="5" s="1"/>
  <c r="P20" i="4"/>
  <c r="P20" i="5" s="1"/>
  <c r="B20" i="4"/>
  <c r="B20" i="5" s="1"/>
  <c r="Q20" i="4"/>
  <c r="Q20" i="5" s="1"/>
  <c r="N20" i="4"/>
  <c r="N20" i="5" s="1"/>
  <c r="I20" i="4"/>
  <c r="I20" i="5" s="1"/>
  <c r="O20" i="4"/>
  <c r="O20" i="5" s="1"/>
  <c r="U20" i="4"/>
  <c r="U20" i="5" s="1"/>
  <c r="T20" i="4"/>
  <c r="T20" i="5" s="1"/>
  <c r="J22" i="4"/>
  <c r="J22" i="5" s="1"/>
  <c r="P24" i="4"/>
  <c r="P24" i="5" s="1"/>
  <c r="B2" i="4"/>
  <c r="B2" i="5" s="1"/>
  <c r="C4" i="4"/>
  <c r="C4" i="5" s="1"/>
  <c r="R7" i="4"/>
  <c r="R7" i="5" s="1"/>
  <c r="N9" i="4"/>
  <c r="N9" i="5" s="1"/>
  <c r="AD10" i="4"/>
  <c r="AD10" i="5" s="1"/>
  <c r="AE12" i="4"/>
  <c r="AE12" i="5" s="1"/>
  <c r="B15" i="4"/>
  <c r="B15" i="5" s="1"/>
  <c r="R16" i="4"/>
  <c r="R16" i="5" s="1"/>
  <c r="T18" i="4"/>
  <c r="T18" i="5" s="1"/>
  <c r="S20" i="4"/>
  <c r="S20" i="5" s="1"/>
  <c r="K22" i="4"/>
  <c r="K22" i="5" s="1"/>
  <c r="Q24" i="4"/>
  <c r="Q24" i="5" s="1"/>
  <c r="AE5" i="4"/>
  <c r="AE5" i="5" s="1"/>
  <c r="C15" i="4"/>
  <c r="C15" i="5" s="1"/>
  <c r="R24" i="4"/>
  <c r="R24" i="5" s="1"/>
  <c r="W18" i="4"/>
  <c r="W18" i="5" s="1"/>
  <c r="G15" i="4"/>
  <c r="G15" i="5" s="1"/>
  <c r="X20" i="4"/>
  <c r="X20" i="5" s="1"/>
  <c r="J15" i="4"/>
  <c r="J15" i="5" s="1"/>
  <c r="U26" i="4"/>
  <c r="U26" i="5" s="1"/>
  <c r="C8" i="4"/>
  <c r="C8" i="5" s="1"/>
  <c r="AC23" i="4"/>
  <c r="AC23" i="5" s="1"/>
  <c r="G23" i="4"/>
  <c r="G23" i="5" s="1"/>
  <c r="K23" i="4"/>
  <c r="K23" i="5" s="1"/>
  <c r="J23" i="4"/>
  <c r="J23" i="5" s="1"/>
  <c r="AA23" i="4"/>
  <c r="AA23" i="5" s="1"/>
  <c r="D23" i="4"/>
  <c r="D23" i="5" s="1"/>
  <c r="T23" i="4"/>
  <c r="T23" i="5" s="1"/>
  <c r="S23" i="4"/>
  <c r="S23" i="5" s="1"/>
  <c r="R23" i="4"/>
  <c r="R23" i="5" s="1"/>
  <c r="H23" i="4"/>
  <c r="H23" i="5" s="1"/>
  <c r="F23" i="4"/>
  <c r="F23" i="5" s="1"/>
  <c r="E23" i="4"/>
  <c r="E23" i="5" s="1"/>
  <c r="C23" i="4"/>
  <c r="C23" i="5" s="1"/>
  <c r="AD23" i="4"/>
  <c r="AD23" i="5" s="1"/>
  <c r="AE23" i="4"/>
  <c r="AE23" i="5" s="1"/>
  <c r="Z23" i="4"/>
  <c r="Z23" i="5" s="1"/>
  <c r="X23" i="4"/>
  <c r="X23" i="5" s="1"/>
  <c r="AB23" i="4"/>
  <c r="AB23" i="5" s="1"/>
  <c r="Y23" i="4"/>
  <c r="Y23" i="5" s="1"/>
  <c r="A23" i="5"/>
  <c r="Y26" i="4"/>
  <c r="Y26" i="5" s="1"/>
  <c r="Z26" i="4"/>
  <c r="Z26" i="5" s="1"/>
  <c r="Y11" i="4"/>
  <c r="Y11" i="5" s="1"/>
  <c r="AA26" i="4"/>
  <c r="AA26" i="5" s="1"/>
  <c r="Z11" i="4"/>
  <c r="Z11" i="5" s="1"/>
  <c r="O19" i="4"/>
  <c r="O19" i="5" s="1"/>
  <c r="M23" i="4"/>
  <c r="M23" i="5" s="1"/>
  <c r="Q8" i="4"/>
  <c r="Q8" i="5" s="1"/>
  <c r="AE15" i="4"/>
  <c r="AE15" i="5" s="1"/>
  <c r="N23" i="4"/>
  <c r="N23" i="5" s="1"/>
  <c r="O5" i="4"/>
  <c r="O5" i="5" s="1"/>
  <c r="Q5" i="4"/>
  <c r="Q5" i="5" s="1"/>
  <c r="P5" i="4"/>
  <c r="P5" i="5" s="1"/>
  <c r="J5" i="4"/>
  <c r="J5" i="5" s="1"/>
  <c r="V5" i="4"/>
  <c r="V5" i="5" s="1"/>
  <c r="U5" i="4"/>
  <c r="U5" i="5" s="1"/>
  <c r="T5" i="4"/>
  <c r="T5" i="5" s="1"/>
  <c r="R5" i="4"/>
  <c r="R5" i="5" s="1"/>
  <c r="M5" i="4"/>
  <c r="M5" i="5" s="1"/>
  <c r="Y5" i="4"/>
  <c r="Y5" i="5" s="1"/>
  <c r="L5" i="4"/>
  <c r="L5" i="5" s="1"/>
  <c r="X5" i="4"/>
  <c r="X5" i="5" s="1"/>
  <c r="W5" i="4"/>
  <c r="W5" i="5" s="1"/>
  <c r="K5" i="4"/>
  <c r="K5" i="5" s="1"/>
  <c r="S5" i="4"/>
  <c r="S5" i="5" s="1"/>
  <c r="N5" i="4"/>
  <c r="N5" i="5" s="1"/>
  <c r="AB5" i="4"/>
  <c r="AB5" i="5" s="1"/>
  <c r="AA5" i="4"/>
  <c r="AA5" i="5" s="1"/>
  <c r="V19" i="4"/>
  <c r="V19" i="5" s="1"/>
  <c r="C16" i="4"/>
  <c r="C16" i="5" s="1"/>
  <c r="U8" i="4"/>
  <c r="U8" i="5" s="1"/>
  <c r="X17" i="4"/>
  <c r="X17" i="5" s="1"/>
  <c r="X19" i="4"/>
  <c r="X19" i="5" s="1"/>
  <c r="U21" i="4"/>
  <c r="U21" i="5" s="1"/>
  <c r="Q23" i="4"/>
  <c r="Q23" i="5" s="1"/>
  <c r="T11" i="4"/>
  <c r="T11" i="5" s="1"/>
  <c r="Y18" i="4"/>
  <c r="Y18" i="5" s="1"/>
  <c r="J17" i="4"/>
  <c r="J17" i="5" s="1"/>
  <c r="I4" i="4"/>
  <c r="I4" i="5" s="1"/>
  <c r="N15" i="4"/>
  <c r="N15" i="5" s="1"/>
  <c r="O15" i="4"/>
  <c r="O15" i="5" s="1"/>
  <c r="L19" i="4"/>
  <c r="L19" i="5" s="1"/>
  <c r="P17" i="4"/>
  <c r="P17" i="5" s="1"/>
  <c r="T19" i="4"/>
  <c r="T19" i="5" s="1"/>
  <c r="AD11" i="4"/>
  <c r="AD11" i="5" s="1"/>
  <c r="AE13" i="4"/>
  <c r="AE13" i="5" s="1"/>
  <c r="I13" i="4"/>
  <c r="I13" i="5" s="1"/>
  <c r="U13" i="4"/>
  <c r="U13" i="5" s="1"/>
  <c r="T13" i="4"/>
  <c r="T13" i="5" s="1"/>
  <c r="O13" i="4"/>
  <c r="O13" i="5" s="1"/>
  <c r="J13" i="4"/>
  <c r="J13" i="5" s="1"/>
  <c r="H13" i="4"/>
  <c r="H13" i="5" s="1"/>
  <c r="G13" i="4"/>
  <c r="G13" i="5" s="1"/>
  <c r="M13" i="4"/>
  <c r="M13" i="5" s="1"/>
  <c r="K13" i="4"/>
  <c r="K13" i="5" s="1"/>
  <c r="F13" i="4"/>
  <c r="F13" i="5" s="1"/>
  <c r="A13" i="5"/>
  <c r="V13" i="4"/>
  <c r="V13" i="5" s="1"/>
  <c r="R13" i="4"/>
  <c r="R13" i="5" s="1"/>
  <c r="L13" i="4"/>
  <c r="L13" i="5" s="1"/>
  <c r="S13" i="4"/>
  <c r="S13" i="5" s="1"/>
  <c r="Q13" i="4"/>
  <c r="Q13" i="5" s="1"/>
  <c r="P13" i="4"/>
  <c r="P13" i="5" s="1"/>
  <c r="N13" i="4"/>
  <c r="N13" i="5" s="1"/>
  <c r="Y13" i="4"/>
  <c r="Y13" i="5" s="1"/>
  <c r="X13" i="4"/>
  <c r="X13" i="5" s="1"/>
  <c r="U16" i="4"/>
  <c r="U16" i="5" s="1"/>
  <c r="M22" i="4"/>
  <c r="M22" i="5" s="1"/>
  <c r="E4" i="4"/>
  <c r="E4" i="5" s="1"/>
  <c r="L11" i="4"/>
  <c r="L11" i="5" s="1"/>
  <c r="N22" i="4"/>
  <c r="N22" i="5" s="1"/>
  <c r="AE7" i="4"/>
  <c r="AE7" i="5" s="1"/>
  <c r="B17" i="4"/>
  <c r="B17" i="5" s="1"/>
  <c r="V24" i="4"/>
  <c r="V24" i="5" s="1"/>
  <c r="U11" i="4"/>
  <c r="U11" i="5" s="1"/>
  <c r="AC22" i="4"/>
  <c r="AC22" i="5" s="1"/>
  <c r="E6" i="4"/>
  <c r="E6" i="5" s="1"/>
  <c r="L15" i="4"/>
  <c r="L15" i="5" s="1"/>
  <c r="X24" i="4"/>
  <c r="X24" i="5" s="1"/>
  <c r="G6" i="4"/>
  <c r="G6" i="5" s="1"/>
  <c r="W11" i="4"/>
  <c r="W11" i="5" s="1"/>
  <c r="AA24" i="4"/>
  <c r="AA24" i="5" s="1"/>
  <c r="U9" i="4"/>
  <c r="U9" i="5" s="1"/>
  <c r="AB24" i="4"/>
  <c r="AB24" i="5" s="1"/>
  <c r="K8" i="4"/>
  <c r="K8" i="5" s="1"/>
  <c r="AC24" i="4"/>
  <c r="AC24" i="5" s="1"/>
  <c r="Q15" i="4"/>
  <c r="Q15" i="5" s="1"/>
  <c r="AC26" i="4"/>
  <c r="AC26" i="5" s="1"/>
  <c r="AB11" i="4"/>
  <c r="AB11" i="5" s="1"/>
  <c r="F21" i="4"/>
  <c r="F21" i="5" s="1"/>
  <c r="AC6" i="4"/>
  <c r="AC6" i="5" s="1"/>
  <c r="V17" i="4"/>
  <c r="V17" i="5" s="1"/>
  <c r="O23" i="4"/>
  <c r="O23" i="5" s="1"/>
  <c r="L21" i="4"/>
  <c r="L21" i="5" s="1"/>
  <c r="T7" i="4"/>
  <c r="T7" i="5" s="1"/>
  <c r="U7" i="4"/>
  <c r="U7" i="5" s="1"/>
  <c r="B13" i="4"/>
  <c r="B13" i="5" s="1"/>
  <c r="F4" i="4"/>
  <c r="F4" i="5" s="1"/>
  <c r="X18" i="4"/>
  <c r="X18" i="5" s="1"/>
  <c r="G4" i="4"/>
  <c r="G4" i="5" s="1"/>
  <c r="D13" i="4"/>
  <c r="D13" i="5" s="1"/>
  <c r="H4" i="4"/>
  <c r="H4" i="5" s="1"/>
  <c r="Z20" i="4"/>
  <c r="Z20" i="5" s="1"/>
  <c r="M17" i="4"/>
  <c r="M17" i="5" s="1"/>
  <c r="H8" i="4"/>
  <c r="H8" i="5" s="1"/>
  <c r="AE18" i="4"/>
  <c r="AE18" i="5" s="1"/>
  <c r="P15" i="4"/>
  <c r="P15" i="5" s="1"/>
  <c r="L6" i="4"/>
  <c r="L6" i="5" s="1"/>
  <c r="AB13" i="4"/>
  <c r="AB13" i="5" s="1"/>
  <c r="AE4" i="4"/>
  <c r="AE4" i="5" s="1"/>
  <c r="S8" i="4"/>
  <c r="S8" i="5" s="1"/>
  <c r="AD13" i="4"/>
  <c r="AD13" i="5" s="1"/>
  <c r="W17" i="4"/>
  <c r="W17" i="5" s="1"/>
  <c r="B7" i="4"/>
  <c r="B7" i="5" s="1"/>
  <c r="E16" i="4"/>
  <c r="E16" i="5" s="1"/>
  <c r="V8" i="4"/>
  <c r="V8" i="5" s="1"/>
  <c r="Y17" i="4"/>
  <c r="Y17" i="5" s="1"/>
  <c r="Y19" i="4"/>
  <c r="Y19" i="5" s="1"/>
  <c r="U23" i="4"/>
  <c r="U23" i="5" s="1"/>
  <c r="G3" i="4"/>
  <c r="G3" i="5" s="1"/>
  <c r="W8" i="4"/>
  <c r="W8" i="5" s="1"/>
  <c r="S12" i="4"/>
  <c r="S12" i="5" s="1"/>
  <c r="H14" i="4"/>
  <c r="H14" i="5" s="1"/>
  <c r="Z19" i="4"/>
  <c r="Z19" i="5" s="1"/>
  <c r="V23" i="4"/>
  <c r="V23" i="5" s="1"/>
  <c r="K16" i="4"/>
  <c r="K16" i="5" s="1"/>
  <c r="A22" i="5"/>
  <c r="P22" i="4"/>
  <c r="P22" i="5" s="1"/>
  <c r="S22" i="4"/>
  <c r="S22" i="5" s="1"/>
  <c r="R22" i="4"/>
  <c r="R22" i="5" s="1"/>
  <c r="L22" i="4"/>
  <c r="L22" i="5" s="1"/>
  <c r="Y22" i="4"/>
  <c r="Y22" i="5" s="1"/>
  <c r="X22" i="4"/>
  <c r="X22" i="5" s="1"/>
  <c r="W22" i="4"/>
  <c r="W22" i="5" s="1"/>
  <c r="H22" i="4"/>
  <c r="H22" i="5" s="1"/>
  <c r="G22" i="4"/>
  <c r="G22" i="5" s="1"/>
  <c r="F22" i="4"/>
  <c r="F22" i="5" s="1"/>
  <c r="E22" i="4"/>
  <c r="E22" i="5" s="1"/>
  <c r="AB22" i="4"/>
  <c r="AB22" i="5" s="1"/>
  <c r="Z22" i="4"/>
  <c r="Z22" i="5" s="1"/>
  <c r="T22" i="4"/>
  <c r="T22" i="5" s="1"/>
  <c r="Q22" i="4"/>
  <c r="Q22" i="5" s="1"/>
  <c r="AA22" i="4"/>
  <c r="AA22" i="5" s="1"/>
  <c r="V22" i="4"/>
  <c r="V22" i="5" s="1"/>
  <c r="U22" i="4"/>
  <c r="U22" i="5" s="1"/>
  <c r="AE22" i="4"/>
  <c r="AE22" i="5" s="1"/>
  <c r="AD22" i="4"/>
  <c r="AD22" i="5" s="1"/>
  <c r="O9" i="4"/>
  <c r="O9" i="5" s="1"/>
  <c r="W20" i="4"/>
  <c r="W20" i="5" s="1"/>
  <c r="C13" i="4"/>
  <c r="C13" i="5" s="1"/>
  <c r="R9" i="4"/>
  <c r="R9" i="5" s="1"/>
  <c r="V11" i="4"/>
  <c r="V11" i="5" s="1"/>
  <c r="T9" i="4"/>
  <c r="T9" i="5" s="1"/>
  <c r="W13" i="4"/>
  <c r="W13" i="5" s="1"/>
  <c r="B23" i="4"/>
  <c r="B23" i="5" s="1"/>
  <c r="J6" i="4"/>
  <c r="J6" i="5" s="1"/>
  <c r="AC20" i="4"/>
  <c r="AC20" i="5" s="1"/>
  <c r="O17" i="4"/>
  <c r="O17" i="5" s="1"/>
  <c r="L8" i="4"/>
  <c r="L8" i="5" s="1"/>
  <c r="E21" i="4"/>
  <c r="E21" i="5" s="1"/>
  <c r="F10" i="4"/>
  <c r="F10" i="5" s="1"/>
  <c r="T8" i="4"/>
  <c r="T8" i="5" s="1"/>
  <c r="D4" i="4"/>
  <c r="D4" i="5" s="1"/>
  <c r="V18" i="4"/>
  <c r="V18" i="5" s="1"/>
  <c r="P9" i="4"/>
  <c r="P9" i="5" s="1"/>
  <c r="Q9" i="4"/>
  <c r="Q9" i="5" s="1"/>
  <c r="O22" i="4"/>
  <c r="O22" i="5" s="1"/>
  <c r="D6" i="4"/>
  <c r="D6" i="5" s="1"/>
  <c r="Y20" i="4"/>
  <c r="Y20" i="5" s="1"/>
  <c r="AA20" i="4"/>
  <c r="AA20" i="5" s="1"/>
  <c r="AC4" i="4"/>
  <c r="AC4" i="5" s="1"/>
  <c r="AA13" i="4"/>
  <c r="AA13" i="5" s="1"/>
  <c r="AD4" i="4"/>
  <c r="AD4" i="5" s="1"/>
  <c r="U17" i="4"/>
  <c r="U17" i="5" s="1"/>
  <c r="L10" i="4"/>
  <c r="L10" i="5" s="1"/>
  <c r="B5" i="4"/>
  <c r="B5" i="5" s="1"/>
  <c r="M10" i="4"/>
  <c r="M10" i="5" s="1"/>
  <c r="W19" i="4"/>
  <c r="W19" i="5" s="1"/>
  <c r="P23" i="4"/>
  <c r="P23" i="5" s="1"/>
  <c r="E3" i="4"/>
  <c r="E3" i="5" s="1"/>
  <c r="O10" i="4"/>
  <c r="O10" i="5" s="1"/>
  <c r="B14" i="4"/>
  <c r="B14" i="5" s="1"/>
  <c r="D5" i="4"/>
  <c r="D5" i="5" s="1"/>
  <c r="F16" i="4"/>
  <c r="F16" i="5" s="1"/>
  <c r="D7" i="4"/>
  <c r="D7" i="5" s="1"/>
  <c r="I16" i="4"/>
  <c r="I16" i="5" s="1"/>
  <c r="AE21" i="4"/>
  <c r="AE21" i="5" s="1"/>
  <c r="E7" i="4"/>
  <c r="E7" i="5" s="1"/>
  <c r="S10" i="4"/>
  <c r="S10" i="5" s="1"/>
  <c r="V12" i="4"/>
  <c r="V12" i="5" s="1"/>
  <c r="K14" i="4"/>
  <c r="K14" i="5" s="1"/>
  <c r="AA19" i="4"/>
  <c r="AA19" i="5" s="1"/>
  <c r="W23" i="4"/>
  <c r="W23" i="5" s="1"/>
  <c r="F7" i="4"/>
  <c r="F7" i="5" s="1"/>
  <c r="L16" i="4"/>
  <c r="L16" i="5" s="1"/>
  <c r="AB19" i="4"/>
  <c r="AB19" i="5" s="1"/>
  <c r="B22" i="4"/>
  <c r="B22" i="5" s="1"/>
  <c r="H5" i="4"/>
  <c r="H5" i="5" s="1"/>
  <c r="Z10" i="4"/>
  <c r="Z10" i="5" s="1"/>
  <c r="M16" i="4"/>
  <c r="M16" i="5" s="1"/>
  <c r="P18" i="4"/>
  <c r="P18" i="5" s="1"/>
  <c r="AC19" i="4"/>
  <c r="AC19" i="5" s="1"/>
  <c r="C22" i="4"/>
  <c r="C22" i="5" s="1"/>
  <c r="D24" i="4"/>
  <c r="D24" i="5" s="1"/>
  <c r="C11" i="4"/>
  <c r="C11" i="5" s="1"/>
  <c r="V20" i="4"/>
  <c r="V20" i="5" s="1"/>
  <c r="AB6" i="4"/>
  <c r="AB6" i="5" s="1"/>
  <c r="F6" i="4"/>
  <c r="F6" i="5" s="1"/>
  <c r="I6" i="4"/>
  <c r="I6" i="5" s="1"/>
  <c r="AE6" i="4"/>
  <c r="AE6" i="5" s="1"/>
  <c r="H6" i="4"/>
  <c r="H6" i="5" s="1"/>
  <c r="Y6" i="4"/>
  <c r="Y6" i="5" s="1"/>
  <c r="B6" i="4"/>
  <c r="B6" i="5" s="1"/>
  <c r="Q6" i="4"/>
  <c r="Q6" i="5" s="1"/>
  <c r="P6" i="4"/>
  <c r="P6" i="5" s="1"/>
  <c r="O6" i="4"/>
  <c r="O6" i="5" s="1"/>
  <c r="S6" i="4"/>
  <c r="S6" i="5" s="1"/>
  <c r="N6" i="4"/>
  <c r="N6" i="5" s="1"/>
  <c r="M6" i="4"/>
  <c r="M6" i="5" s="1"/>
  <c r="AA6" i="4"/>
  <c r="AA6" i="5" s="1"/>
  <c r="V6" i="4"/>
  <c r="V6" i="5" s="1"/>
  <c r="Z6" i="4"/>
  <c r="Z6" i="5" s="1"/>
  <c r="X6" i="4"/>
  <c r="X6" i="5" s="1"/>
  <c r="U6" i="4"/>
  <c r="U6" i="5" s="1"/>
  <c r="T6" i="4"/>
  <c r="T6" i="5" s="1"/>
  <c r="A6" i="5"/>
  <c r="W6" i="4"/>
  <c r="W6" i="5" s="1"/>
  <c r="AD6" i="4"/>
  <c r="AD6" i="5" s="1"/>
  <c r="F15" i="4"/>
  <c r="F15" i="5" s="1"/>
  <c r="U24" i="4"/>
  <c r="U24" i="5" s="1"/>
  <c r="C6" i="4"/>
  <c r="C6" i="5" s="1"/>
  <c r="R26" i="4"/>
  <c r="R26" i="5" s="1"/>
  <c r="H17" i="4"/>
  <c r="H17" i="5" s="1"/>
  <c r="W24" i="4"/>
  <c r="W24" i="5" s="1"/>
  <c r="S9" i="4"/>
  <c r="S9" i="5" s="1"/>
  <c r="AB18" i="4"/>
  <c r="AB18" i="5" s="1"/>
  <c r="W26" i="4"/>
  <c r="W26" i="5" s="1"/>
  <c r="G8" i="4"/>
  <c r="G8" i="5" s="1"/>
  <c r="AC18" i="4"/>
  <c r="AC18" i="5" s="1"/>
  <c r="T4" i="4"/>
  <c r="T4" i="5" s="1"/>
  <c r="X11" i="4"/>
  <c r="X11" i="5" s="1"/>
  <c r="Z13" i="4"/>
  <c r="Z13" i="5" s="1"/>
  <c r="N17" i="4"/>
  <c r="N17" i="5" s="1"/>
  <c r="I23" i="4"/>
  <c r="I23" i="5" s="1"/>
  <c r="V9" i="4"/>
  <c r="V9" i="5" s="1"/>
  <c r="L23" i="4"/>
  <c r="L23" i="5" s="1"/>
  <c r="D10" i="4"/>
  <c r="D10" i="5" s="1"/>
  <c r="R6" i="4"/>
  <c r="R6" i="5" s="1"/>
  <c r="AC13" i="4"/>
  <c r="AC13" i="5" s="1"/>
  <c r="AD26" i="4"/>
  <c r="AD26" i="5" s="1"/>
  <c r="AC11" i="4"/>
  <c r="AC11" i="5" s="1"/>
  <c r="K21" i="4"/>
  <c r="K21" i="5" s="1"/>
  <c r="V14" i="4"/>
  <c r="V14" i="5" s="1"/>
  <c r="M14" i="4"/>
  <c r="M14" i="5" s="1"/>
  <c r="L14" i="4"/>
  <c r="L14" i="5" s="1"/>
  <c r="A14" i="5"/>
  <c r="AD14" i="4"/>
  <c r="AD14" i="5" s="1"/>
  <c r="G14" i="4"/>
  <c r="G14" i="5" s="1"/>
  <c r="E14" i="4"/>
  <c r="E14" i="5" s="1"/>
  <c r="AE14" i="4"/>
  <c r="AE14" i="5" s="1"/>
  <c r="D14" i="4"/>
  <c r="D14" i="5" s="1"/>
  <c r="AC14" i="4"/>
  <c r="AC14" i="5" s="1"/>
  <c r="C14" i="4"/>
  <c r="C14" i="5" s="1"/>
  <c r="N14" i="4"/>
  <c r="N14" i="5" s="1"/>
  <c r="J14" i="4"/>
  <c r="J14" i="5" s="1"/>
  <c r="I14" i="4"/>
  <c r="I14" i="5" s="1"/>
  <c r="X14" i="4"/>
  <c r="X14" i="5" s="1"/>
  <c r="U14" i="4"/>
  <c r="U14" i="5" s="1"/>
  <c r="S14" i="4"/>
  <c r="S14" i="5" s="1"/>
  <c r="W14" i="4"/>
  <c r="W14" i="5" s="1"/>
  <c r="T14" i="4"/>
  <c r="T14" i="5" s="1"/>
  <c r="R14" i="4"/>
  <c r="R14" i="5" s="1"/>
  <c r="Q14" i="4"/>
  <c r="Q14" i="5" s="1"/>
  <c r="AA14" i="4"/>
  <c r="AA14" i="5" s="1"/>
  <c r="Z14" i="4"/>
  <c r="Z14" i="5" s="1"/>
  <c r="C5" i="4"/>
  <c r="C5" i="5" s="1"/>
  <c r="R12" i="4"/>
  <c r="R12" i="5" s="1"/>
  <c r="A12" i="5"/>
  <c r="AC12" i="4"/>
  <c r="AC12" i="5" s="1"/>
  <c r="F12" i="4"/>
  <c r="F12" i="5" s="1"/>
  <c r="AB12" i="4"/>
  <c r="AB12" i="5" s="1"/>
  <c r="E12" i="4"/>
  <c r="E12" i="5" s="1"/>
  <c r="W12" i="4"/>
  <c r="W12" i="5" s="1"/>
  <c r="N12" i="4"/>
  <c r="N12" i="5" s="1"/>
  <c r="M12" i="4"/>
  <c r="M12" i="5" s="1"/>
  <c r="L12" i="4"/>
  <c r="L12" i="5" s="1"/>
  <c r="K12" i="4"/>
  <c r="K12" i="5" s="1"/>
  <c r="I12" i="4"/>
  <c r="I12" i="5" s="1"/>
  <c r="H12" i="4"/>
  <c r="H12" i="5" s="1"/>
  <c r="Q12" i="4"/>
  <c r="Q12" i="5" s="1"/>
  <c r="O12" i="4"/>
  <c r="O12" i="5" s="1"/>
  <c r="G12" i="4"/>
  <c r="G12" i="5" s="1"/>
  <c r="P12" i="4"/>
  <c r="P12" i="5" s="1"/>
  <c r="C12" i="4"/>
  <c r="C12" i="5" s="1"/>
  <c r="J12" i="4"/>
  <c r="J12" i="5" s="1"/>
  <c r="D12" i="4"/>
  <c r="D12" i="5" s="1"/>
  <c r="U12" i="4"/>
  <c r="U12" i="5" s="1"/>
  <c r="T12" i="4"/>
  <c r="T12" i="5" s="1"/>
  <c r="F3" i="4"/>
  <c r="F3" i="5" s="1"/>
  <c r="C7" i="4"/>
  <c r="C7" i="5" s="1"/>
  <c r="Q10" i="4"/>
  <c r="Q10" i="5" s="1"/>
  <c r="B12" i="4"/>
  <c r="B12" i="5" s="1"/>
  <c r="F14" i="4"/>
  <c r="F14" i="5" s="1"/>
  <c r="X21" i="4"/>
  <c r="X21" i="5" s="1"/>
  <c r="E5" i="4"/>
  <c r="E5" i="5" s="1"/>
  <c r="R10" i="4"/>
  <c r="R10" i="5" s="1"/>
  <c r="Z17" i="4"/>
  <c r="Z17" i="5" s="1"/>
  <c r="T3" i="4"/>
  <c r="T3" i="5" s="1"/>
  <c r="F5" i="4"/>
  <c r="F5" i="5" s="1"/>
  <c r="X8" i="4"/>
  <c r="X8" i="5" s="1"/>
  <c r="B18" i="4"/>
  <c r="B18" i="5" s="1"/>
  <c r="W3" i="4"/>
  <c r="W3" i="5" s="1"/>
  <c r="G5" i="4"/>
  <c r="G5" i="5" s="1"/>
  <c r="Y10" i="4"/>
  <c r="Y10" i="5" s="1"/>
  <c r="O14" i="4"/>
  <c r="O14" i="5" s="1"/>
  <c r="I18" i="4"/>
  <c r="I18" i="5" s="1"/>
  <c r="X3" i="4"/>
  <c r="X3" i="5" s="1"/>
  <c r="G7" i="4"/>
  <c r="G7" i="5" s="1"/>
  <c r="C9" i="4"/>
  <c r="C9" i="5" s="1"/>
  <c r="Y12" i="4"/>
  <c r="Y12" i="5" s="1"/>
  <c r="Y3" i="4"/>
  <c r="Y3" i="5" s="1"/>
  <c r="I5" i="4"/>
  <c r="I5" i="5" s="1"/>
  <c r="H7" i="4"/>
  <c r="H7" i="5" s="1"/>
  <c r="H9" i="4"/>
  <c r="H9" i="5" s="1"/>
  <c r="AA10" i="4"/>
  <c r="AA10" i="5" s="1"/>
  <c r="Z12" i="4"/>
  <c r="Z12" i="5" s="1"/>
  <c r="Y14" i="4"/>
  <c r="Y14" i="5" s="1"/>
  <c r="O16" i="4"/>
  <c r="O16" i="5" s="1"/>
  <c r="Q18" i="4"/>
  <c r="Q18" i="5" s="1"/>
  <c r="AD19" i="4"/>
  <c r="AD19" i="5" s="1"/>
  <c r="D22" i="4"/>
  <c r="D22" i="5" s="1"/>
  <c r="K24" i="4"/>
  <c r="K24" i="5" s="1"/>
  <c r="J8" i="4"/>
  <c r="J8" i="5" s="1"/>
  <c r="A8" i="5"/>
  <c r="P8" i="4"/>
  <c r="P8" i="5" s="1"/>
  <c r="O8" i="4"/>
  <c r="O8" i="5" s="1"/>
  <c r="I8" i="4"/>
  <c r="I8" i="5" s="1"/>
  <c r="F8" i="4"/>
  <c r="F8" i="5" s="1"/>
  <c r="AE8" i="4"/>
  <c r="AE8" i="5" s="1"/>
  <c r="E8" i="4"/>
  <c r="E8" i="5" s="1"/>
  <c r="AD8" i="4"/>
  <c r="AD8" i="5" s="1"/>
  <c r="D8" i="4"/>
  <c r="D8" i="5" s="1"/>
  <c r="R8" i="4"/>
  <c r="R8" i="5" s="1"/>
  <c r="N8" i="4"/>
  <c r="N8" i="5" s="1"/>
  <c r="M8" i="4"/>
  <c r="M8" i="5" s="1"/>
  <c r="Z16" i="4"/>
  <c r="Z16" i="5" s="1"/>
  <c r="D16" i="4"/>
  <c r="D16" i="5" s="1"/>
  <c r="T16" i="4"/>
  <c r="T16" i="5" s="1"/>
  <c r="S16" i="4"/>
  <c r="S16" i="5" s="1"/>
  <c r="N16" i="4"/>
  <c r="N16" i="5" s="1"/>
  <c r="X16" i="4"/>
  <c r="X16" i="5" s="1"/>
  <c r="W16" i="4"/>
  <c r="W16" i="5" s="1"/>
  <c r="V16" i="4"/>
  <c r="V16" i="5" s="1"/>
  <c r="J16" i="4"/>
  <c r="J16" i="5" s="1"/>
  <c r="H16" i="4"/>
  <c r="H16" i="5" s="1"/>
  <c r="G16" i="4"/>
  <c r="G16" i="5" s="1"/>
  <c r="P19" i="4"/>
  <c r="P19" i="5" s="1"/>
  <c r="W7" i="4"/>
  <c r="W7" i="5" s="1"/>
  <c r="B8" i="4"/>
  <c r="B8" i="5" s="1"/>
  <c r="J10" i="4"/>
  <c r="J10" i="5" s="1"/>
  <c r="P11" i="4"/>
  <c r="P11" i="5" s="1"/>
  <c r="B16" i="4"/>
  <c r="B16" i="5" s="1"/>
  <c r="Q19" i="4"/>
  <c r="Q19" i="5" s="1"/>
  <c r="AA16" i="4"/>
  <c r="AA16" i="5" s="1"/>
  <c r="B19" i="4"/>
  <c r="B19" i="5" s="1"/>
  <c r="AA8" i="4"/>
  <c r="AA8" i="5" s="1"/>
  <c r="K25" i="4"/>
  <c r="K25" i="5" s="1"/>
  <c r="R25" i="4"/>
  <c r="R25" i="5" s="1"/>
  <c r="Q25" i="4"/>
  <c r="Q25" i="5" s="1"/>
  <c r="L25" i="4"/>
  <c r="L25" i="5" s="1"/>
  <c r="J25" i="4"/>
  <c r="J25" i="5" s="1"/>
  <c r="I25" i="4"/>
  <c r="I25" i="5" s="1"/>
  <c r="H25" i="4"/>
  <c r="H25" i="5" s="1"/>
  <c r="F25" i="4"/>
  <c r="F25" i="5" s="1"/>
  <c r="E25" i="4"/>
  <c r="E25" i="5" s="1"/>
  <c r="D25" i="4"/>
  <c r="D25" i="5" s="1"/>
  <c r="C25" i="4"/>
  <c r="C25" i="5" s="1"/>
  <c r="A16" i="5"/>
  <c r="AB8" i="4"/>
  <c r="AB8" i="5" s="1"/>
  <c r="B10" i="4"/>
  <c r="B10" i="5" s="1"/>
  <c r="AC16" i="4"/>
  <c r="AC16" i="5" s="1"/>
  <c r="D19" i="4"/>
  <c r="D19" i="5" s="1"/>
  <c r="B25" i="4"/>
  <c r="B25" i="5" s="1"/>
  <c r="AA11" i="4"/>
  <c r="AA11" i="5" s="1"/>
  <c r="E11" i="4"/>
  <c r="E11" i="5" s="1"/>
  <c r="N11" i="4"/>
  <c r="N11" i="5" s="1"/>
  <c r="M11" i="4"/>
  <c r="M11" i="5" s="1"/>
  <c r="AE11" i="4"/>
  <c r="AE11" i="5" s="1"/>
  <c r="H11" i="4"/>
  <c r="H11" i="5" s="1"/>
  <c r="S11" i="4"/>
  <c r="S11" i="5" s="1"/>
  <c r="R11" i="4"/>
  <c r="R11" i="5" s="1"/>
  <c r="Q11" i="4"/>
  <c r="Q11" i="5" s="1"/>
  <c r="K11" i="4"/>
  <c r="K11" i="5" s="1"/>
  <c r="I11" i="4"/>
  <c r="I11" i="5" s="1"/>
  <c r="G11" i="4"/>
  <c r="G11" i="5" s="1"/>
  <c r="A11" i="5"/>
  <c r="B11" i="4"/>
  <c r="B11" i="5" s="1"/>
  <c r="C19" i="4"/>
  <c r="C19" i="5" s="1"/>
  <c r="C10" i="4"/>
  <c r="C10" i="5" s="1"/>
  <c r="A10" i="5"/>
  <c r="F11" i="4"/>
  <c r="F11" i="5" s="1"/>
  <c r="AE16" i="4"/>
  <c r="AE16" i="5" s="1"/>
  <c r="M25" i="4"/>
  <c r="M25" i="5" s="1"/>
  <c r="U19" i="4"/>
  <c r="U19" i="5" s="1"/>
  <c r="A19" i="5"/>
  <c r="S19" i="4"/>
  <c r="S19" i="5" s="1"/>
  <c r="R19" i="4"/>
  <c r="R19" i="5" s="1"/>
  <c r="M19" i="4"/>
  <c r="M19" i="5" s="1"/>
  <c r="J19" i="4"/>
  <c r="J19" i="5" s="1"/>
  <c r="I19" i="4"/>
  <c r="I19" i="5" s="1"/>
  <c r="H19" i="4"/>
  <c r="H19" i="5" s="1"/>
  <c r="K19" i="4"/>
  <c r="K19" i="5" s="1"/>
  <c r="F19" i="4"/>
  <c r="F19" i="5" s="1"/>
  <c r="E19" i="4"/>
  <c r="E19" i="5" s="1"/>
  <c r="Z8" i="4"/>
  <c r="Z8" i="5" s="1"/>
  <c r="N10" i="4"/>
  <c r="N10" i="5" s="1"/>
  <c r="V10" i="4"/>
  <c r="V10" i="5" s="1"/>
  <c r="U10" i="4"/>
  <c r="U10" i="5" s="1"/>
  <c r="P10" i="4"/>
  <c r="P10" i="5" s="1"/>
  <c r="X10" i="4"/>
  <c r="X10" i="5" s="1"/>
  <c r="W10" i="4"/>
  <c r="W10" i="5" s="1"/>
  <c r="T10" i="4"/>
  <c r="T10" i="5" s="1"/>
  <c r="K10" i="4"/>
  <c r="K10" i="5" s="1"/>
  <c r="I10" i="4"/>
  <c r="I10" i="5" s="1"/>
  <c r="H10" i="4"/>
  <c r="H10" i="5" s="1"/>
  <c r="AB16" i="4"/>
  <c r="AB16" i="5" s="1"/>
  <c r="AC8" i="4"/>
  <c r="AC8" i="5" s="1"/>
  <c r="D11" i="4"/>
  <c r="D11" i="5" s="1"/>
  <c r="AD16" i="4"/>
  <c r="AD16" i="5" s="1"/>
  <c r="AD18" i="4"/>
  <c r="AD18" i="5" s="1"/>
  <c r="H18" i="4"/>
  <c r="H18" i="5" s="1"/>
  <c r="AA18" i="4"/>
  <c r="AA18" i="5" s="1"/>
  <c r="D18" i="4"/>
  <c r="D18" i="5" s="1"/>
  <c r="Z18" i="4"/>
  <c r="Z18" i="5" s="1"/>
  <c r="C18" i="4"/>
  <c r="C18" i="5" s="1"/>
  <c r="A18" i="5"/>
  <c r="U18" i="4"/>
  <c r="U18" i="5" s="1"/>
  <c r="O18" i="4"/>
  <c r="O18" i="5" s="1"/>
  <c r="N18" i="4"/>
  <c r="N18" i="5" s="1"/>
  <c r="M18" i="4"/>
  <c r="M18" i="5" s="1"/>
  <c r="J18" i="4"/>
  <c r="J18" i="5" s="1"/>
  <c r="G18" i="4"/>
  <c r="G18" i="5" s="1"/>
  <c r="F18" i="4"/>
  <c r="F18" i="5" s="1"/>
  <c r="G19" i="4"/>
  <c r="G19" i="5" s="1"/>
  <c r="G25" i="4"/>
  <c r="G25" i="5" s="1"/>
  <c r="E10" i="4"/>
  <c r="E10" i="5" s="1"/>
  <c r="J11" i="4"/>
  <c r="J11" i="5" s="1"/>
  <c r="Q17" i="4"/>
  <c r="Q17" i="5" s="1"/>
  <c r="A17" i="5"/>
  <c r="L17" i="4"/>
  <c r="L17" i="5" s="1"/>
  <c r="K17" i="4"/>
  <c r="K17" i="5" s="1"/>
  <c r="AC17" i="4"/>
  <c r="AC17" i="5" s="1"/>
  <c r="F17" i="4"/>
  <c r="F17" i="5" s="1"/>
  <c r="T17" i="4"/>
  <c r="T17" i="5" s="1"/>
  <c r="S17" i="4"/>
  <c r="S17" i="5" s="1"/>
  <c r="R17" i="4"/>
  <c r="R17" i="5" s="1"/>
  <c r="I17" i="4"/>
  <c r="I17" i="5" s="1"/>
  <c r="G17" i="4"/>
  <c r="G17" i="5" s="1"/>
  <c r="E17" i="4"/>
  <c r="E17" i="5" s="1"/>
  <c r="E18" i="4"/>
  <c r="E18" i="5" s="1"/>
  <c r="N19" i="4"/>
  <c r="N19" i="5" s="1"/>
  <c r="T24" i="4"/>
  <c r="T24" i="5" s="1"/>
  <c r="Z24" i="4"/>
  <c r="Z24" i="5" s="1"/>
  <c r="C24" i="4"/>
  <c r="C24" i="5" s="1"/>
  <c r="Y24" i="4"/>
  <c r="Y24" i="5" s="1"/>
  <c r="B24" i="4"/>
  <c r="B24" i="5" s="1"/>
  <c r="S24" i="4"/>
  <c r="S24" i="5" s="1"/>
  <c r="A24" i="5"/>
  <c r="O24" i="4"/>
  <c r="O24" i="5" s="1"/>
  <c r="N24" i="4"/>
  <c r="N24" i="5" s="1"/>
  <c r="M24" i="4"/>
  <c r="M24" i="5" s="1"/>
  <c r="H24" i="4"/>
  <c r="H24" i="5" s="1"/>
  <c r="G24" i="4"/>
  <c r="G24" i="5" s="1"/>
  <c r="F24" i="4"/>
  <c r="F24" i="5" s="1"/>
  <c r="E24" i="4"/>
  <c r="E24" i="5" s="1"/>
  <c r="N25" i="4"/>
  <c r="N25" i="5" s="1"/>
  <c r="X26" i="4"/>
  <c r="X26" i="5" s="1"/>
  <c r="B26" i="4"/>
  <c r="B26" i="5" s="1"/>
  <c r="V26" i="4"/>
  <c r="V26" i="5" s="1"/>
  <c r="A26" i="5"/>
  <c r="J26" i="4"/>
  <c r="J26" i="5" s="1"/>
  <c r="I26" i="4"/>
  <c r="I26" i="5" s="1"/>
  <c r="AB26" i="4"/>
  <c r="AB26" i="5" s="1"/>
  <c r="D26" i="4"/>
  <c r="D26" i="5" s="1"/>
  <c r="G26" i="4"/>
  <c r="G26" i="5" s="1"/>
  <c r="F26" i="4"/>
  <c r="F26" i="5" s="1"/>
  <c r="E26" i="4"/>
  <c r="E26" i="5" s="1"/>
  <c r="C26" i="4"/>
  <c r="C26" i="5" s="1"/>
  <c r="K26" i="4"/>
  <c r="K26" i="5" s="1"/>
  <c r="K3" i="4"/>
  <c r="K3" i="5" s="1"/>
  <c r="I3" i="4"/>
  <c r="I3" i="5" s="1"/>
  <c r="AE3" i="4"/>
  <c r="AE3" i="5" s="1"/>
  <c r="H3" i="4"/>
  <c r="H3" i="5" s="1"/>
  <c r="Z3" i="4"/>
  <c r="Z3" i="5" s="1"/>
  <c r="C3" i="4"/>
  <c r="C3" i="5" s="1"/>
  <c r="AB3" i="4"/>
  <c r="AB3" i="5" s="1"/>
  <c r="B3" i="4"/>
  <c r="B3" i="5" s="1"/>
  <c r="AC3" i="4"/>
  <c r="AC3" i="5" s="1"/>
  <c r="D3" i="4"/>
  <c r="D3" i="5" s="1"/>
  <c r="AD3" i="4"/>
  <c r="AD3" i="5" s="1"/>
  <c r="M15" i="4"/>
  <c r="M15" i="5" s="1"/>
  <c r="AB15" i="4"/>
  <c r="AB15" i="5" s="1"/>
  <c r="E15" i="4"/>
  <c r="E15" i="5" s="1"/>
  <c r="A15" i="5"/>
  <c r="AA15" i="4"/>
  <c r="AA15" i="5" s="1"/>
  <c r="D15" i="4"/>
  <c r="D15" i="5" s="1"/>
  <c r="V15" i="4"/>
  <c r="V15" i="5" s="1"/>
  <c r="AC15" i="4"/>
  <c r="AC15" i="5" s="1"/>
  <c r="Y21" i="4"/>
  <c r="Y21" i="5" s="1"/>
  <c r="C21" i="4"/>
  <c r="C21" i="5" s="1"/>
  <c r="AA21" i="4"/>
  <c r="AA21" i="5" s="1"/>
  <c r="D21" i="4"/>
  <c r="D21" i="5" s="1"/>
  <c r="Z21" i="4"/>
  <c r="Z21" i="5" s="1"/>
  <c r="B21" i="4"/>
  <c r="B21" i="5" s="1"/>
  <c r="T21" i="4"/>
  <c r="T21" i="5" s="1"/>
  <c r="AD21" i="4"/>
  <c r="AD21" i="5" s="1"/>
  <c r="R4" i="4"/>
  <c r="R4" i="5" s="1"/>
  <c r="Q7" i="4"/>
  <c r="Q7" i="5" s="1"/>
  <c r="W9" i="4"/>
  <c r="W9" i="5" s="1"/>
  <c r="X4" i="4"/>
  <c r="X4" i="5" s="1"/>
  <c r="B4" i="4"/>
  <c r="B4" i="5" s="1"/>
  <c r="Y4" i="4"/>
  <c r="Y4" i="5" s="1"/>
  <c r="S7" i="4"/>
  <c r="S7" i="5" s="1"/>
  <c r="X7" i="4"/>
  <c r="X7" i="5" s="1"/>
</calcChain>
</file>

<file path=xl/sharedStrings.xml><?xml version="1.0" encoding="utf-8"?>
<sst xmlns="http://schemas.openxmlformats.org/spreadsheetml/2006/main" count="445" uniqueCount="196">
  <si>
    <t>BFoICStCT BAU Fraction of Industry Category Subject to Carbon Tax</t>
  </si>
  <si>
    <t>Alabama</t>
  </si>
  <si>
    <t>State abbr (derived):</t>
  </si>
  <si>
    <t>Sources:</t>
  </si>
  <si>
    <t>Notes</t>
  </si>
  <si>
    <t>This file controls the extent to which the industry sector carbon tax is levied on each industry, per state. It can be set between 0 (industry entirely exempt) and 1 (industry entirely covered).</t>
  </si>
  <si>
    <t>Default (no enacted adjustment for the active state): every category = 1, no exemption, except 'agriculture and forestry 01T03' and 'water and waste 36T39' (Keys!zero_flag), which are always 0 regardless of state.</t>
  </si>
  <si>
    <t>If the active state has 'Adjustments to BFoICStCT' = Y on the State Policies tab (currently Oregon only -- its Climate Protection Program is fossil-only, not industry-wide): only 'oil and gas extraction 06', 'coal mining 05', and 'energy pipelines and gas processing 352T353' = 1; every other category = 0. The zero_flag categories stay 0 in this case too. See 'State Calculations'.</t>
  </si>
  <si>
    <t>state_abbr</t>
  </si>
  <si>
    <t>state_name</t>
  </si>
  <si>
    <t>category</t>
  </si>
  <si>
    <t>fossil_flag</t>
  </si>
  <si>
    <t>zero_flag</t>
  </si>
  <si>
    <t>AL</t>
  </si>
  <si>
    <t>agriculture and forestry 01T03</t>
  </si>
  <si>
    <t>Y</t>
  </si>
  <si>
    <t>AR</t>
  </si>
  <si>
    <t>Arkansas</t>
  </si>
  <si>
    <t>coal mining 05</t>
  </si>
  <si>
    <t>AZ</t>
  </si>
  <si>
    <t>Arizona</t>
  </si>
  <si>
    <t>oil and gas extraction 06</t>
  </si>
  <si>
    <t>CA</t>
  </si>
  <si>
    <t>California</t>
  </si>
  <si>
    <t>other mining and quarrying 07T08</t>
  </si>
  <si>
    <t>CO</t>
  </si>
  <si>
    <t>Colorado</t>
  </si>
  <si>
    <t>food beverage and tobacco 10T12</t>
  </si>
  <si>
    <t>CT</t>
  </si>
  <si>
    <t>Connecticut</t>
  </si>
  <si>
    <t>textiles apparel and leather 13T15</t>
  </si>
  <si>
    <t>DE</t>
  </si>
  <si>
    <t>Delaware</t>
  </si>
  <si>
    <t>wood products 16</t>
  </si>
  <si>
    <t>FL</t>
  </si>
  <si>
    <t>Florida</t>
  </si>
  <si>
    <t>pulp paper and printing 17T18</t>
  </si>
  <si>
    <t>GA</t>
  </si>
  <si>
    <t>Georgia</t>
  </si>
  <si>
    <t>refined petroleum and coke 19</t>
  </si>
  <si>
    <t>IA</t>
  </si>
  <si>
    <t>Iowa</t>
  </si>
  <si>
    <t>chemicals 20</t>
  </si>
  <si>
    <t>ID</t>
  </si>
  <si>
    <t>Idaho</t>
  </si>
  <si>
    <t>rubber and plastic products 22</t>
  </si>
  <si>
    <t>IL</t>
  </si>
  <si>
    <t>Illinois</t>
  </si>
  <si>
    <t>glass and glass products 231</t>
  </si>
  <si>
    <t>IN</t>
  </si>
  <si>
    <t>Indiana</t>
  </si>
  <si>
    <t>cement and other nonmetallic minerals 239</t>
  </si>
  <si>
    <t>KS</t>
  </si>
  <si>
    <t>Kansas</t>
  </si>
  <si>
    <t>iron and steel 241</t>
  </si>
  <si>
    <t>KY</t>
  </si>
  <si>
    <t>Kentucky</t>
  </si>
  <si>
    <t>other metals 242</t>
  </si>
  <si>
    <t>LA</t>
  </si>
  <si>
    <t>Louisiana</t>
  </si>
  <si>
    <t>metal products except machinery and vehicles 25</t>
  </si>
  <si>
    <t>MA</t>
  </si>
  <si>
    <t>Massachusetts</t>
  </si>
  <si>
    <t>computers and electronics 26</t>
  </si>
  <si>
    <t>MD</t>
  </si>
  <si>
    <t>Maryland</t>
  </si>
  <si>
    <t>appliances and electrical equipment 27</t>
  </si>
  <si>
    <t>ME</t>
  </si>
  <si>
    <t>Maine</t>
  </si>
  <si>
    <t>other machinery 28</t>
  </si>
  <si>
    <t>MI</t>
  </si>
  <si>
    <t>Michigan</t>
  </si>
  <si>
    <t>road vehicles 29</t>
  </si>
  <si>
    <t>MN</t>
  </si>
  <si>
    <t>Minnesota</t>
  </si>
  <si>
    <t>nonroad vehicles 30</t>
  </si>
  <si>
    <t>MO</t>
  </si>
  <si>
    <t>Missouri</t>
  </si>
  <si>
    <t>other manufacturing 31T33</t>
  </si>
  <si>
    <t>MS</t>
  </si>
  <si>
    <t>Mississippi</t>
  </si>
  <si>
    <t>energy pipelines and gas processing 352T353</t>
  </si>
  <si>
    <t>MT</t>
  </si>
  <si>
    <t>Montana</t>
  </si>
  <si>
    <t>water and waste 36T39</t>
  </si>
  <si>
    <t>NC</t>
  </si>
  <si>
    <t>North Carolina</t>
  </si>
  <si>
    <t>construction 41T43</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</si>
  <si>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</si>
  <si>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</si>
  <si>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</si>
  <si>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</si>
  <si>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</si>
  <si>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</si>
  <si>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</si>
  <si>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</si>
  <si>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</si>
  <si>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</si>
  <si>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</si>
  <si>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</si>
  <si>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</si>
  <si>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</si>
  <si>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</si>
  <si>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</si>
  <si>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</si>
  <si>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</si>
  <si>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</si>
  <si>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</si>
  <si>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</si>
  <si>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</si>
  <si>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</si>
  <si>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</si>
  <si>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</si>
  <si>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</si>
  <si>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</si>
  <si>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</si>
  <si>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</si>
  <si>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</si>
  <si>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</si>
  <si>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</si>
  <si>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</si>
  <si>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</si>
  <si>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</si>
  <si>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</si>
  <si>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</si>
  <si>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</si>
  <si>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</si>
  <si>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</si>
  <si>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</si>
  <si>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</si>
  <si>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</si>
  <si>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</si>
  <si>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</si>
  <si>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</si>
  <si>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</si>
  <si>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</si>
  <si>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</si>
  <si>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</si>
  <si>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</si>
  <si>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</si>
  <si>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</si>
  <si>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</si>
  <si>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</si>
  <si>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</si>
  <si>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</si>
  <si>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</si>
  <si>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</si>
  <si>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</si>
  <si>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</si>
  <si>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</si>
  <si>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</si>
  <si>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</si>
  <si>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</si>
  <si>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</si>
  <si>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</si>
  <si>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</si>
  <si>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</si>
  <si>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</si>
  <si>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Already modeled in downscale</t>
  </si>
  <si>
    <t>CA prices used</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</si>
  <si>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</si>
  <si>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</si>
  <si>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</si>
  <si>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</si>
  <si>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</si>
  <si>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</si>
  <si>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</si>
  <si>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</si>
  <si>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</si>
  <si>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</si>
  <si>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 prices used</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</si>
  <si>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</si>
  <si>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</si>
  <si>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</si>
  <si>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RGGI, already modeled in downscale</t>
  </si>
  <si>
    <t>RGGI auction prices used</t>
  </si>
  <si>
    <t>The Regional Greenhouse Gas Initiative (RGGI) covers the electricity sector.</t>
  </si>
  <si>
    <t>https://www.rggi.org/</t>
  </si>
  <si>
    <t>The Regional Greenhouse Gas Initiative (RGGI)</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</si>
  <si>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</si>
  <si>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</si>
  <si>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</si>
  <si>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Excluded from BCTR due to subsector (fossil)-only policy</t>
  </si>
  <si>
    <t>Need to model fossil-only in industry sector in BFoICStCT</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</si>
  <si>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</si>
  <si>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</si>
  <si>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</si>
  <si>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</si>
  <si>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</si>
  <si>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</si>
  <si>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 prices used</t>
  </si>
  <si>
    <t>Washington's Cap-and-Invest Program covers the electricity, buildings, transportation, and industrial sectors, covering around 75% of state emissions.</t>
  </si>
  <si>
    <t>https://app.leg.wa.gov/billsummary?BillNumber=1975&amp;Year=2025</t>
  </si>
  <si>
    <t>HB 1975</t>
  </si>
  <si>
    <t>Unit: dimensionless</t>
  </si>
  <si>
    <t>active-state adjustment flag (1 = 'Adjustments to BFoICStCT' = Y for About!B1 on State Policies)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</si>
</sst>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2" borderId="0" xfId="0" applyFont="1" applyFill="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tabSelected="1" workbookViewId="0"/>
  </sheetViews>
  <sheetFormatPr defaultRowHeight="14.25" x14ac:dyDescent="0.45"/>
  <sheetData>
    <row r="1" spans="1:3" x14ac:dyDescent="0.45">
      <c r="A1" t="s">
        <v>0</v>
      </c>
      <c r="B1" t="s">
        <v>95</v>
      </c>
      <c r="C1" s="3">
        <v>46266</v>
      </c>
    </row>
    <row r="2" spans="1:3" x14ac:dyDescent="0.45">
      <c r="A2" t="s">
        <v>2</v>
      </c>
      <c r="B2" t="str">
        <f>IFERROR(INDEX(Keys!$A:$A,MATCH($B$1,Keys!$B:$B,0)),"")</f>
        <v>NJ</v>
      </c>
    </row>
    <row r="4" spans="1:3" x14ac:dyDescent="0.45">
      <c r="A4" t="s">
        <v>3</v>
      </c>
    </row>
    <row r="6" spans="1:3" x14ac:dyDescent="0.45">
      <c r="A6" t="s">
        <v>4</v>
      </c>
    </row>
    <row r="7" spans="1:3" x14ac:dyDescent="0.45">
      <c r="A7" t="s">
        <v>5</v>
      </c>
    </row>
    <row r="9" spans="1:3" x14ac:dyDescent="0.45">
      <c r="A9" t="s">
        <v>6</v>
      </c>
    </row>
    <row r="10" spans="1:3" x14ac:dyDescent="0.45">
      <c r="A10" t="s">
        <v>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9"/>
  <sheetViews>
    <sheetView workbookViewId="0"/>
  </sheetViews>
  <sheetFormatPr defaultRowHeight="14.25" x14ac:dyDescent="0.45"/>
  <cols>
    <col min="1" max="2" width="40" customWidth="1"/>
    <col min="4" max="4" width="40" customWidth="1"/>
  </cols>
  <sheetData>
    <row r="1" spans="1:6" x14ac:dyDescent="0.45">
      <c r="A1" s="1" t="s">
        <v>8</v>
      </c>
      <c r="B1" s="1" t="s">
        <v>9</v>
      </c>
      <c r="D1" s="1" t="s">
        <v>10</v>
      </c>
      <c r="E1" s="1" t="s">
        <v>11</v>
      </c>
      <c r="F1" s="1" t="s">
        <v>12</v>
      </c>
    </row>
    <row r="2" spans="1:6" x14ac:dyDescent="0.45">
      <c r="A2" t="s">
        <v>13</v>
      </c>
      <c r="B2" t="s">
        <v>1</v>
      </c>
      <c r="D2" t="s">
        <v>14</v>
      </c>
      <c r="F2" t="s">
        <v>15</v>
      </c>
    </row>
    <row r="3" spans="1:6" x14ac:dyDescent="0.45">
      <c r="A3" t="s">
        <v>16</v>
      </c>
      <c r="B3" t="s">
        <v>17</v>
      </c>
      <c r="D3" t="s">
        <v>18</v>
      </c>
      <c r="E3" t="s">
        <v>15</v>
      </c>
    </row>
    <row r="4" spans="1:6" x14ac:dyDescent="0.45">
      <c r="A4" t="s">
        <v>19</v>
      </c>
      <c r="B4" t="s">
        <v>20</v>
      </c>
      <c r="D4" t="s">
        <v>21</v>
      </c>
      <c r="E4" t="s">
        <v>15</v>
      </c>
    </row>
    <row r="5" spans="1:6" x14ac:dyDescent="0.45">
      <c r="A5" t="s">
        <v>22</v>
      </c>
      <c r="B5" t="s">
        <v>23</v>
      </c>
      <c r="D5" t="s">
        <v>24</v>
      </c>
    </row>
    <row r="6" spans="1:6" x14ac:dyDescent="0.45">
      <c r="A6" t="s">
        <v>25</v>
      </c>
      <c r="B6" t="s">
        <v>26</v>
      </c>
      <c r="D6" t="s">
        <v>27</v>
      </c>
    </row>
    <row r="7" spans="1:6" x14ac:dyDescent="0.45">
      <c r="A7" t="s">
        <v>28</v>
      </c>
      <c r="B7" t="s">
        <v>29</v>
      </c>
      <c r="D7" t="s">
        <v>30</v>
      </c>
    </row>
    <row r="8" spans="1:6" x14ac:dyDescent="0.45">
      <c r="A8" t="s">
        <v>31</v>
      </c>
      <c r="B8" t="s">
        <v>32</v>
      </c>
      <c r="D8" t="s">
        <v>33</v>
      </c>
    </row>
    <row r="9" spans="1:6" x14ac:dyDescent="0.45">
      <c r="A9" t="s">
        <v>34</v>
      </c>
      <c r="B9" t="s">
        <v>35</v>
      </c>
      <c r="D9" t="s">
        <v>36</v>
      </c>
    </row>
    <row r="10" spans="1:6" x14ac:dyDescent="0.45">
      <c r="A10" t="s">
        <v>37</v>
      </c>
      <c r="B10" t="s">
        <v>38</v>
      </c>
      <c r="D10" t="s">
        <v>39</v>
      </c>
    </row>
    <row r="11" spans="1:6" x14ac:dyDescent="0.45">
      <c r="A11" t="s">
        <v>40</v>
      </c>
      <c r="B11" t="s">
        <v>41</v>
      </c>
      <c r="D11" t="s">
        <v>42</v>
      </c>
    </row>
    <row r="12" spans="1:6" x14ac:dyDescent="0.45">
      <c r="A12" t="s">
        <v>43</v>
      </c>
      <c r="B12" t="s">
        <v>44</v>
      </c>
      <c r="D12" t="s">
        <v>45</v>
      </c>
    </row>
    <row r="13" spans="1:6" x14ac:dyDescent="0.45">
      <c r="A13" t="s">
        <v>46</v>
      </c>
      <c r="B13" t="s">
        <v>47</v>
      </c>
      <c r="D13" t="s">
        <v>48</v>
      </c>
    </row>
    <row r="14" spans="1:6" x14ac:dyDescent="0.45">
      <c r="A14" t="s">
        <v>49</v>
      </c>
      <c r="B14" t="s">
        <v>50</v>
      </c>
      <c r="D14" t="s">
        <v>51</v>
      </c>
    </row>
    <row r="15" spans="1:6" x14ac:dyDescent="0.45">
      <c r="A15" t="s">
        <v>52</v>
      </c>
      <c r="B15" t="s">
        <v>53</v>
      </c>
      <c r="D15" t="s">
        <v>54</v>
      </c>
    </row>
    <row r="16" spans="1:6" x14ac:dyDescent="0.45">
      <c r="A16" t="s">
        <v>55</v>
      </c>
      <c r="B16" t="s">
        <v>56</v>
      </c>
      <c r="D16" t="s">
        <v>57</v>
      </c>
    </row>
    <row r="17" spans="1:6" x14ac:dyDescent="0.45">
      <c r="A17" t="s">
        <v>58</v>
      </c>
      <c r="B17" t="s">
        <v>59</v>
      </c>
      <c r="D17" t="s">
        <v>60</v>
      </c>
    </row>
    <row r="18" spans="1:6" x14ac:dyDescent="0.45">
      <c r="A18" t="s">
        <v>61</v>
      </c>
      <c r="B18" t="s">
        <v>62</v>
      </c>
      <c r="D18" t="s">
        <v>63</v>
      </c>
    </row>
    <row r="19" spans="1:6" x14ac:dyDescent="0.45">
      <c r="A19" t="s">
        <v>64</v>
      </c>
      <c r="B19" t="s">
        <v>65</v>
      </c>
      <c r="D19" t="s">
        <v>66</v>
      </c>
    </row>
    <row r="20" spans="1:6" x14ac:dyDescent="0.45">
      <c r="A20" t="s">
        <v>67</v>
      </c>
      <c r="B20" t="s">
        <v>68</v>
      </c>
      <c r="D20" t="s">
        <v>69</v>
      </c>
    </row>
    <row r="21" spans="1:6" x14ac:dyDescent="0.45">
      <c r="A21" t="s">
        <v>70</v>
      </c>
      <c r="B21" t="s">
        <v>71</v>
      </c>
      <c r="D21" t="s">
        <v>72</v>
      </c>
    </row>
    <row r="22" spans="1:6" x14ac:dyDescent="0.45">
      <c r="A22" t="s">
        <v>73</v>
      </c>
      <c r="B22" t="s">
        <v>74</v>
      </c>
      <c r="D22" t="s">
        <v>75</v>
      </c>
    </row>
    <row r="23" spans="1:6" x14ac:dyDescent="0.45">
      <c r="A23" t="s">
        <v>76</v>
      </c>
      <c r="B23" t="s">
        <v>77</v>
      </c>
      <c r="D23" t="s">
        <v>78</v>
      </c>
    </row>
    <row r="24" spans="1:6" x14ac:dyDescent="0.45">
      <c r="A24" t="s">
        <v>79</v>
      </c>
      <c r="B24" t="s">
        <v>80</v>
      </c>
      <c r="D24" t="s">
        <v>81</v>
      </c>
      <c r="E24" t="s">
        <v>15</v>
      </c>
    </row>
    <row r="25" spans="1:6" x14ac:dyDescent="0.45">
      <c r="A25" t="s">
        <v>82</v>
      </c>
      <c r="B25" t="s">
        <v>83</v>
      </c>
      <c r="D25" t="s">
        <v>84</v>
      </c>
      <c r="F25" t="s">
        <v>15</v>
      </c>
    </row>
    <row r="26" spans="1:6" x14ac:dyDescent="0.45">
      <c r="A26" t="s">
        <v>85</v>
      </c>
      <c r="B26" t="s">
        <v>86</v>
      </c>
      <c r="D26" t="s">
        <v>87</v>
      </c>
    </row>
    <row r="27" spans="1:6" x14ac:dyDescent="0.45">
      <c r="A27" t="s">
        <v>88</v>
      </c>
      <c r="B27" t="s">
        <v>89</v>
      </c>
    </row>
    <row r="28" spans="1:6" x14ac:dyDescent="0.45">
      <c r="A28" t="s">
        <v>90</v>
      </c>
      <c r="B28" t="s">
        <v>91</v>
      </c>
    </row>
    <row r="29" spans="1:6" x14ac:dyDescent="0.45">
      <c r="A29" t="s">
        <v>92</v>
      </c>
      <c r="B29" t="s">
        <v>93</v>
      </c>
    </row>
    <row r="30" spans="1:6" x14ac:dyDescent="0.45">
      <c r="A30" t="s">
        <v>94</v>
      </c>
      <c r="B30" t="s">
        <v>95</v>
      </c>
    </row>
    <row r="31" spans="1:6" x14ac:dyDescent="0.45">
      <c r="A31" t="s">
        <v>96</v>
      </c>
      <c r="B31" t="s">
        <v>97</v>
      </c>
    </row>
    <row r="32" spans="1:6" x14ac:dyDescent="0.45">
      <c r="A32" t="s">
        <v>98</v>
      </c>
      <c r="B32" t="s">
        <v>99</v>
      </c>
    </row>
    <row r="33" spans="1:2" x14ac:dyDescent="0.45">
      <c r="A33" t="s">
        <v>100</v>
      </c>
      <c r="B33" t="s">
        <v>101</v>
      </c>
    </row>
    <row r="34" spans="1:2" x14ac:dyDescent="0.45">
      <c r="A34" t="s">
        <v>102</v>
      </c>
      <c r="B34" t="s">
        <v>103</v>
      </c>
    </row>
    <row r="35" spans="1:2" x14ac:dyDescent="0.45">
      <c r="A35" t="s">
        <v>104</v>
      </c>
      <c r="B35" t="s">
        <v>105</v>
      </c>
    </row>
    <row r="36" spans="1:2" x14ac:dyDescent="0.45">
      <c r="A36" t="s">
        <v>106</v>
      </c>
      <c r="B36" t="s">
        <v>107</v>
      </c>
    </row>
    <row r="37" spans="1:2" x14ac:dyDescent="0.45">
      <c r="A37" t="s">
        <v>108</v>
      </c>
      <c r="B37" t="s">
        <v>109</v>
      </c>
    </row>
    <row r="38" spans="1:2" x14ac:dyDescent="0.45">
      <c r="A38" t="s">
        <v>110</v>
      </c>
      <c r="B38" t="s">
        <v>111</v>
      </c>
    </row>
    <row r="39" spans="1:2" x14ac:dyDescent="0.45">
      <c r="A39" t="s">
        <v>112</v>
      </c>
      <c r="B39" t="s">
        <v>113</v>
      </c>
    </row>
    <row r="40" spans="1:2" x14ac:dyDescent="0.45">
      <c r="A40" t="s">
        <v>114</v>
      </c>
      <c r="B40" t="s">
        <v>115</v>
      </c>
    </row>
    <row r="41" spans="1:2" x14ac:dyDescent="0.45">
      <c r="A41" t="s">
        <v>116</v>
      </c>
      <c r="B41" t="s">
        <v>117</v>
      </c>
    </row>
    <row r="42" spans="1:2" x14ac:dyDescent="0.45">
      <c r="A42" t="s">
        <v>118</v>
      </c>
      <c r="B42" t="s">
        <v>119</v>
      </c>
    </row>
    <row r="43" spans="1:2" x14ac:dyDescent="0.45">
      <c r="A43" t="s">
        <v>120</v>
      </c>
      <c r="B43" t="s">
        <v>121</v>
      </c>
    </row>
    <row r="44" spans="1:2" x14ac:dyDescent="0.45">
      <c r="A44" t="s">
        <v>122</v>
      </c>
      <c r="B44" t="s">
        <v>123</v>
      </c>
    </row>
    <row r="45" spans="1:2" x14ac:dyDescent="0.45">
      <c r="A45" t="s">
        <v>124</v>
      </c>
      <c r="B45" t="s">
        <v>125</v>
      </c>
    </row>
    <row r="46" spans="1:2" x14ac:dyDescent="0.45">
      <c r="A46" t="s">
        <v>126</v>
      </c>
      <c r="B46" t="s">
        <v>127</v>
      </c>
    </row>
    <row r="47" spans="1:2" x14ac:dyDescent="0.45">
      <c r="A47" t="s">
        <v>128</v>
      </c>
      <c r="B47" t="s">
        <v>129</v>
      </c>
    </row>
    <row r="48" spans="1:2" x14ac:dyDescent="0.45">
      <c r="A48" t="s">
        <v>130</v>
      </c>
      <c r="B48" t="s">
        <v>131</v>
      </c>
    </row>
    <row r="49" spans="1:2" x14ac:dyDescent="0.45">
      <c r="A49" t="s">
        <v>132</v>
      </c>
      <c r="B49" t="s">
        <v>133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2" t="s">
        <v>134</v>
      </c>
      <c r="B1" s="2" t="s">
        <v>135</v>
      </c>
      <c r="C1" s="2" t="s">
        <v>136</v>
      </c>
      <c r="D1" s="2" t="s">
        <v>137</v>
      </c>
      <c r="E1" s="2" t="s">
        <v>138</v>
      </c>
      <c r="F1" s="2" t="s">
        <v>139</v>
      </c>
      <c r="G1" s="2" t="s">
        <v>140</v>
      </c>
      <c r="H1" s="2" t="s">
        <v>141</v>
      </c>
      <c r="I1" s="2" t="s">
        <v>142</v>
      </c>
      <c r="J1" s="2" t="s">
        <v>143</v>
      </c>
      <c r="K1" s="2" t="s">
        <v>144</v>
      </c>
      <c r="L1" s="2" t="s">
        <v>145</v>
      </c>
      <c r="M1" s="2" t="s">
        <v>10</v>
      </c>
      <c r="N1" s="2" t="s">
        <v>146</v>
      </c>
      <c r="O1" s="2" t="s">
        <v>147</v>
      </c>
      <c r="P1" s="2" t="s">
        <v>148</v>
      </c>
      <c r="Q1" s="2" t="s">
        <v>149</v>
      </c>
      <c r="R1" s="2" t="s">
        <v>150</v>
      </c>
      <c r="S1" s="2" t="s">
        <v>151</v>
      </c>
      <c r="T1" s="2" t="s">
        <v>152</v>
      </c>
      <c r="U1" s="2" t="s">
        <v>153</v>
      </c>
      <c r="V1" s="2" t="s">
        <v>154</v>
      </c>
      <c r="W1" s="2" t="s">
        <v>155</v>
      </c>
      <c r="X1" s="2" t="s">
        <v>156</v>
      </c>
    </row>
    <row r="2" spans="1:24" x14ac:dyDescent="0.45">
      <c r="A2" t="s">
        <v>157</v>
      </c>
      <c r="B2" t="s">
        <v>23</v>
      </c>
      <c r="C2">
        <v>2025</v>
      </c>
      <c r="D2" t="s">
        <v>158</v>
      </c>
      <c r="E2" t="s">
        <v>159</v>
      </c>
      <c r="F2" t="s">
        <v>158</v>
      </c>
      <c r="H2" t="s">
        <v>15</v>
      </c>
      <c r="J2" t="s">
        <v>22</v>
      </c>
      <c r="K2" t="s">
        <v>160</v>
      </c>
      <c r="L2" t="s">
        <v>161</v>
      </c>
      <c r="M2" t="s">
        <v>162</v>
      </c>
      <c r="N2" t="s">
        <v>163</v>
      </c>
      <c r="O2" t="s">
        <v>164</v>
      </c>
      <c r="P2">
        <v>2025</v>
      </c>
      <c r="Q2" t="s">
        <v>165</v>
      </c>
      <c r="R2" t="s">
        <v>166</v>
      </c>
      <c r="S2" t="s">
        <v>167</v>
      </c>
      <c r="T2" t="s">
        <v>15</v>
      </c>
      <c r="U2" t="s">
        <v>15</v>
      </c>
      <c r="V2" t="s">
        <v>168</v>
      </c>
      <c r="W2" t="s">
        <v>15</v>
      </c>
      <c r="X2" t="s">
        <v>169</v>
      </c>
    </row>
    <row r="3" spans="1:24" x14ac:dyDescent="0.45">
      <c r="A3" t="s">
        <v>157</v>
      </c>
      <c r="B3" t="s">
        <v>26</v>
      </c>
      <c r="C3">
        <v>2023</v>
      </c>
      <c r="D3" t="s">
        <v>158</v>
      </c>
      <c r="E3" t="s">
        <v>170</v>
      </c>
      <c r="F3" t="s">
        <v>158</v>
      </c>
      <c r="H3" t="s">
        <v>15</v>
      </c>
      <c r="J3" t="s">
        <v>25</v>
      </c>
      <c r="K3" t="s">
        <v>160</v>
      </c>
      <c r="L3" t="s">
        <v>171</v>
      </c>
      <c r="M3" t="s">
        <v>162</v>
      </c>
      <c r="N3" t="s">
        <v>172</v>
      </c>
      <c r="O3" t="s">
        <v>173</v>
      </c>
      <c r="P3">
        <v>2023</v>
      </c>
      <c r="Q3" t="s">
        <v>165</v>
      </c>
      <c r="R3" t="s">
        <v>166</v>
      </c>
      <c r="S3" t="s">
        <v>167</v>
      </c>
      <c r="T3" t="s">
        <v>15</v>
      </c>
      <c r="U3" t="s">
        <v>15</v>
      </c>
      <c r="V3" t="s">
        <v>168</v>
      </c>
      <c r="W3" t="s">
        <v>15</v>
      </c>
      <c r="X3" t="s">
        <v>169</v>
      </c>
    </row>
    <row r="4" spans="1:24" x14ac:dyDescent="0.45">
      <c r="A4" t="s">
        <v>157</v>
      </c>
      <c r="B4" t="s">
        <v>29</v>
      </c>
      <c r="C4">
        <v>2005</v>
      </c>
      <c r="D4" t="s">
        <v>174</v>
      </c>
      <c r="E4" t="s">
        <v>175</v>
      </c>
      <c r="F4" t="s">
        <v>174</v>
      </c>
      <c r="G4" t="s">
        <v>15</v>
      </c>
      <c r="J4" t="s">
        <v>28</v>
      </c>
      <c r="K4" t="s">
        <v>160</v>
      </c>
      <c r="L4" t="s">
        <v>176</v>
      </c>
      <c r="M4" t="s">
        <v>162</v>
      </c>
      <c r="N4" t="s">
        <v>177</v>
      </c>
      <c r="O4" t="s">
        <v>178</v>
      </c>
      <c r="P4">
        <v>2022</v>
      </c>
      <c r="Q4" t="s">
        <v>165</v>
      </c>
      <c r="R4" t="s">
        <v>166</v>
      </c>
      <c r="S4" t="s">
        <v>167</v>
      </c>
      <c r="T4" t="s">
        <v>168</v>
      </c>
      <c r="U4" t="s">
        <v>15</v>
      </c>
      <c r="V4" t="s">
        <v>168</v>
      </c>
      <c r="W4" t="s">
        <v>15</v>
      </c>
      <c r="X4" t="s">
        <v>169</v>
      </c>
    </row>
    <row r="5" spans="1:24" x14ac:dyDescent="0.45">
      <c r="A5" t="s">
        <v>157</v>
      </c>
      <c r="B5" t="s">
        <v>32</v>
      </c>
      <c r="C5">
        <v>2005</v>
      </c>
      <c r="D5" t="s">
        <v>174</v>
      </c>
      <c r="E5" t="s">
        <v>175</v>
      </c>
      <c r="F5" t="s">
        <v>174</v>
      </c>
      <c r="G5" t="s">
        <v>15</v>
      </c>
      <c r="J5" t="s">
        <v>31</v>
      </c>
      <c r="K5" t="s">
        <v>160</v>
      </c>
      <c r="L5" t="s">
        <v>176</v>
      </c>
      <c r="M5" t="s">
        <v>162</v>
      </c>
      <c r="N5" t="s">
        <v>177</v>
      </c>
      <c r="O5" t="s">
        <v>178</v>
      </c>
      <c r="P5">
        <v>2018</v>
      </c>
      <c r="Q5" t="s">
        <v>165</v>
      </c>
      <c r="R5" t="s">
        <v>166</v>
      </c>
      <c r="S5" t="s">
        <v>167</v>
      </c>
      <c r="T5" t="s">
        <v>168</v>
      </c>
      <c r="U5" t="s">
        <v>15</v>
      </c>
      <c r="V5" t="s">
        <v>168</v>
      </c>
      <c r="W5" t="s">
        <v>15</v>
      </c>
      <c r="X5" t="s">
        <v>169</v>
      </c>
    </row>
    <row r="6" spans="1:24" x14ac:dyDescent="0.45">
      <c r="A6" t="s">
        <v>157</v>
      </c>
      <c r="B6" t="s">
        <v>68</v>
      </c>
      <c r="C6">
        <v>2005</v>
      </c>
      <c r="D6" t="s">
        <v>174</v>
      </c>
      <c r="E6" t="s">
        <v>175</v>
      </c>
      <c r="F6" t="s">
        <v>174</v>
      </c>
      <c r="G6" t="s">
        <v>15</v>
      </c>
      <c r="J6" t="s">
        <v>67</v>
      </c>
      <c r="K6" t="s">
        <v>160</v>
      </c>
      <c r="L6" t="s">
        <v>176</v>
      </c>
      <c r="M6" t="s">
        <v>162</v>
      </c>
      <c r="N6" t="s">
        <v>177</v>
      </c>
      <c r="O6" t="s">
        <v>178</v>
      </c>
      <c r="P6">
        <v>2020</v>
      </c>
      <c r="Q6" t="s">
        <v>165</v>
      </c>
      <c r="R6" t="s">
        <v>166</v>
      </c>
      <c r="S6" t="s">
        <v>167</v>
      </c>
      <c r="T6" t="s">
        <v>168</v>
      </c>
      <c r="U6" t="s">
        <v>15</v>
      </c>
      <c r="V6" t="s">
        <v>168</v>
      </c>
      <c r="W6" t="s">
        <v>15</v>
      </c>
      <c r="X6" t="s">
        <v>169</v>
      </c>
    </row>
    <row r="7" spans="1:24" x14ac:dyDescent="0.45">
      <c r="A7" t="s">
        <v>157</v>
      </c>
      <c r="B7" t="s">
        <v>65</v>
      </c>
      <c r="C7">
        <v>2007</v>
      </c>
      <c r="D7" t="s">
        <v>174</v>
      </c>
      <c r="E7" t="s">
        <v>175</v>
      </c>
      <c r="F7" t="s">
        <v>174</v>
      </c>
      <c r="G7" t="s">
        <v>15</v>
      </c>
      <c r="J7" t="s">
        <v>64</v>
      </c>
      <c r="K7" t="s">
        <v>160</v>
      </c>
      <c r="L7" t="s">
        <v>176</v>
      </c>
      <c r="M7" t="s">
        <v>162</v>
      </c>
      <c r="N7" t="s">
        <v>177</v>
      </c>
      <c r="O7" t="s">
        <v>178</v>
      </c>
      <c r="P7">
        <v>2007</v>
      </c>
      <c r="Q7" t="s">
        <v>165</v>
      </c>
      <c r="R7" t="s">
        <v>166</v>
      </c>
      <c r="S7" t="s">
        <v>167</v>
      </c>
      <c r="T7" t="s">
        <v>168</v>
      </c>
      <c r="U7" t="s">
        <v>15</v>
      </c>
      <c r="V7" t="s">
        <v>168</v>
      </c>
      <c r="W7" t="s">
        <v>15</v>
      </c>
      <c r="X7" t="s">
        <v>169</v>
      </c>
    </row>
    <row r="8" spans="1:24" x14ac:dyDescent="0.45">
      <c r="A8" t="s">
        <v>157</v>
      </c>
      <c r="B8" t="s">
        <v>62</v>
      </c>
      <c r="C8">
        <v>2007</v>
      </c>
      <c r="D8" t="s">
        <v>174</v>
      </c>
      <c r="E8" t="s">
        <v>175</v>
      </c>
      <c r="F8" t="s">
        <v>174</v>
      </c>
      <c r="G8" t="s">
        <v>15</v>
      </c>
      <c r="J8" t="s">
        <v>61</v>
      </c>
      <c r="K8" t="s">
        <v>160</v>
      </c>
      <c r="L8" t="s">
        <v>176</v>
      </c>
      <c r="M8" t="s">
        <v>162</v>
      </c>
      <c r="N8" t="s">
        <v>177</v>
      </c>
      <c r="O8" t="s">
        <v>178</v>
      </c>
      <c r="P8">
        <v>2024</v>
      </c>
      <c r="Q8" t="s">
        <v>165</v>
      </c>
      <c r="R8" t="s">
        <v>166</v>
      </c>
      <c r="S8" t="s">
        <v>167</v>
      </c>
      <c r="T8" t="s">
        <v>168</v>
      </c>
      <c r="U8" t="s">
        <v>15</v>
      </c>
      <c r="V8" t="s">
        <v>168</v>
      </c>
      <c r="W8" t="s">
        <v>15</v>
      </c>
      <c r="X8" t="s">
        <v>169</v>
      </c>
    </row>
    <row r="9" spans="1:24" x14ac:dyDescent="0.45">
      <c r="A9" t="s">
        <v>157</v>
      </c>
      <c r="B9" t="s">
        <v>93</v>
      </c>
      <c r="C9">
        <v>2005</v>
      </c>
      <c r="D9" t="s">
        <v>174</v>
      </c>
      <c r="E9" t="s">
        <v>175</v>
      </c>
      <c r="F9" t="s">
        <v>174</v>
      </c>
      <c r="G9" t="s">
        <v>15</v>
      </c>
      <c r="J9" t="s">
        <v>92</v>
      </c>
      <c r="K9" t="s">
        <v>160</v>
      </c>
      <c r="L9" t="s">
        <v>176</v>
      </c>
      <c r="M9" t="s">
        <v>162</v>
      </c>
      <c r="N9" t="s">
        <v>177</v>
      </c>
      <c r="O9" t="s">
        <v>178</v>
      </c>
      <c r="P9">
        <v>2022</v>
      </c>
      <c r="Q9" t="s">
        <v>165</v>
      </c>
      <c r="R9" t="s">
        <v>166</v>
      </c>
      <c r="S9" t="s">
        <v>167</v>
      </c>
      <c r="T9" t="s">
        <v>168</v>
      </c>
      <c r="U9" t="s">
        <v>15</v>
      </c>
      <c r="V9" t="s">
        <v>168</v>
      </c>
      <c r="W9" t="s">
        <v>15</v>
      </c>
      <c r="X9" t="s">
        <v>169</v>
      </c>
    </row>
    <row r="10" spans="1:24" x14ac:dyDescent="0.45">
      <c r="A10" t="s">
        <v>157</v>
      </c>
      <c r="B10" t="s">
        <v>95</v>
      </c>
      <c r="C10">
        <v>2020</v>
      </c>
      <c r="D10" t="s">
        <v>174</v>
      </c>
      <c r="E10" t="s">
        <v>175</v>
      </c>
      <c r="F10" t="s">
        <v>174</v>
      </c>
      <c r="G10" t="s">
        <v>15</v>
      </c>
      <c r="J10" t="s">
        <v>94</v>
      </c>
      <c r="K10" t="s">
        <v>160</v>
      </c>
      <c r="L10" t="s">
        <v>176</v>
      </c>
      <c r="M10" t="s">
        <v>162</v>
      </c>
      <c r="N10" t="s">
        <v>177</v>
      </c>
      <c r="O10" t="s">
        <v>178</v>
      </c>
      <c r="P10">
        <v>2019</v>
      </c>
      <c r="Q10" t="s">
        <v>165</v>
      </c>
      <c r="R10" t="s">
        <v>166</v>
      </c>
      <c r="S10" t="s">
        <v>167</v>
      </c>
      <c r="T10" t="s">
        <v>168</v>
      </c>
      <c r="U10" t="s">
        <v>15</v>
      </c>
      <c r="V10" t="s">
        <v>168</v>
      </c>
      <c r="W10" t="s">
        <v>15</v>
      </c>
      <c r="X10" t="s">
        <v>169</v>
      </c>
    </row>
    <row r="11" spans="1:24" x14ac:dyDescent="0.45">
      <c r="A11" t="s">
        <v>157</v>
      </c>
      <c r="B11" t="s">
        <v>101</v>
      </c>
      <c r="C11">
        <v>2005</v>
      </c>
      <c r="D11" t="s">
        <v>174</v>
      </c>
      <c r="E11" t="s">
        <v>175</v>
      </c>
      <c r="F11" t="s">
        <v>174</v>
      </c>
      <c r="G11" t="s">
        <v>15</v>
      </c>
      <c r="J11" t="s">
        <v>100</v>
      </c>
      <c r="K11" t="s">
        <v>160</v>
      </c>
      <c r="L11" t="s">
        <v>179</v>
      </c>
      <c r="M11" t="s">
        <v>162</v>
      </c>
      <c r="N11" t="s">
        <v>180</v>
      </c>
      <c r="O11" t="s">
        <v>181</v>
      </c>
      <c r="P11">
        <v>2025</v>
      </c>
      <c r="Q11" t="s">
        <v>165</v>
      </c>
      <c r="R11" t="s">
        <v>166</v>
      </c>
      <c r="S11" t="s">
        <v>167</v>
      </c>
      <c r="T11" t="s">
        <v>15</v>
      </c>
      <c r="U11" t="s">
        <v>15</v>
      </c>
      <c r="V11" t="s">
        <v>168</v>
      </c>
      <c r="W11" t="s">
        <v>15</v>
      </c>
      <c r="X11" t="s">
        <v>169</v>
      </c>
    </row>
    <row r="12" spans="1:24" x14ac:dyDescent="0.45">
      <c r="A12" t="s">
        <v>157</v>
      </c>
      <c r="B12" t="s">
        <v>107</v>
      </c>
      <c r="C12">
        <v>2024</v>
      </c>
      <c r="D12" t="s">
        <v>182</v>
      </c>
      <c r="F12" t="s">
        <v>183</v>
      </c>
      <c r="H12" t="s">
        <v>15</v>
      </c>
      <c r="I12" t="s">
        <v>15</v>
      </c>
      <c r="J12" t="s">
        <v>106</v>
      </c>
      <c r="K12" t="s">
        <v>160</v>
      </c>
      <c r="L12" t="s">
        <v>184</v>
      </c>
      <c r="M12" t="s">
        <v>162</v>
      </c>
      <c r="N12" t="s">
        <v>185</v>
      </c>
      <c r="O12" t="s">
        <v>186</v>
      </c>
      <c r="P12">
        <v>2024</v>
      </c>
      <c r="Q12" t="s">
        <v>165</v>
      </c>
      <c r="R12" t="s">
        <v>166</v>
      </c>
      <c r="S12" t="s">
        <v>167</v>
      </c>
      <c r="T12" t="s">
        <v>15</v>
      </c>
      <c r="U12" t="s">
        <v>15</v>
      </c>
      <c r="V12" t="s">
        <v>168</v>
      </c>
      <c r="W12" t="s">
        <v>15</v>
      </c>
      <c r="X12" t="s">
        <v>169</v>
      </c>
    </row>
    <row r="13" spans="1:24" x14ac:dyDescent="0.45">
      <c r="A13" t="s">
        <v>157</v>
      </c>
      <c r="B13" t="s">
        <v>111</v>
      </c>
      <c r="C13">
        <v>2007</v>
      </c>
      <c r="D13" t="s">
        <v>174</v>
      </c>
      <c r="E13" t="s">
        <v>175</v>
      </c>
      <c r="F13" t="s">
        <v>174</v>
      </c>
      <c r="G13" t="s">
        <v>15</v>
      </c>
      <c r="J13" t="s">
        <v>110</v>
      </c>
      <c r="K13" t="s">
        <v>160</v>
      </c>
      <c r="L13" t="s">
        <v>176</v>
      </c>
      <c r="M13" t="s">
        <v>162</v>
      </c>
      <c r="N13" t="s">
        <v>177</v>
      </c>
      <c r="O13" t="s">
        <v>178</v>
      </c>
      <c r="P13">
        <v>2023</v>
      </c>
      <c r="Q13" t="s">
        <v>165</v>
      </c>
      <c r="R13" t="s">
        <v>166</v>
      </c>
      <c r="S13" t="s">
        <v>167</v>
      </c>
      <c r="T13" t="s">
        <v>168</v>
      </c>
      <c r="U13" t="s">
        <v>15</v>
      </c>
      <c r="V13" t="s">
        <v>168</v>
      </c>
      <c r="W13" t="s">
        <v>15</v>
      </c>
      <c r="X13" t="s">
        <v>169</v>
      </c>
    </row>
    <row r="14" spans="1:24" x14ac:dyDescent="0.45">
      <c r="A14" t="s">
        <v>157</v>
      </c>
      <c r="B14" t="s">
        <v>125</v>
      </c>
      <c r="C14">
        <v>2005</v>
      </c>
      <c r="D14" t="s">
        <v>174</v>
      </c>
      <c r="E14" t="s">
        <v>175</v>
      </c>
      <c r="F14" t="s">
        <v>174</v>
      </c>
      <c r="G14" t="s">
        <v>15</v>
      </c>
      <c r="J14" t="s">
        <v>124</v>
      </c>
      <c r="K14" t="s">
        <v>160</v>
      </c>
      <c r="L14" t="s">
        <v>187</v>
      </c>
      <c r="M14" t="s">
        <v>162</v>
      </c>
      <c r="N14" t="s">
        <v>188</v>
      </c>
      <c r="O14" t="s">
        <v>189</v>
      </c>
      <c r="P14">
        <v>2025</v>
      </c>
      <c r="Q14" t="s">
        <v>165</v>
      </c>
      <c r="R14" t="s">
        <v>166</v>
      </c>
      <c r="S14" t="s">
        <v>167</v>
      </c>
      <c r="T14" t="s">
        <v>15</v>
      </c>
      <c r="U14" t="s">
        <v>15</v>
      </c>
      <c r="V14" t="s">
        <v>168</v>
      </c>
      <c r="W14" t="s">
        <v>15</v>
      </c>
      <c r="X14" t="s">
        <v>169</v>
      </c>
    </row>
    <row r="15" spans="1:24" x14ac:dyDescent="0.45">
      <c r="A15" t="s">
        <v>157</v>
      </c>
      <c r="B15" t="s">
        <v>127</v>
      </c>
      <c r="C15">
        <v>2023</v>
      </c>
      <c r="D15" t="s">
        <v>158</v>
      </c>
      <c r="E15" t="s">
        <v>190</v>
      </c>
      <c r="F15" t="s">
        <v>158</v>
      </c>
      <c r="H15" t="s">
        <v>15</v>
      </c>
      <c r="J15" t="s">
        <v>126</v>
      </c>
      <c r="K15" t="s">
        <v>160</v>
      </c>
      <c r="L15" t="s">
        <v>191</v>
      </c>
      <c r="M15" t="s">
        <v>162</v>
      </c>
      <c r="N15" t="s">
        <v>192</v>
      </c>
      <c r="O15" t="s">
        <v>193</v>
      </c>
      <c r="P15">
        <v>2025</v>
      </c>
      <c r="Q15" t="s">
        <v>165</v>
      </c>
      <c r="R15" t="s">
        <v>166</v>
      </c>
      <c r="S15" t="s">
        <v>167</v>
      </c>
      <c r="T15" t="s">
        <v>15</v>
      </c>
      <c r="U15" t="s">
        <v>15</v>
      </c>
      <c r="V15" t="s">
        <v>168</v>
      </c>
      <c r="W15" t="s">
        <v>15</v>
      </c>
      <c r="X15" t="s">
        <v>169</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28"/>
  <sheetViews>
    <sheetView workbookViewId="0"/>
  </sheetViews>
  <sheetFormatPr defaultRowHeight="14.25" x14ac:dyDescent="0.45"/>
  <sheetData>
    <row r="1" spans="1:31" x14ac:dyDescent="0.45">
      <c r="A1" t="s">
        <v>194</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tr">
        <f>Keys!$D2</f>
        <v>agriculture and forestry 01T03</v>
      </c>
      <c r="B2">
        <f>IF(INDEX(Keys!$F:$F,MATCH($A2,Keys!$D:$D,0))="Y",0,IF($B28=1,IF(INDEX(Keys!$E:$E,MATCH($A2,Keys!$D:$D,0))="Y",1,0),1))</f>
        <v>0</v>
      </c>
      <c r="C2">
        <f>IF(INDEX(Keys!$F:$F,MATCH($A2,Keys!$D:$D,0))="Y",0,IF($B28=1,IF(INDEX(Keys!$E:$E,MATCH($A2,Keys!$D:$D,0))="Y",1,0),1))</f>
        <v>0</v>
      </c>
      <c r="D2">
        <f>IF(INDEX(Keys!$F:$F,MATCH($A2,Keys!$D:$D,0))="Y",0,IF($B28=1,IF(INDEX(Keys!$E:$E,MATCH($A2,Keys!$D:$D,0))="Y",1,0),1))</f>
        <v>0</v>
      </c>
      <c r="E2">
        <f>IF(INDEX(Keys!$F:$F,MATCH($A2,Keys!$D:$D,0))="Y",0,IF($B28=1,IF(INDEX(Keys!$E:$E,MATCH($A2,Keys!$D:$D,0))="Y",1,0),1))</f>
        <v>0</v>
      </c>
      <c r="F2">
        <f>IF(INDEX(Keys!$F:$F,MATCH($A2,Keys!$D:$D,0))="Y",0,IF($B28=1,IF(INDEX(Keys!$E:$E,MATCH($A2,Keys!$D:$D,0))="Y",1,0),1))</f>
        <v>0</v>
      </c>
      <c r="G2">
        <f>IF(INDEX(Keys!$F:$F,MATCH($A2,Keys!$D:$D,0))="Y",0,IF($B28=1,IF(INDEX(Keys!$E:$E,MATCH($A2,Keys!$D:$D,0))="Y",1,0),1))</f>
        <v>0</v>
      </c>
      <c r="H2">
        <f>IF(INDEX(Keys!$F:$F,MATCH($A2,Keys!$D:$D,0))="Y",0,IF($B28=1,IF(INDEX(Keys!$E:$E,MATCH($A2,Keys!$D:$D,0))="Y",1,0),1))</f>
        <v>0</v>
      </c>
      <c r="I2">
        <f>IF(INDEX(Keys!$F:$F,MATCH($A2,Keys!$D:$D,0))="Y",0,IF($B28=1,IF(INDEX(Keys!$E:$E,MATCH($A2,Keys!$D:$D,0))="Y",1,0),1))</f>
        <v>0</v>
      </c>
      <c r="J2">
        <f>IF(INDEX(Keys!$F:$F,MATCH($A2,Keys!$D:$D,0))="Y",0,IF($B28=1,IF(INDEX(Keys!$E:$E,MATCH($A2,Keys!$D:$D,0))="Y",1,0),1))</f>
        <v>0</v>
      </c>
      <c r="K2">
        <f>IF(INDEX(Keys!$F:$F,MATCH($A2,Keys!$D:$D,0))="Y",0,IF($B28=1,IF(INDEX(Keys!$E:$E,MATCH($A2,Keys!$D:$D,0))="Y",1,0),1))</f>
        <v>0</v>
      </c>
      <c r="L2">
        <f>IF(INDEX(Keys!$F:$F,MATCH($A2,Keys!$D:$D,0))="Y",0,IF($B28=1,IF(INDEX(Keys!$E:$E,MATCH($A2,Keys!$D:$D,0))="Y",1,0),1))</f>
        <v>0</v>
      </c>
      <c r="M2">
        <f>IF(INDEX(Keys!$F:$F,MATCH($A2,Keys!$D:$D,0))="Y",0,IF($B28=1,IF(INDEX(Keys!$E:$E,MATCH($A2,Keys!$D:$D,0))="Y",1,0),1))</f>
        <v>0</v>
      </c>
      <c r="N2">
        <f>IF(INDEX(Keys!$F:$F,MATCH($A2,Keys!$D:$D,0))="Y",0,IF($B28=1,IF(INDEX(Keys!$E:$E,MATCH($A2,Keys!$D:$D,0))="Y",1,0),1))</f>
        <v>0</v>
      </c>
      <c r="O2">
        <f>IF(INDEX(Keys!$F:$F,MATCH($A2,Keys!$D:$D,0))="Y",0,IF($B28=1,IF(INDEX(Keys!$E:$E,MATCH($A2,Keys!$D:$D,0))="Y",1,0),1))</f>
        <v>0</v>
      </c>
      <c r="P2">
        <f>IF(INDEX(Keys!$F:$F,MATCH($A2,Keys!$D:$D,0))="Y",0,IF($B28=1,IF(INDEX(Keys!$E:$E,MATCH($A2,Keys!$D:$D,0))="Y",1,0),1))</f>
        <v>0</v>
      </c>
      <c r="Q2">
        <f>IF(INDEX(Keys!$F:$F,MATCH($A2,Keys!$D:$D,0))="Y",0,IF($B28=1,IF(INDEX(Keys!$E:$E,MATCH($A2,Keys!$D:$D,0))="Y",1,0),1))</f>
        <v>0</v>
      </c>
      <c r="R2">
        <f>IF(INDEX(Keys!$F:$F,MATCH($A2,Keys!$D:$D,0))="Y",0,IF($B28=1,IF(INDEX(Keys!$E:$E,MATCH($A2,Keys!$D:$D,0))="Y",1,0),1))</f>
        <v>0</v>
      </c>
      <c r="S2">
        <f>IF(INDEX(Keys!$F:$F,MATCH($A2,Keys!$D:$D,0))="Y",0,IF($B28=1,IF(INDEX(Keys!$E:$E,MATCH($A2,Keys!$D:$D,0))="Y",1,0),1))</f>
        <v>0</v>
      </c>
      <c r="T2">
        <f>IF(INDEX(Keys!$F:$F,MATCH($A2,Keys!$D:$D,0))="Y",0,IF($B28=1,IF(INDEX(Keys!$E:$E,MATCH($A2,Keys!$D:$D,0))="Y",1,0),1))</f>
        <v>0</v>
      </c>
      <c r="U2">
        <f>IF(INDEX(Keys!$F:$F,MATCH($A2,Keys!$D:$D,0))="Y",0,IF($B28=1,IF(INDEX(Keys!$E:$E,MATCH($A2,Keys!$D:$D,0))="Y",1,0),1))</f>
        <v>0</v>
      </c>
      <c r="V2">
        <f>IF(INDEX(Keys!$F:$F,MATCH($A2,Keys!$D:$D,0))="Y",0,IF($B28=1,IF(INDEX(Keys!$E:$E,MATCH($A2,Keys!$D:$D,0))="Y",1,0),1))</f>
        <v>0</v>
      </c>
      <c r="W2">
        <f>IF(INDEX(Keys!$F:$F,MATCH($A2,Keys!$D:$D,0))="Y",0,IF($B28=1,IF(INDEX(Keys!$E:$E,MATCH($A2,Keys!$D:$D,0))="Y",1,0),1))</f>
        <v>0</v>
      </c>
      <c r="X2">
        <f>IF(INDEX(Keys!$F:$F,MATCH($A2,Keys!$D:$D,0))="Y",0,IF($B28=1,IF(INDEX(Keys!$E:$E,MATCH($A2,Keys!$D:$D,0))="Y",1,0),1))</f>
        <v>0</v>
      </c>
      <c r="Y2">
        <f>IF(INDEX(Keys!$F:$F,MATCH($A2,Keys!$D:$D,0))="Y",0,IF($B28=1,IF(INDEX(Keys!$E:$E,MATCH($A2,Keys!$D:$D,0))="Y",1,0),1))</f>
        <v>0</v>
      </c>
      <c r="Z2">
        <f>IF(INDEX(Keys!$F:$F,MATCH($A2,Keys!$D:$D,0))="Y",0,IF($B28=1,IF(INDEX(Keys!$E:$E,MATCH($A2,Keys!$D:$D,0))="Y",1,0),1))</f>
        <v>0</v>
      </c>
      <c r="AA2">
        <f>IF(INDEX(Keys!$F:$F,MATCH($A2,Keys!$D:$D,0))="Y",0,IF($B28=1,IF(INDEX(Keys!$E:$E,MATCH($A2,Keys!$D:$D,0))="Y",1,0),1))</f>
        <v>0</v>
      </c>
      <c r="AB2">
        <f>IF(INDEX(Keys!$F:$F,MATCH($A2,Keys!$D:$D,0))="Y",0,IF($B28=1,IF(INDEX(Keys!$E:$E,MATCH($A2,Keys!$D:$D,0))="Y",1,0),1))</f>
        <v>0</v>
      </c>
      <c r="AC2">
        <f>IF(INDEX(Keys!$F:$F,MATCH($A2,Keys!$D:$D,0))="Y",0,IF($B28=1,IF(INDEX(Keys!$E:$E,MATCH($A2,Keys!$D:$D,0))="Y",1,0),1))</f>
        <v>0</v>
      </c>
      <c r="AD2">
        <f>IF(INDEX(Keys!$F:$F,MATCH($A2,Keys!$D:$D,0))="Y",0,IF($B28=1,IF(INDEX(Keys!$E:$E,MATCH($A2,Keys!$D:$D,0))="Y",1,0),1))</f>
        <v>0</v>
      </c>
      <c r="AE2">
        <f>IF(INDEX(Keys!$F:$F,MATCH($A2,Keys!$D:$D,0))="Y",0,IF($B28=1,IF(INDEX(Keys!$E:$E,MATCH($A2,Keys!$D:$D,0))="Y",1,0),1))</f>
        <v>0</v>
      </c>
    </row>
    <row r="3" spans="1:31" x14ac:dyDescent="0.45">
      <c r="A3" t="str">
        <f>Keys!$D3</f>
        <v>coal mining 05</v>
      </c>
      <c r="B3">
        <f>IF(INDEX(Keys!$F:$F,MATCH($A3,Keys!$D:$D,0))="Y",0,IF($B28=1,IF(INDEX(Keys!$E:$E,MATCH($A3,Keys!$D:$D,0))="Y",1,0),1))</f>
        <v>1</v>
      </c>
      <c r="C3">
        <f>IF(INDEX(Keys!$F:$F,MATCH($A3,Keys!$D:$D,0))="Y",0,IF($B28=1,IF(INDEX(Keys!$E:$E,MATCH($A3,Keys!$D:$D,0))="Y",1,0),1))</f>
        <v>1</v>
      </c>
      <c r="D3">
        <f>IF(INDEX(Keys!$F:$F,MATCH($A3,Keys!$D:$D,0))="Y",0,IF($B28=1,IF(INDEX(Keys!$E:$E,MATCH($A3,Keys!$D:$D,0))="Y",1,0),1))</f>
        <v>1</v>
      </c>
      <c r="E3">
        <f>IF(INDEX(Keys!$F:$F,MATCH($A3,Keys!$D:$D,0))="Y",0,IF($B28=1,IF(INDEX(Keys!$E:$E,MATCH($A3,Keys!$D:$D,0))="Y",1,0),1))</f>
        <v>1</v>
      </c>
      <c r="F3">
        <f>IF(INDEX(Keys!$F:$F,MATCH($A3,Keys!$D:$D,0))="Y",0,IF($B28=1,IF(INDEX(Keys!$E:$E,MATCH($A3,Keys!$D:$D,0))="Y",1,0),1))</f>
        <v>1</v>
      </c>
      <c r="G3">
        <f>IF(INDEX(Keys!$F:$F,MATCH($A3,Keys!$D:$D,0))="Y",0,IF($B28=1,IF(INDEX(Keys!$E:$E,MATCH($A3,Keys!$D:$D,0))="Y",1,0),1))</f>
        <v>1</v>
      </c>
      <c r="H3">
        <f>IF(INDEX(Keys!$F:$F,MATCH($A3,Keys!$D:$D,0))="Y",0,IF($B28=1,IF(INDEX(Keys!$E:$E,MATCH($A3,Keys!$D:$D,0))="Y",1,0),1))</f>
        <v>1</v>
      </c>
      <c r="I3">
        <f>IF(INDEX(Keys!$F:$F,MATCH($A3,Keys!$D:$D,0))="Y",0,IF($B28=1,IF(INDEX(Keys!$E:$E,MATCH($A3,Keys!$D:$D,0))="Y",1,0),1))</f>
        <v>1</v>
      </c>
      <c r="J3">
        <f>IF(INDEX(Keys!$F:$F,MATCH($A3,Keys!$D:$D,0))="Y",0,IF($B28=1,IF(INDEX(Keys!$E:$E,MATCH($A3,Keys!$D:$D,0))="Y",1,0),1))</f>
        <v>1</v>
      </c>
      <c r="K3">
        <f>IF(INDEX(Keys!$F:$F,MATCH($A3,Keys!$D:$D,0))="Y",0,IF($B28=1,IF(INDEX(Keys!$E:$E,MATCH($A3,Keys!$D:$D,0))="Y",1,0),1))</f>
        <v>1</v>
      </c>
      <c r="L3">
        <f>IF(INDEX(Keys!$F:$F,MATCH($A3,Keys!$D:$D,0))="Y",0,IF($B28=1,IF(INDEX(Keys!$E:$E,MATCH($A3,Keys!$D:$D,0))="Y",1,0),1))</f>
        <v>1</v>
      </c>
      <c r="M3">
        <f>IF(INDEX(Keys!$F:$F,MATCH($A3,Keys!$D:$D,0))="Y",0,IF($B28=1,IF(INDEX(Keys!$E:$E,MATCH($A3,Keys!$D:$D,0))="Y",1,0),1))</f>
        <v>1</v>
      </c>
      <c r="N3">
        <f>IF(INDEX(Keys!$F:$F,MATCH($A3,Keys!$D:$D,0))="Y",0,IF($B28=1,IF(INDEX(Keys!$E:$E,MATCH($A3,Keys!$D:$D,0))="Y",1,0),1))</f>
        <v>1</v>
      </c>
      <c r="O3">
        <f>IF(INDEX(Keys!$F:$F,MATCH($A3,Keys!$D:$D,0))="Y",0,IF($B28=1,IF(INDEX(Keys!$E:$E,MATCH($A3,Keys!$D:$D,0))="Y",1,0),1))</f>
        <v>1</v>
      </c>
      <c r="P3">
        <f>IF(INDEX(Keys!$F:$F,MATCH($A3,Keys!$D:$D,0))="Y",0,IF($B28=1,IF(INDEX(Keys!$E:$E,MATCH($A3,Keys!$D:$D,0))="Y",1,0),1))</f>
        <v>1</v>
      </c>
      <c r="Q3">
        <f>IF(INDEX(Keys!$F:$F,MATCH($A3,Keys!$D:$D,0))="Y",0,IF($B28=1,IF(INDEX(Keys!$E:$E,MATCH($A3,Keys!$D:$D,0))="Y",1,0),1))</f>
        <v>1</v>
      </c>
      <c r="R3">
        <f>IF(INDEX(Keys!$F:$F,MATCH($A3,Keys!$D:$D,0))="Y",0,IF($B28=1,IF(INDEX(Keys!$E:$E,MATCH($A3,Keys!$D:$D,0))="Y",1,0),1))</f>
        <v>1</v>
      </c>
      <c r="S3">
        <f>IF(INDEX(Keys!$F:$F,MATCH($A3,Keys!$D:$D,0))="Y",0,IF($B28=1,IF(INDEX(Keys!$E:$E,MATCH($A3,Keys!$D:$D,0))="Y",1,0),1))</f>
        <v>1</v>
      </c>
      <c r="T3">
        <f>IF(INDEX(Keys!$F:$F,MATCH($A3,Keys!$D:$D,0))="Y",0,IF($B28=1,IF(INDEX(Keys!$E:$E,MATCH($A3,Keys!$D:$D,0))="Y",1,0),1))</f>
        <v>1</v>
      </c>
      <c r="U3">
        <f>IF(INDEX(Keys!$F:$F,MATCH($A3,Keys!$D:$D,0))="Y",0,IF($B28=1,IF(INDEX(Keys!$E:$E,MATCH($A3,Keys!$D:$D,0))="Y",1,0),1))</f>
        <v>1</v>
      </c>
      <c r="V3">
        <f>IF(INDEX(Keys!$F:$F,MATCH($A3,Keys!$D:$D,0))="Y",0,IF($B28=1,IF(INDEX(Keys!$E:$E,MATCH($A3,Keys!$D:$D,0))="Y",1,0),1))</f>
        <v>1</v>
      </c>
      <c r="W3">
        <f>IF(INDEX(Keys!$F:$F,MATCH($A3,Keys!$D:$D,0))="Y",0,IF($B28=1,IF(INDEX(Keys!$E:$E,MATCH($A3,Keys!$D:$D,0))="Y",1,0),1))</f>
        <v>1</v>
      </c>
      <c r="X3">
        <f>IF(INDEX(Keys!$F:$F,MATCH($A3,Keys!$D:$D,0))="Y",0,IF($B28=1,IF(INDEX(Keys!$E:$E,MATCH($A3,Keys!$D:$D,0))="Y",1,0),1))</f>
        <v>1</v>
      </c>
      <c r="Y3">
        <f>IF(INDEX(Keys!$F:$F,MATCH($A3,Keys!$D:$D,0))="Y",0,IF($B28=1,IF(INDEX(Keys!$E:$E,MATCH($A3,Keys!$D:$D,0))="Y",1,0),1))</f>
        <v>1</v>
      </c>
      <c r="Z3">
        <f>IF(INDEX(Keys!$F:$F,MATCH($A3,Keys!$D:$D,0))="Y",0,IF($B28=1,IF(INDEX(Keys!$E:$E,MATCH($A3,Keys!$D:$D,0))="Y",1,0),1))</f>
        <v>1</v>
      </c>
      <c r="AA3">
        <f>IF(INDEX(Keys!$F:$F,MATCH($A3,Keys!$D:$D,0))="Y",0,IF($B28=1,IF(INDEX(Keys!$E:$E,MATCH($A3,Keys!$D:$D,0))="Y",1,0),1))</f>
        <v>1</v>
      </c>
      <c r="AB3">
        <f>IF(INDEX(Keys!$F:$F,MATCH($A3,Keys!$D:$D,0))="Y",0,IF($B28=1,IF(INDEX(Keys!$E:$E,MATCH($A3,Keys!$D:$D,0))="Y",1,0),1))</f>
        <v>1</v>
      </c>
      <c r="AC3">
        <f>IF(INDEX(Keys!$F:$F,MATCH($A3,Keys!$D:$D,0))="Y",0,IF($B28=1,IF(INDEX(Keys!$E:$E,MATCH($A3,Keys!$D:$D,0))="Y",1,0),1))</f>
        <v>1</v>
      </c>
      <c r="AD3">
        <f>IF(INDEX(Keys!$F:$F,MATCH($A3,Keys!$D:$D,0))="Y",0,IF($B28=1,IF(INDEX(Keys!$E:$E,MATCH($A3,Keys!$D:$D,0))="Y",1,0),1))</f>
        <v>1</v>
      </c>
      <c r="AE3">
        <f>IF(INDEX(Keys!$F:$F,MATCH($A3,Keys!$D:$D,0))="Y",0,IF($B28=1,IF(INDEX(Keys!$E:$E,MATCH($A3,Keys!$D:$D,0))="Y",1,0),1))</f>
        <v>1</v>
      </c>
    </row>
    <row r="4" spans="1:31" x14ac:dyDescent="0.45">
      <c r="A4" t="str">
        <f>Keys!$D4</f>
        <v>oil and gas extraction 06</v>
      </c>
      <c r="B4">
        <f>IF(INDEX(Keys!$F:$F,MATCH($A4,Keys!$D:$D,0))="Y",0,IF($B28=1,IF(INDEX(Keys!$E:$E,MATCH($A4,Keys!$D:$D,0))="Y",1,0),1))</f>
        <v>1</v>
      </c>
      <c r="C4">
        <f>IF(INDEX(Keys!$F:$F,MATCH($A4,Keys!$D:$D,0))="Y",0,IF($B28=1,IF(INDEX(Keys!$E:$E,MATCH($A4,Keys!$D:$D,0))="Y",1,0),1))</f>
        <v>1</v>
      </c>
      <c r="D4">
        <f>IF(INDEX(Keys!$F:$F,MATCH($A4,Keys!$D:$D,0))="Y",0,IF($B28=1,IF(INDEX(Keys!$E:$E,MATCH($A4,Keys!$D:$D,0))="Y",1,0),1))</f>
        <v>1</v>
      </c>
      <c r="E4">
        <f>IF(INDEX(Keys!$F:$F,MATCH($A4,Keys!$D:$D,0))="Y",0,IF($B28=1,IF(INDEX(Keys!$E:$E,MATCH($A4,Keys!$D:$D,0))="Y",1,0),1))</f>
        <v>1</v>
      </c>
      <c r="F4">
        <f>IF(INDEX(Keys!$F:$F,MATCH($A4,Keys!$D:$D,0))="Y",0,IF($B28=1,IF(INDEX(Keys!$E:$E,MATCH($A4,Keys!$D:$D,0))="Y",1,0),1))</f>
        <v>1</v>
      </c>
      <c r="G4">
        <f>IF(INDEX(Keys!$F:$F,MATCH($A4,Keys!$D:$D,0))="Y",0,IF($B28=1,IF(INDEX(Keys!$E:$E,MATCH($A4,Keys!$D:$D,0))="Y",1,0),1))</f>
        <v>1</v>
      </c>
      <c r="H4">
        <f>IF(INDEX(Keys!$F:$F,MATCH($A4,Keys!$D:$D,0))="Y",0,IF($B28=1,IF(INDEX(Keys!$E:$E,MATCH($A4,Keys!$D:$D,0))="Y",1,0),1))</f>
        <v>1</v>
      </c>
      <c r="I4">
        <f>IF(INDEX(Keys!$F:$F,MATCH($A4,Keys!$D:$D,0))="Y",0,IF($B28=1,IF(INDEX(Keys!$E:$E,MATCH($A4,Keys!$D:$D,0))="Y",1,0),1))</f>
        <v>1</v>
      </c>
      <c r="J4">
        <f>IF(INDEX(Keys!$F:$F,MATCH($A4,Keys!$D:$D,0))="Y",0,IF($B28=1,IF(INDEX(Keys!$E:$E,MATCH($A4,Keys!$D:$D,0))="Y",1,0),1))</f>
        <v>1</v>
      </c>
      <c r="K4">
        <f>IF(INDEX(Keys!$F:$F,MATCH($A4,Keys!$D:$D,0))="Y",0,IF($B28=1,IF(INDEX(Keys!$E:$E,MATCH($A4,Keys!$D:$D,0))="Y",1,0),1))</f>
        <v>1</v>
      </c>
      <c r="L4">
        <f>IF(INDEX(Keys!$F:$F,MATCH($A4,Keys!$D:$D,0))="Y",0,IF($B28=1,IF(INDEX(Keys!$E:$E,MATCH($A4,Keys!$D:$D,0))="Y",1,0),1))</f>
        <v>1</v>
      </c>
      <c r="M4">
        <f>IF(INDEX(Keys!$F:$F,MATCH($A4,Keys!$D:$D,0))="Y",0,IF($B28=1,IF(INDEX(Keys!$E:$E,MATCH($A4,Keys!$D:$D,0))="Y",1,0),1))</f>
        <v>1</v>
      </c>
      <c r="N4">
        <f>IF(INDEX(Keys!$F:$F,MATCH($A4,Keys!$D:$D,0))="Y",0,IF($B28=1,IF(INDEX(Keys!$E:$E,MATCH($A4,Keys!$D:$D,0))="Y",1,0),1))</f>
        <v>1</v>
      </c>
      <c r="O4">
        <f>IF(INDEX(Keys!$F:$F,MATCH($A4,Keys!$D:$D,0))="Y",0,IF($B28=1,IF(INDEX(Keys!$E:$E,MATCH($A4,Keys!$D:$D,0))="Y",1,0),1))</f>
        <v>1</v>
      </c>
      <c r="P4">
        <f>IF(INDEX(Keys!$F:$F,MATCH($A4,Keys!$D:$D,0))="Y",0,IF($B28=1,IF(INDEX(Keys!$E:$E,MATCH($A4,Keys!$D:$D,0))="Y",1,0),1))</f>
        <v>1</v>
      </c>
      <c r="Q4">
        <f>IF(INDEX(Keys!$F:$F,MATCH($A4,Keys!$D:$D,0))="Y",0,IF($B28=1,IF(INDEX(Keys!$E:$E,MATCH($A4,Keys!$D:$D,0))="Y",1,0),1))</f>
        <v>1</v>
      </c>
      <c r="R4">
        <f>IF(INDEX(Keys!$F:$F,MATCH($A4,Keys!$D:$D,0))="Y",0,IF($B28=1,IF(INDEX(Keys!$E:$E,MATCH($A4,Keys!$D:$D,0))="Y",1,0),1))</f>
        <v>1</v>
      </c>
      <c r="S4">
        <f>IF(INDEX(Keys!$F:$F,MATCH($A4,Keys!$D:$D,0))="Y",0,IF($B28=1,IF(INDEX(Keys!$E:$E,MATCH($A4,Keys!$D:$D,0))="Y",1,0),1))</f>
        <v>1</v>
      </c>
      <c r="T4">
        <f>IF(INDEX(Keys!$F:$F,MATCH($A4,Keys!$D:$D,0))="Y",0,IF($B28=1,IF(INDEX(Keys!$E:$E,MATCH($A4,Keys!$D:$D,0))="Y",1,0),1))</f>
        <v>1</v>
      </c>
      <c r="U4">
        <f>IF(INDEX(Keys!$F:$F,MATCH($A4,Keys!$D:$D,0))="Y",0,IF($B28=1,IF(INDEX(Keys!$E:$E,MATCH($A4,Keys!$D:$D,0))="Y",1,0),1))</f>
        <v>1</v>
      </c>
      <c r="V4">
        <f>IF(INDEX(Keys!$F:$F,MATCH($A4,Keys!$D:$D,0))="Y",0,IF($B28=1,IF(INDEX(Keys!$E:$E,MATCH($A4,Keys!$D:$D,0))="Y",1,0),1))</f>
        <v>1</v>
      </c>
      <c r="W4">
        <f>IF(INDEX(Keys!$F:$F,MATCH($A4,Keys!$D:$D,0))="Y",0,IF($B28=1,IF(INDEX(Keys!$E:$E,MATCH($A4,Keys!$D:$D,0))="Y",1,0),1))</f>
        <v>1</v>
      </c>
      <c r="X4">
        <f>IF(INDEX(Keys!$F:$F,MATCH($A4,Keys!$D:$D,0))="Y",0,IF($B28=1,IF(INDEX(Keys!$E:$E,MATCH($A4,Keys!$D:$D,0))="Y",1,0),1))</f>
        <v>1</v>
      </c>
      <c r="Y4">
        <f>IF(INDEX(Keys!$F:$F,MATCH($A4,Keys!$D:$D,0))="Y",0,IF($B28=1,IF(INDEX(Keys!$E:$E,MATCH($A4,Keys!$D:$D,0))="Y",1,0),1))</f>
        <v>1</v>
      </c>
      <c r="Z4">
        <f>IF(INDEX(Keys!$F:$F,MATCH($A4,Keys!$D:$D,0))="Y",0,IF($B28=1,IF(INDEX(Keys!$E:$E,MATCH($A4,Keys!$D:$D,0))="Y",1,0),1))</f>
        <v>1</v>
      </c>
      <c r="AA4">
        <f>IF(INDEX(Keys!$F:$F,MATCH($A4,Keys!$D:$D,0))="Y",0,IF($B28=1,IF(INDEX(Keys!$E:$E,MATCH($A4,Keys!$D:$D,0))="Y",1,0),1))</f>
        <v>1</v>
      </c>
      <c r="AB4">
        <f>IF(INDEX(Keys!$F:$F,MATCH($A4,Keys!$D:$D,0))="Y",0,IF($B28=1,IF(INDEX(Keys!$E:$E,MATCH($A4,Keys!$D:$D,0))="Y",1,0),1))</f>
        <v>1</v>
      </c>
      <c r="AC4">
        <f>IF(INDEX(Keys!$F:$F,MATCH($A4,Keys!$D:$D,0))="Y",0,IF($B28=1,IF(INDEX(Keys!$E:$E,MATCH($A4,Keys!$D:$D,0))="Y",1,0),1))</f>
        <v>1</v>
      </c>
      <c r="AD4">
        <f>IF(INDEX(Keys!$F:$F,MATCH($A4,Keys!$D:$D,0))="Y",0,IF($B28=1,IF(INDEX(Keys!$E:$E,MATCH($A4,Keys!$D:$D,0))="Y",1,0),1))</f>
        <v>1</v>
      </c>
      <c r="AE4">
        <f>IF(INDEX(Keys!$F:$F,MATCH($A4,Keys!$D:$D,0))="Y",0,IF($B28=1,IF(INDEX(Keys!$E:$E,MATCH($A4,Keys!$D:$D,0))="Y",1,0),1))</f>
        <v>1</v>
      </c>
    </row>
    <row r="5" spans="1:31" x14ac:dyDescent="0.45">
      <c r="A5" t="str">
        <f>Keys!$D5</f>
        <v>other mining and quarrying 07T08</v>
      </c>
      <c r="B5">
        <f>IF(INDEX(Keys!$F:$F,MATCH($A5,Keys!$D:$D,0))="Y",0,IF($B28=1,IF(INDEX(Keys!$E:$E,MATCH($A5,Keys!$D:$D,0))="Y",1,0),1))</f>
        <v>1</v>
      </c>
      <c r="C5">
        <f>IF(INDEX(Keys!$F:$F,MATCH($A5,Keys!$D:$D,0))="Y",0,IF($B28=1,IF(INDEX(Keys!$E:$E,MATCH($A5,Keys!$D:$D,0))="Y",1,0),1))</f>
        <v>1</v>
      </c>
      <c r="D5">
        <f>IF(INDEX(Keys!$F:$F,MATCH($A5,Keys!$D:$D,0))="Y",0,IF($B28=1,IF(INDEX(Keys!$E:$E,MATCH($A5,Keys!$D:$D,0))="Y",1,0),1))</f>
        <v>1</v>
      </c>
      <c r="E5">
        <f>IF(INDEX(Keys!$F:$F,MATCH($A5,Keys!$D:$D,0))="Y",0,IF($B28=1,IF(INDEX(Keys!$E:$E,MATCH($A5,Keys!$D:$D,0))="Y",1,0),1))</f>
        <v>1</v>
      </c>
      <c r="F5">
        <f>IF(INDEX(Keys!$F:$F,MATCH($A5,Keys!$D:$D,0))="Y",0,IF($B28=1,IF(INDEX(Keys!$E:$E,MATCH($A5,Keys!$D:$D,0))="Y",1,0),1))</f>
        <v>1</v>
      </c>
      <c r="G5">
        <f>IF(INDEX(Keys!$F:$F,MATCH($A5,Keys!$D:$D,0))="Y",0,IF($B28=1,IF(INDEX(Keys!$E:$E,MATCH($A5,Keys!$D:$D,0))="Y",1,0),1))</f>
        <v>1</v>
      </c>
      <c r="H5">
        <f>IF(INDEX(Keys!$F:$F,MATCH($A5,Keys!$D:$D,0))="Y",0,IF($B28=1,IF(INDEX(Keys!$E:$E,MATCH($A5,Keys!$D:$D,0))="Y",1,0),1))</f>
        <v>1</v>
      </c>
      <c r="I5">
        <f>IF(INDEX(Keys!$F:$F,MATCH($A5,Keys!$D:$D,0))="Y",0,IF($B28=1,IF(INDEX(Keys!$E:$E,MATCH($A5,Keys!$D:$D,0))="Y",1,0),1))</f>
        <v>1</v>
      </c>
      <c r="J5">
        <f>IF(INDEX(Keys!$F:$F,MATCH($A5,Keys!$D:$D,0))="Y",0,IF($B28=1,IF(INDEX(Keys!$E:$E,MATCH($A5,Keys!$D:$D,0))="Y",1,0),1))</f>
        <v>1</v>
      </c>
      <c r="K5">
        <f>IF(INDEX(Keys!$F:$F,MATCH($A5,Keys!$D:$D,0))="Y",0,IF($B28=1,IF(INDEX(Keys!$E:$E,MATCH($A5,Keys!$D:$D,0))="Y",1,0),1))</f>
        <v>1</v>
      </c>
      <c r="L5">
        <f>IF(INDEX(Keys!$F:$F,MATCH($A5,Keys!$D:$D,0))="Y",0,IF($B28=1,IF(INDEX(Keys!$E:$E,MATCH($A5,Keys!$D:$D,0))="Y",1,0),1))</f>
        <v>1</v>
      </c>
      <c r="M5">
        <f>IF(INDEX(Keys!$F:$F,MATCH($A5,Keys!$D:$D,0))="Y",0,IF($B28=1,IF(INDEX(Keys!$E:$E,MATCH($A5,Keys!$D:$D,0))="Y",1,0),1))</f>
        <v>1</v>
      </c>
      <c r="N5">
        <f>IF(INDEX(Keys!$F:$F,MATCH($A5,Keys!$D:$D,0))="Y",0,IF($B28=1,IF(INDEX(Keys!$E:$E,MATCH($A5,Keys!$D:$D,0))="Y",1,0),1))</f>
        <v>1</v>
      </c>
      <c r="O5">
        <f>IF(INDEX(Keys!$F:$F,MATCH($A5,Keys!$D:$D,0))="Y",0,IF($B28=1,IF(INDEX(Keys!$E:$E,MATCH($A5,Keys!$D:$D,0))="Y",1,0),1))</f>
        <v>1</v>
      </c>
      <c r="P5">
        <f>IF(INDEX(Keys!$F:$F,MATCH($A5,Keys!$D:$D,0))="Y",0,IF($B28=1,IF(INDEX(Keys!$E:$E,MATCH($A5,Keys!$D:$D,0))="Y",1,0),1))</f>
        <v>1</v>
      </c>
      <c r="Q5">
        <f>IF(INDEX(Keys!$F:$F,MATCH($A5,Keys!$D:$D,0))="Y",0,IF($B28=1,IF(INDEX(Keys!$E:$E,MATCH($A5,Keys!$D:$D,0))="Y",1,0),1))</f>
        <v>1</v>
      </c>
      <c r="R5">
        <f>IF(INDEX(Keys!$F:$F,MATCH($A5,Keys!$D:$D,0))="Y",0,IF($B28=1,IF(INDEX(Keys!$E:$E,MATCH($A5,Keys!$D:$D,0))="Y",1,0),1))</f>
        <v>1</v>
      </c>
      <c r="S5">
        <f>IF(INDEX(Keys!$F:$F,MATCH($A5,Keys!$D:$D,0))="Y",0,IF($B28=1,IF(INDEX(Keys!$E:$E,MATCH($A5,Keys!$D:$D,0))="Y",1,0),1))</f>
        <v>1</v>
      </c>
      <c r="T5">
        <f>IF(INDEX(Keys!$F:$F,MATCH($A5,Keys!$D:$D,0))="Y",0,IF($B28=1,IF(INDEX(Keys!$E:$E,MATCH($A5,Keys!$D:$D,0))="Y",1,0),1))</f>
        <v>1</v>
      </c>
      <c r="U5">
        <f>IF(INDEX(Keys!$F:$F,MATCH($A5,Keys!$D:$D,0))="Y",0,IF($B28=1,IF(INDEX(Keys!$E:$E,MATCH($A5,Keys!$D:$D,0))="Y",1,0),1))</f>
        <v>1</v>
      </c>
      <c r="V5">
        <f>IF(INDEX(Keys!$F:$F,MATCH($A5,Keys!$D:$D,0))="Y",0,IF($B28=1,IF(INDEX(Keys!$E:$E,MATCH($A5,Keys!$D:$D,0))="Y",1,0),1))</f>
        <v>1</v>
      </c>
      <c r="W5">
        <f>IF(INDEX(Keys!$F:$F,MATCH($A5,Keys!$D:$D,0))="Y",0,IF($B28=1,IF(INDEX(Keys!$E:$E,MATCH($A5,Keys!$D:$D,0))="Y",1,0),1))</f>
        <v>1</v>
      </c>
      <c r="X5">
        <f>IF(INDEX(Keys!$F:$F,MATCH($A5,Keys!$D:$D,0))="Y",0,IF($B28=1,IF(INDEX(Keys!$E:$E,MATCH($A5,Keys!$D:$D,0))="Y",1,0),1))</f>
        <v>1</v>
      </c>
      <c r="Y5">
        <f>IF(INDEX(Keys!$F:$F,MATCH($A5,Keys!$D:$D,0))="Y",0,IF($B28=1,IF(INDEX(Keys!$E:$E,MATCH($A5,Keys!$D:$D,0))="Y",1,0),1))</f>
        <v>1</v>
      </c>
      <c r="Z5">
        <f>IF(INDEX(Keys!$F:$F,MATCH($A5,Keys!$D:$D,0))="Y",0,IF($B28=1,IF(INDEX(Keys!$E:$E,MATCH($A5,Keys!$D:$D,0))="Y",1,0),1))</f>
        <v>1</v>
      </c>
      <c r="AA5">
        <f>IF(INDEX(Keys!$F:$F,MATCH($A5,Keys!$D:$D,0))="Y",0,IF($B28=1,IF(INDEX(Keys!$E:$E,MATCH($A5,Keys!$D:$D,0))="Y",1,0),1))</f>
        <v>1</v>
      </c>
      <c r="AB5">
        <f>IF(INDEX(Keys!$F:$F,MATCH($A5,Keys!$D:$D,0))="Y",0,IF($B28=1,IF(INDEX(Keys!$E:$E,MATCH($A5,Keys!$D:$D,0))="Y",1,0),1))</f>
        <v>1</v>
      </c>
      <c r="AC5">
        <f>IF(INDEX(Keys!$F:$F,MATCH($A5,Keys!$D:$D,0))="Y",0,IF($B28=1,IF(INDEX(Keys!$E:$E,MATCH($A5,Keys!$D:$D,0))="Y",1,0),1))</f>
        <v>1</v>
      </c>
      <c r="AD5">
        <f>IF(INDEX(Keys!$F:$F,MATCH($A5,Keys!$D:$D,0))="Y",0,IF($B28=1,IF(INDEX(Keys!$E:$E,MATCH($A5,Keys!$D:$D,0))="Y",1,0),1))</f>
        <v>1</v>
      </c>
      <c r="AE5">
        <f>IF(INDEX(Keys!$F:$F,MATCH($A5,Keys!$D:$D,0))="Y",0,IF($B28=1,IF(INDEX(Keys!$E:$E,MATCH($A5,Keys!$D:$D,0))="Y",1,0),1))</f>
        <v>1</v>
      </c>
    </row>
    <row r="6" spans="1:31" x14ac:dyDescent="0.45">
      <c r="A6" t="str">
        <f>Keys!$D6</f>
        <v>food beverage and tobacco 10T12</v>
      </c>
      <c r="B6">
        <f>IF(INDEX(Keys!$F:$F,MATCH($A6,Keys!$D:$D,0))="Y",0,IF($B28=1,IF(INDEX(Keys!$E:$E,MATCH($A6,Keys!$D:$D,0))="Y",1,0),1))</f>
        <v>1</v>
      </c>
      <c r="C6">
        <f>IF(INDEX(Keys!$F:$F,MATCH($A6,Keys!$D:$D,0))="Y",0,IF($B28=1,IF(INDEX(Keys!$E:$E,MATCH($A6,Keys!$D:$D,0))="Y",1,0),1))</f>
        <v>1</v>
      </c>
      <c r="D6">
        <f>IF(INDEX(Keys!$F:$F,MATCH($A6,Keys!$D:$D,0))="Y",0,IF($B28=1,IF(INDEX(Keys!$E:$E,MATCH($A6,Keys!$D:$D,0))="Y",1,0),1))</f>
        <v>1</v>
      </c>
      <c r="E6">
        <f>IF(INDEX(Keys!$F:$F,MATCH($A6,Keys!$D:$D,0))="Y",0,IF($B28=1,IF(INDEX(Keys!$E:$E,MATCH($A6,Keys!$D:$D,0))="Y",1,0),1))</f>
        <v>1</v>
      </c>
      <c r="F6">
        <f>IF(INDEX(Keys!$F:$F,MATCH($A6,Keys!$D:$D,0))="Y",0,IF($B28=1,IF(INDEX(Keys!$E:$E,MATCH($A6,Keys!$D:$D,0))="Y",1,0),1))</f>
        <v>1</v>
      </c>
      <c r="G6">
        <f>IF(INDEX(Keys!$F:$F,MATCH($A6,Keys!$D:$D,0))="Y",0,IF($B28=1,IF(INDEX(Keys!$E:$E,MATCH($A6,Keys!$D:$D,0))="Y",1,0),1))</f>
        <v>1</v>
      </c>
      <c r="H6">
        <f>IF(INDEX(Keys!$F:$F,MATCH($A6,Keys!$D:$D,0))="Y",0,IF($B28=1,IF(INDEX(Keys!$E:$E,MATCH($A6,Keys!$D:$D,0))="Y",1,0),1))</f>
        <v>1</v>
      </c>
      <c r="I6">
        <f>IF(INDEX(Keys!$F:$F,MATCH($A6,Keys!$D:$D,0))="Y",0,IF($B28=1,IF(INDEX(Keys!$E:$E,MATCH($A6,Keys!$D:$D,0))="Y",1,0),1))</f>
        <v>1</v>
      </c>
      <c r="J6">
        <f>IF(INDEX(Keys!$F:$F,MATCH($A6,Keys!$D:$D,0))="Y",0,IF($B28=1,IF(INDEX(Keys!$E:$E,MATCH($A6,Keys!$D:$D,0))="Y",1,0),1))</f>
        <v>1</v>
      </c>
      <c r="K6">
        <f>IF(INDEX(Keys!$F:$F,MATCH($A6,Keys!$D:$D,0))="Y",0,IF($B28=1,IF(INDEX(Keys!$E:$E,MATCH($A6,Keys!$D:$D,0))="Y",1,0),1))</f>
        <v>1</v>
      </c>
      <c r="L6">
        <f>IF(INDEX(Keys!$F:$F,MATCH($A6,Keys!$D:$D,0))="Y",0,IF($B28=1,IF(INDEX(Keys!$E:$E,MATCH($A6,Keys!$D:$D,0))="Y",1,0),1))</f>
        <v>1</v>
      </c>
      <c r="M6">
        <f>IF(INDEX(Keys!$F:$F,MATCH($A6,Keys!$D:$D,0))="Y",0,IF($B28=1,IF(INDEX(Keys!$E:$E,MATCH($A6,Keys!$D:$D,0))="Y",1,0),1))</f>
        <v>1</v>
      </c>
      <c r="N6">
        <f>IF(INDEX(Keys!$F:$F,MATCH($A6,Keys!$D:$D,0))="Y",0,IF($B28=1,IF(INDEX(Keys!$E:$E,MATCH($A6,Keys!$D:$D,0))="Y",1,0),1))</f>
        <v>1</v>
      </c>
      <c r="O6">
        <f>IF(INDEX(Keys!$F:$F,MATCH($A6,Keys!$D:$D,0))="Y",0,IF($B28=1,IF(INDEX(Keys!$E:$E,MATCH($A6,Keys!$D:$D,0))="Y",1,0),1))</f>
        <v>1</v>
      </c>
      <c r="P6">
        <f>IF(INDEX(Keys!$F:$F,MATCH($A6,Keys!$D:$D,0))="Y",0,IF($B28=1,IF(INDEX(Keys!$E:$E,MATCH($A6,Keys!$D:$D,0))="Y",1,0),1))</f>
        <v>1</v>
      </c>
      <c r="Q6">
        <f>IF(INDEX(Keys!$F:$F,MATCH($A6,Keys!$D:$D,0))="Y",0,IF($B28=1,IF(INDEX(Keys!$E:$E,MATCH($A6,Keys!$D:$D,0))="Y",1,0),1))</f>
        <v>1</v>
      </c>
      <c r="R6">
        <f>IF(INDEX(Keys!$F:$F,MATCH($A6,Keys!$D:$D,0))="Y",0,IF($B28=1,IF(INDEX(Keys!$E:$E,MATCH($A6,Keys!$D:$D,0))="Y",1,0),1))</f>
        <v>1</v>
      </c>
      <c r="S6">
        <f>IF(INDEX(Keys!$F:$F,MATCH($A6,Keys!$D:$D,0))="Y",0,IF($B28=1,IF(INDEX(Keys!$E:$E,MATCH($A6,Keys!$D:$D,0))="Y",1,0),1))</f>
        <v>1</v>
      </c>
      <c r="T6">
        <f>IF(INDEX(Keys!$F:$F,MATCH($A6,Keys!$D:$D,0))="Y",0,IF($B28=1,IF(INDEX(Keys!$E:$E,MATCH($A6,Keys!$D:$D,0))="Y",1,0),1))</f>
        <v>1</v>
      </c>
      <c r="U6">
        <f>IF(INDEX(Keys!$F:$F,MATCH($A6,Keys!$D:$D,0))="Y",0,IF($B28=1,IF(INDEX(Keys!$E:$E,MATCH($A6,Keys!$D:$D,0))="Y",1,0),1))</f>
        <v>1</v>
      </c>
      <c r="V6">
        <f>IF(INDEX(Keys!$F:$F,MATCH($A6,Keys!$D:$D,0))="Y",0,IF($B28=1,IF(INDEX(Keys!$E:$E,MATCH($A6,Keys!$D:$D,0))="Y",1,0),1))</f>
        <v>1</v>
      </c>
      <c r="W6">
        <f>IF(INDEX(Keys!$F:$F,MATCH($A6,Keys!$D:$D,0))="Y",0,IF($B28=1,IF(INDEX(Keys!$E:$E,MATCH($A6,Keys!$D:$D,0))="Y",1,0),1))</f>
        <v>1</v>
      </c>
      <c r="X6">
        <f>IF(INDEX(Keys!$F:$F,MATCH($A6,Keys!$D:$D,0))="Y",0,IF($B28=1,IF(INDEX(Keys!$E:$E,MATCH($A6,Keys!$D:$D,0))="Y",1,0),1))</f>
        <v>1</v>
      </c>
      <c r="Y6">
        <f>IF(INDEX(Keys!$F:$F,MATCH($A6,Keys!$D:$D,0))="Y",0,IF($B28=1,IF(INDEX(Keys!$E:$E,MATCH($A6,Keys!$D:$D,0))="Y",1,0),1))</f>
        <v>1</v>
      </c>
      <c r="Z6">
        <f>IF(INDEX(Keys!$F:$F,MATCH($A6,Keys!$D:$D,0))="Y",0,IF($B28=1,IF(INDEX(Keys!$E:$E,MATCH($A6,Keys!$D:$D,0))="Y",1,0),1))</f>
        <v>1</v>
      </c>
      <c r="AA6">
        <f>IF(INDEX(Keys!$F:$F,MATCH($A6,Keys!$D:$D,0))="Y",0,IF($B28=1,IF(INDEX(Keys!$E:$E,MATCH($A6,Keys!$D:$D,0))="Y",1,0),1))</f>
        <v>1</v>
      </c>
      <c r="AB6">
        <f>IF(INDEX(Keys!$F:$F,MATCH($A6,Keys!$D:$D,0))="Y",0,IF($B28=1,IF(INDEX(Keys!$E:$E,MATCH($A6,Keys!$D:$D,0))="Y",1,0),1))</f>
        <v>1</v>
      </c>
      <c r="AC6">
        <f>IF(INDEX(Keys!$F:$F,MATCH($A6,Keys!$D:$D,0))="Y",0,IF($B28=1,IF(INDEX(Keys!$E:$E,MATCH($A6,Keys!$D:$D,0))="Y",1,0),1))</f>
        <v>1</v>
      </c>
      <c r="AD6">
        <f>IF(INDEX(Keys!$F:$F,MATCH($A6,Keys!$D:$D,0))="Y",0,IF($B28=1,IF(INDEX(Keys!$E:$E,MATCH($A6,Keys!$D:$D,0))="Y",1,0),1))</f>
        <v>1</v>
      </c>
      <c r="AE6">
        <f>IF(INDEX(Keys!$F:$F,MATCH($A6,Keys!$D:$D,0))="Y",0,IF($B28=1,IF(INDEX(Keys!$E:$E,MATCH($A6,Keys!$D:$D,0))="Y",1,0),1))</f>
        <v>1</v>
      </c>
    </row>
    <row r="7" spans="1:31" x14ac:dyDescent="0.45">
      <c r="A7" t="str">
        <f>Keys!$D7</f>
        <v>textiles apparel and leather 13T15</v>
      </c>
      <c r="B7">
        <f>IF(INDEX(Keys!$F:$F,MATCH($A7,Keys!$D:$D,0))="Y",0,IF($B28=1,IF(INDEX(Keys!$E:$E,MATCH($A7,Keys!$D:$D,0))="Y",1,0),1))</f>
        <v>1</v>
      </c>
      <c r="C7">
        <f>IF(INDEX(Keys!$F:$F,MATCH($A7,Keys!$D:$D,0))="Y",0,IF($B28=1,IF(INDEX(Keys!$E:$E,MATCH($A7,Keys!$D:$D,0))="Y",1,0),1))</f>
        <v>1</v>
      </c>
      <c r="D7">
        <f>IF(INDEX(Keys!$F:$F,MATCH($A7,Keys!$D:$D,0))="Y",0,IF($B28=1,IF(INDEX(Keys!$E:$E,MATCH($A7,Keys!$D:$D,0))="Y",1,0),1))</f>
        <v>1</v>
      </c>
      <c r="E7">
        <f>IF(INDEX(Keys!$F:$F,MATCH($A7,Keys!$D:$D,0))="Y",0,IF($B28=1,IF(INDEX(Keys!$E:$E,MATCH($A7,Keys!$D:$D,0))="Y",1,0),1))</f>
        <v>1</v>
      </c>
      <c r="F7">
        <f>IF(INDEX(Keys!$F:$F,MATCH($A7,Keys!$D:$D,0))="Y",0,IF($B28=1,IF(INDEX(Keys!$E:$E,MATCH($A7,Keys!$D:$D,0))="Y",1,0),1))</f>
        <v>1</v>
      </c>
      <c r="G7">
        <f>IF(INDEX(Keys!$F:$F,MATCH($A7,Keys!$D:$D,0))="Y",0,IF($B28=1,IF(INDEX(Keys!$E:$E,MATCH($A7,Keys!$D:$D,0))="Y",1,0),1))</f>
        <v>1</v>
      </c>
      <c r="H7">
        <f>IF(INDEX(Keys!$F:$F,MATCH($A7,Keys!$D:$D,0))="Y",0,IF($B28=1,IF(INDEX(Keys!$E:$E,MATCH($A7,Keys!$D:$D,0))="Y",1,0),1))</f>
        <v>1</v>
      </c>
      <c r="I7">
        <f>IF(INDEX(Keys!$F:$F,MATCH($A7,Keys!$D:$D,0))="Y",0,IF($B28=1,IF(INDEX(Keys!$E:$E,MATCH($A7,Keys!$D:$D,0))="Y",1,0),1))</f>
        <v>1</v>
      </c>
      <c r="J7">
        <f>IF(INDEX(Keys!$F:$F,MATCH($A7,Keys!$D:$D,0))="Y",0,IF($B28=1,IF(INDEX(Keys!$E:$E,MATCH($A7,Keys!$D:$D,0))="Y",1,0),1))</f>
        <v>1</v>
      </c>
      <c r="K7">
        <f>IF(INDEX(Keys!$F:$F,MATCH($A7,Keys!$D:$D,0))="Y",0,IF($B28=1,IF(INDEX(Keys!$E:$E,MATCH($A7,Keys!$D:$D,0))="Y",1,0),1))</f>
        <v>1</v>
      </c>
      <c r="L7">
        <f>IF(INDEX(Keys!$F:$F,MATCH($A7,Keys!$D:$D,0))="Y",0,IF($B28=1,IF(INDEX(Keys!$E:$E,MATCH($A7,Keys!$D:$D,0))="Y",1,0),1))</f>
        <v>1</v>
      </c>
      <c r="M7">
        <f>IF(INDEX(Keys!$F:$F,MATCH($A7,Keys!$D:$D,0))="Y",0,IF($B28=1,IF(INDEX(Keys!$E:$E,MATCH($A7,Keys!$D:$D,0))="Y",1,0),1))</f>
        <v>1</v>
      </c>
      <c r="N7">
        <f>IF(INDEX(Keys!$F:$F,MATCH($A7,Keys!$D:$D,0))="Y",0,IF($B28=1,IF(INDEX(Keys!$E:$E,MATCH($A7,Keys!$D:$D,0))="Y",1,0),1))</f>
        <v>1</v>
      </c>
      <c r="O7">
        <f>IF(INDEX(Keys!$F:$F,MATCH($A7,Keys!$D:$D,0))="Y",0,IF($B28=1,IF(INDEX(Keys!$E:$E,MATCH($A7,Keys!$D:$D,0))="Y",1,0),1))</f>
        <v>1</v>
      </c>
      <c r="P7">
        <f>IF(INDEX(Keys!$F:$F,MATCH($A7,Keys!$D:$D,0))="Y",0,IF($B28=1,IF(INDEX(Keys!$E:$E,MATCH($A7,Keys!$D:$D,0))="Y",1,0),1))</f>
        <v>1</v>
      </c>
      <c r="Q7">
        <f>IF(INDEX(Keys!$F:$F,MATCH($A7,Keys!$D:$D,0))="Y",0,IF($B28=1,IF(INDEX(Keys!$E:$E,MATCH($A7,Keys!$D:$D,0))="Y",1,0),1))</f>
        <v>1</v>
      </c>
      <c r="R7">
        <f>IF(INDEX(Keys!$F:$F,MATCH($A7,Keys!$D:$D,0))="Y",0,IF($B28=1,IF(INDEX(Keys!$E:$E,MATCH($A7,Keys!$D:$D,0))="Y",1,0),1))</f>
        <v>1</v>
      </c>
      <c r="S7">
        <f>IF(INDEX(Keys!$F:$F,MATCH($A7,Keys!$D:$D,0))="Y",0,IF($B28=1,IF(INDEX(Keys!$E:$E,MATCH($A7,Keys!$D:$D,0))="Y",1,0),1))</f>
        <v>1</v>
      </c>
      <c r="T7">
        <f>IF(INDEX(Keys!$F:$F,MATCH($A7,Keys!$D:$D,0))="Y",0,IF($B28=1,IF(INDEX(Keys!$E:$E,MATCH($A7,Keys!$D:$D,0))="Y",1,0),1))</f>
        <v>1</v>
      </c>
      <c r="U7">
        <f>IF(INDEX(Keys!$F:$F,MATCH($A7,Keys!$D:$D,0))="Y",0,IF($B28=1,IF(INDEX(Keys!$E:$E,MATCH($A7,Keys!$D:$D,0))="Y",1,0),1))</f>
        <v>1</v>
      </c>
      <c r="V7">
        <f>IF(INDEX(Keys!$F:$F,MATCH($A7,Keys!$D:$D,0))="Y",0,IF($B28=1,IF(INDEX(Keys!$E:$E,MATCH($A7,Keys!$D:$D,0))="Y",1,0),1))</f>
        <v>1</v>
      </c>
      <c r="W7">
        <f>IF(INDEX(Keys!$F:$F,MATCH($A7,Keys!$D:$D,0))="Y",0,IF($B28=1,IF(INDEX(Keys!$E:$E,MATCH($A7,Keys!$D:$D,0))="Y",1,0),1))</f>
        <v>1</v>
      </c>
      <c r="X7">
        <f>IF(INDEX(Keys!$F:$F,MATCH($A7,Keys!$D:$D,0))="Y",0,IF($B28=1,IF(INDEX(Keys!$E:$E,MATCH($A7,Keys!$D:$D,0))="Y",1,0),1))</f>
        <v>1</v>
      </c>
      <c r="Y7">
        <f>IF(INDEX(Keys!$F:$F,MATCH($A7,Keys!$D:$D,0))="Y",0,IF($B28=1,IF(INDEX(Keys!$E:$E,MATCH($A7,Keys!$D:$D,0))="Y",1,0),1))</f>
        <v>1</v>
      </c>
      <c r="Z7">
        <f>IF(INDEX(Keys!$F:$F,MATCH($A7,Keys!$D:$D,0))="Y",0,IF($B28=1,IF(INDEX(Keys!$E:$E,MATCH($A7,Keys!$D:$D,0))="Y",1,0),1))</f>
        <v>1</v>
      </c>
      <c r="AA7">
        <f>IF(INDEX(Keys!$F:$F,MATCH($A7,Keys!$D:$D,0))="Y",0,IF($B28=1,IF(INDEX(Keys!$E:$E,MATCH($A7,Keys!$D:$D,0))="Y",1,0),1))</f>
        <v>1</v>
      </c>
      <c r="AB7">
        <f>IF(INDEX(Keys!$F:$F,MATCH($A7,Keys!$D:$D,0))="Y",0,IF($B28=1,IF(INDEX(Keys!$E:$E,MATCH($A7,Keys!$D:$D,0))="Y",1,0),1))</f>
        <v>1</v>
      </c>
      <c r="AC7">
        <f>IF(INDEX(Keys!$F:$F,MATCH($A7,Keys!$D:$D,0))="Y",0,IF($B28=1,IF(INDEX(Keys!$E:$E,MATCH($A7,Keys!$D:$D,0))="Y",1,0),1))</f>
        <v>1</v>
      </c>
      <c r="AD7">
        <f>IF(INDEX(Keys!$F:$F,MATCH($A7,Keys!$D:$D,0))="Y",0,IF($B28=1,IF(INDEX(Keys!$E:$E,MATCH($A7,Keys!$D:$D,0))="Y",1,0),1))</f>
        <v>1</v>
      </c>
      <c r="AE7">
        <f>IF(INDEX(Keys!$F:$F,MATCH($A7,Keys!$D:$D,0))="Y",0,IF($B28=1,IF(INDEX(Keys!$E:$E,MATCH($A7,Keys!$D:$D,0))="Y",1,0),1))</f>
        <v>1</v>
      </c>
    </row>
    <row r="8" spans="1:31" x14ac:dyDescent="0.45">
      <c r="A8" t="str">
        <f>Keys!$D8</f>
        <v>wood products 16</v>
      </c>
      <c r="B8">
        <f>IF(INDEX(Keys!$F:$F,MATCH($A8,Keys!$D:$D,0))="Y",0,IF($B28=1,IF(INDEX(Keys!$E:$E,MATCH($A8,Keys!$D:$D,0))="Y",1,0),1))</f>
        <v>1</v>
      </c>
      <c r="C8">
        <f>IF(INDEX(Keys!$F:$F,MATCH($A8,Keys!$D:$D,0))="Y",0,IF($B28=1,IF(INDEX(Keys!$E:$E,MATCH($A8,Keys!$D:$D,0))="Y",1,0),1))</f>
        <v>1</v>
      </c>
      <c r="D8">
        <f>IF(INDEX(Keys!$F:$F,MATCH($A8,Keys!$D:$D,0))="Y",0,IF($B28=1,IF(INDEX(Keys!$E:$E,MATCH($A8,Keys!$D:$D,0))="Y",1,0),1))</f>
        <v>1</v>
      </c>
      <c r="E8">
        <f>IF(INDEX(Keys!$F:$F,MATCH($A8,Keys!$D:$D,0))="Y",0,IF($B28=1,IF(INDEX(Keys!$E:$E,MATCH($A8,Keys!$D:$D,0))="Y",1,0),1))</f>
        <v>1</v>
      </c>
      <c r="F8">
        <f>IF(INDEX(Keys!$F:$F,MATCH($A8,Keys!$D:$D,0))="Y",0,IF($B28=1,IF(INDEX(Keys!$E:$E,MATCH($A8,Keys!$D:$D,0))="Y",1,0),1))</f>
        <v>1</v>
      </c>
      <c r="G8">
        <f>IF(INDEX(Keys!$F:$F,MATCH($A8,Keys!$D:$D,0))="Y",0,IF($B28=1,IF(INDEX(Keys!$E:$E,MATCH($A8,Keys!$D:$D,0))="Y",1,0),1))</f>
        <v>1</v>
      </c>
      <c r="H8">
        <f>IF(INDEX(Keys!$F:$F,MATCH($A8,Keys!$D:$D,0))="Y",0,IF($B28=1,IF(INDEX(Keys!$E:$E,MATCH($A8,Keys!$D:$D,0))="Y",1,0),1))</f>
        <v>1</v>
      </c>
      <c r="I8">
        <f>IF(INDEX(Keys!$F:$F,MATCH($A8,Keys!$D:$D,0))="Y",0,IF($B28=1,IF(INDEX(Keys!$E:$E,MATCH($A8,Keys!$D:$D,0))="Y",1,0),1))</f>
        <v>1</v>
      </c>
      <c r="J8">
        <f>IF(INDEX(Keys!$F:$F,MATCH($A8,Keys!$D:$D,0))="Y",0,IF($B28=1,IF(INDEX(Keys!$E:$E,MATCH($A8,Keys!$D:$D,0))="Y",1,0),1))</f>
        <v>1</v>
      </c>
      <c r="K8">
        <f>IF(INDEX(Keys!$F:$F,MATCH($A8,Keys!$D:$D,0))="Y",0,IF($B28=1,IF(INDEX(Keys!$E:$E,MATCH($A8,Keys!$D:$D,0))="Y",1,0),1))</f>
        <v>1</v>
      </c>
      <c r="L8">
        <f>IF(INDEX(Keys!$F:$F,MATCH($A8,Keys!$D:$D,0))="Y",0,IF($B28=1,IF(INDEX(Keys!$E:$E,MATCH($A8,Keys!$D:$D,0))="Y",1,0),1))</f>
        <v>1</v>
      </c>
      <c r="M8">
        <f>IF(INDEX(Keys!$F:$F,MATCH($A8,Keys!$D:$D,0))="Y",0,IF($B28=1,IF(INDEX(Keys!$E:$E,MATCH($A8,Keys!$D:$D,0))="Y",1,0),1))</f>
        <v>1</v>
      </c>
      <c r="N8">
        <f>IF(INDEX(Keys!$F:$F,MATCH($A8,Keys!$D:$D,0))="Y",0,IF($B28=1,IF(INDEX(Keys!$E:$E,MATCH($A8,Keys!$D:$D,0))="Y",1,0),1))</f>
        <v>1</v>
      </c>
      <c r="O8">
        <f>IF(INDEX(Keys!$F:$F,MATCH($A8,Keys!$D:$D,0))="Y",0,IF($B28=1,IF(INDEX(Keys!$E:$E,MATCH($A8,Keys!$D:$D,0))="Y",1,0),1))</f>
        <v>1</v>
      </c>
      <c r="P8">
        <f>IF(INDEX(Keys!$F:$F,MATCH($A8,Keys!$D:$D,0))="Y",0,IF($B28=1,IF(INDEX(Keys!$E:$E,MATCH($A8,Keys!$D:$D,0))="Y",1,0),1))</f>
        <v>1</v>
      </c>
      <c r="Q8">
        <f>IF(INDEX(Keys!$F:$F,MATCH($A8,Keys!$D:$D,0))="Y",0,IF($B28=1,IF(INDEX(Keys!$E:$E,MATCH($A8,Keys!$D:$D,0))="Y",1,0),1))</f>
        <v>1</v>
      </c>
      <c r="R8">
        <f>IF(INDEX(Keys!$F:$F,MATCH($A8,Keys!$D:$D,0))="Y",0,IF($B28=1,IF(INDEX(Keys!$E:$E,MATCH($A8,Keys!$D:$D,0))="Y",1,0),1))</f>
        <v>1</v>
      </c>
      <c r="S8">
        <f>IF(INDEX(Keys!$F:$F,MATCH($A8,Keys!$D:$D,0))="Y",0,IF($B28=1,IF(INDEX(Keys!$E:$E,MATCH($A8,Keys!$D:$D,0))="Y",1,0),1))</f>
        <v>1</v>
      </c>
      <c r="T8">
        <f>IF(INDEX(Keys!$F:$F,MATCH($A8,Keys!$D:$D,0))="Y",0,IF($B28=1,IF(INDEX(Keys!$E:$E,MATCH($A8,Keys!$D:$D,0))="Y",1,0),1))</f>
        <v>1</v>
      </c>
      <c r="U8">
        <f>IF(INDEX(Keys!$F:$F,MATCH($A8,Keys!$D:$D,0))="Y",0,IF($B28=1,IF(INDEX(Keys!$E:$E,MATCH($A8,Keys!$D:$D,0))="Y",1,0),1))</f>
        <v>1</v>
      </c>
      <c r="V8">
        <f>IF(INDEX(Keys!$F:$F,MATCH($A8,Keys!$D:$D,0))="Y",0,IF($B28=1,IF(INDEX(Keys!$E:$E,MATCH($A8,Keys!$D:$D,0))="Y",1,0),1))</f>
        <v>1</v>
      </c>
      <c r="W8">
        <f>IF(INDEX(Keys!$F:$F,MATCH($A8,Keys!$D:$D,0))="Y",0,IF($B28=1,IF(INDEX(Keys!$E:$E,MATCH($A8,Keys!$D:$D,0))="Y",1,0),1))</f>
        <v>1</v>
      </c>
      <c r="X8">
        <f>IF(INDEX(Keys!$F:$F,MATCH($A8,Keys!$D:$D,0))="Y",0,IF($B28=1,IF(INDEX(Keys!$E:$E,MATCH($A8,Keys!$D:$D,0))="Y",1,0),1))</f>
        <v>1</v>
      </c>
      <c r="Y8">
        <f>IF(INDEX(Keys!$F:$F,MATCH($A8,Keys!$D:$D,0))="Y",0,IF($B28=1,IF(INDEX(Keys!$E:$E,MATCH($A8,Keys!$D:$D,0))="Y",1,0),1))</f>
        <v>1</v>
      </c>
      <c r="Z8">
        <f>IF(INDEX(Keys!$F:$F,MATCH($A8,Keys!$D:$D,0))="Y",0,IF($B28=1,IF(INDEX(Keys!$E:$E,MATCH($A8,Keys!$D:$D,0))="Y",1,0),1))</f>
        <v>1</v>
      </c>
      <c r="AA8">
        <f>IF(INDEX(Keys!$F:$F,MATCH($A8,Keys!$D:$D,0))="Y",0,IF($B28=1,IF(INDEX(Keys!$E:$E,MATCH($A8,Keys!$D:$D,0))="Y",1,0),1))</f>
        <v>1</v>
      </c>
      <c r="AB8">
        <f>IF(INDEX(Keys!$F:$F,MATCH($A8,Keys!$D:$D,0))="Y",0,IF($B28=1,IF(INDEX(Keys!$E:$E,MATCH($A8,Keys!$D:$D,0))="Y",1,0),1))</f>
        <v>1</v>
      </c>
      <c r="AC8">
        <f>IF(INDEX(Keys!$F:$F,MATCH($A8,Keys!$D:$D,0))="Y",0,IF($B28=1,IF(INDEX(Keys!$E:$E,MATCH($A8,Keys!$D:$D,0))="Y",1,0),1))</f>
        <v>1</v>
      </c>
      <c r="AD8">
        <f>IF(INDEX(Keys!$F:$F,MATCH($A8,Keys!$D:$D,0))="Y",0,IF($B28=1,IF(INDEX(Keys!$E:$E,MATCH($A8,Keys!$D:$D,0))="Y",1,0),1))</f>
        <v>1</v>
      </c>
      <c r="AE8">
        <f>IF(INDEX(Keys!$F:$F,MATCH($A8,Keys!$D:$D,0))="Y",0,IF($B28=1,IF(INDEX(Keys!$E:$E,MATCH($A8,Keys!$D:$D,0))="Y",1,0),1))</f>
        <v>1</v>
      </c>
    </row>
    <row r="9" spans="1:31" x14ac:dyDescent="0.45">
      <c r="A9" t="str">
        <f>Keys!$D9</f>
        <v>pulp paper and printing 17T18</v>
      </c>
      <c r="B9">
        <f>IF(INDEX(Keys!$F:$F,MATCH($A9,Keys!$D:$D,0))="Y",0,IF($B28=1,IF(INDEX(Keys!$E:$E,MATCH($A9,Keys!$D:$D,0))="Y",1,0),1))</f>
        <v>1</v>
      </c>
      <c r="C9">
        <f>IF(INDEX(Keys!$F:$F,MATCH($A9,Keys!$D:$D,0))="Y",0,IF($B28=1,IF(INDEX(Keys!$E:$E,MATCH($A9,Keys!$D:$D,0))="Y",1,0),1))</f>
        <v>1</v>
      </c>
      <c r="D9">
        <f>IF(INDEX(Keys!$F:$F,MATCH($A9,Keys!$D:$D,0))="Y",0,IF($B28=1,IF(INDEX(Keys!$E:$E,MATCH($A9,Keys!$D:$D,0))="Y",1,0),1))</f>
        <v>1</v>
      </c>
      <c r="E9">
        <f>IF(INDEX(Keys!$F:$F,MATCH($A9,Keys!$D:$D,0))="Y",0,IF($B28=1,IF(INDEX(Keys!$E:$E,MATCH($A9,Keys!$D:$D,0))="Y",1,0),1))</f>
        <v>1</v>
      </c>
      <c r="F9">
        <f>IF(INDEX(Keys!$F:$F,MATCH($A9,Keys!$D:$D,0))="Y",0,IF($B28=1,IF(INDEX(Keys!$E:$E,MATCH($A9,Keys!$D:$D,0))="Y",1,0),1))</f>
        <v>1</v>
      </c>
      <c r="G9">
        <f>IF(INDEX(Keys!$F:$F,MATCH($A9,Keys!$D:$D,0))="Y",0,IF($B28=1,IF(INDEX(Keys!$E:$E,MATCH($A9,Keys!$D:$D,0))="Y",1,0),1))</f>
        <v>1</v>
      </c>
      <c r="H9">
        <f>IF(INDEX(Keys!$F:$F,MATCH($A9,Keys!$D:$D,0))="Y",0,IF($B28=1,IF(INDEX(Keys!$E:$E,MATCH($A9,Keys!$D:$D,0))="Y",1,0),1))</f>
        <v>1</v>
      </c>
      <c r="I9">
        <f>IF(INDEX(Keys!$F:$F,MATCH($A9,Keys!$D:$D,0))="Y",0,IF($B28=1,IF(INDEX(Keys!$E:$E,MATCH($A9,Keys!$D:$D,0))="Y",1,0),1))</f>
        <v>1</v>
      </c>
      <c r="J9">
        <f>IF(INDEX(Keys!$F:$F,MATCH($A9,Keys!$D:$D,0))="Y",0,IF($B28=1,IF(INDEX(Keys!$E:$E,MATCH($A9,Keys!$D:$D,0))="Y",1,0),1))</f>
        <v>1</v>
      </c>
      <c r="K9">
        <f>IF(INDEX(Keys!$F:$F,MATCH($A9,Keys!$D:$D,0))="Y",0,IF($B28=1,IF(INDEX(Keys!$E:$E,MATCH($A9,Keys!$D:$D,0))="Y",1,0),1))</f>
        <v>1</v>
      </c>
      <c r="L9">
        <f>IF(INDEX(Keys!$F:$F,MATCH($A9,Keys!$D:$D,0))="Y",0,IF($B28=1,IF(INDEX(Keys!$E:$E,MATCH($A9,Keys!$D:$D,0))="Y",1,0),1))</f>
        <v>1</v>
      </c>
      <c r="M9">
        <f>IF(INDEX(Keys!$F:$F,MATCH($A9,Keys!$D:$D,0))="Y",0,IF($B28=1,IF(INDEX(Keys!$E:$E,MATCH($A9,Keys!$D:$D,0))="Y",1,0),1))</f>
        <v>1</v>
      </c>
      <c r="N9">
        <f>IF(INDEX(Keys!$F:$F,MATCH($A9,Keys!$D:$D,0))="Y",0,IF($B28=1,IF(INDEX(Keys!$E:$E,MATCH($A9,Keys!$D:$D,0))="Y",1,0),1))</f>
        <v>1</v>
      </c>
      <c r="O9">
        <f>IF(INDEX(Keys!$F:$F,MATCH($A9,Keys!$D:$D,0))="Y",0,IF($B28=1,IF(INDEX(Keys!$E:$E,MATCH($A9,Keys!$D:$D,0))="Y",1,0),1))</f>
        <v>1</v>
      </c>
      <c r="P9">
        <f>IF(INDEX(Keys!$F:$F,MATCH($A9,Keys!$D:$D,0))="Y",0,IF($B28=1,IF(INDEX(Keys!$E:$E,MATCH($A9,Keys!$D:$D,0))="Y",1,0),1))</f>
        <v>1</v>
      </c>
      <c r="Q9">
        <f>IF(INDEX(Keys!$F:$F,MATCH($A9,Keys!$D:$D,0))="Y",0,IF($B28=1,IF(INDEX(Keys!$E:$E,MATCH($A9,Keys!$D:$D,0))="Y",1,0),1))</f>
        <v>1</v>
      </c>
      <c r="R9">
        <f>IF(INDEX(Keys!$F:$F,MATCH($A9,Keys!$D:$D,0))="Y",0,IF($B28=1,IF(INDEX(Keys!$E:$E,MATCH($A9,Keys!$D:$D,0))="Y",1,0),1))</f>
        <v>1</v>
      </c>
      <c r="S9">
        <f>IF(INDEX(Keys!$F:$F,MATCH($A9,Keys!$D:$D,0))="Y",0,IF($B28=1,IF(INDEX(Keys!$E:$E,MATCH($A9,Keys!$D:$D,0))="Y",1,0),1))</f>
        <v>1</v>
      </c>
      <c r="T9">
        <f>IF(INDEX(Keys!$F:$F,MATCH($A9,Keys!$D:$D,0))="Y",0,IF($B28=1,IF(INDEX(Keys!$E:$E,MATCH($A9,Keys!$D:$D,0))="Y",1,0),1))</f>
        <v>1</v>
      </c>
      <c r="U9">
        <f>IF(INDEX(Keys!$F:$F,MATCH($A9,Keys!$D:$D,0))="Y",0,IF($B28=1,IF(INDEX(Keys!$E:$E,MATCH($A9,Keys!$D:$D,0))="Y",1,0),1))</f>
        <v>1</v>
      </c>
      <c r="V9">
        <f>IF(INDEX(Keys!$F:$F,MATCH($A9,Keys!$D:$D,0))="Y",0,IF($B28=1,IF(INDEX(Keys!$E:$E,MATCH($A9,Keys!$D:$D,0))="Y",1,0),1))</f>
        <v>1</v>
      </c>
      <c r="W9">
        <f>IF(INDEX(Keys!$F:$F,MATCH($A9,Keys!$D:$D,0))="Y",0,IF($B28=1,IF(INDEX(Keys!$E:$E,MATCH($A9,Keys!$D:$D,0))="Y",1,0),1))</f>
        <v>1</v>
      </c>
      <c r="X9">
        <f>IF(INDEX(Keys!$F:$F,MATCH($A9,Keys!$D:$D,0))="Y",0,IF($B28=1,IF(INDEX(Keys!$E:$E,MATCH($A9,Keys!$D:$D,0))="Y",1,0),1))</f>
        <v>1</v>
      </c>
      <c r="Y9">
        <f>IF(INDEX(Keys!$F:$F,MATCH($A9,Keys!$D:$D,0))="Y",0,IF($B28=1,IF(INDEX(Keys!$E:$E,MATCH($A9,Keys!$D:$D,0))="Y",1,0),1))</f>
        <v>1</v>
      </c>
      <c r="Z9">
        <f>IF(INDEX(Keys!$F:$F,MATCH($A9,Keys!$D:$D,0))="Y",0,IF($B28=1,IF(INDEX(Keys!$E:$E,MATCH($A9,Keys!$D:$D,0))="Y",1,0),1))</f>
        <v>1</v>
      </c>
      <c r="AA9">
        <f>IF(INDEX(Keys!$F:$F,MATCH($A9,Keys!$D:$D,0))="Y",0,IF($B28=1,IF(INDEX(Keys!$E:$E,MATCH($A9,Keys!$D:$D,0))="Y",1,0),1))</f>
        <v>1</v>
      </c>
      <c r="AB9">
        <f>IF(INDEX(Keys!$F:$F,MATCH($A9,Keys!$D:$D,0))="Y",0,IF($B28=1,IF(INDEX(Keys!$E:$E,MATCH($A9,Keys!$D:$D,0))="Y",1,0),1))</f>
        <v>1</v>
      </c>
      <c r="AC9">
        <f>IF(INDEX(Keys!$F:$F,MATCH($A9,Keys!$D:$D,0))="Y",0,IF($B28=1,IF(INDEX(Keys!$E:$E,MATCH($A9,Keys!$D:$D,0))="Y",1,0),1))</f>
        <v>1</v>
      </c>
      <c r="AD9">
        <f>IF(INDEX(Keys!$F:$F,MATCH($A9,Keys!$D:$D,0))="Y",0,IF($B28=1,IF(INDEX(Keys!$E:$E,MATCH($A9,Keys!$D:$D,0))="Y",1,0),1))</f>
        <v>1</v>
      </c>
      <c r="AE9">
        <f>IF(INDEX(Keys!$F:$F,MATCH($A9,Keys!$D:$D,0))="Y",0,IF($B28=1,IF(INDEX(Keys!$E:$E,MATCH($A9,Keys!$D:$D,0))="Y",1,0),1))</f>
        <v>1</v>
      </c>
    </row>
    <row r="10" spans="1:31" x14ac:dyDescent="0.45">
      <c r="A10" t="str">
        <f>Keys!$D10</f>
        <v>refined petroleum and coke 19</v>
      </c>
      <c r="B10">
        <f>IF(INDEX(Keys!$F:$F,MATCH($A10,Keys!$D:$D,0))="Y",0,IF($B28=1,IF(INDEX(Keys!$E:$E,MATCH($A10,Keys!$D:$D,0))="Y",1,0),1))</f>
        <v>1</v>
      </c>
      <c r="C10">
        <f>IF(INDEX(Keys!$F:$F,MATCH($A10,Keys!$D:$D,0))="Y",0,IF($B28=1,IF(INDEX(Keys!$E:$E,MATCH($A10,Keys!$D:$D,0))="Y",1,0),1))</f>
        <v>1</v>
      </c>
      <c r="D10">
        <f>IF(INDEX(Keys!$F:$F,MATCH($A10,Keys!$D:$D,0))="Y",0,IF($B28=1,IF(INDEX(Keys!$E:$E,MATCH($A10,Keys!$D:$D,0))="Y",1,0),1))</f>
        <v>1</v>
      </c>
      <c r="E10">
        <f>IF(INDEX(Keys!$F:$F,MATCH($A10,Keys!$D:$D,0))="Y",0,IF($B28=1,IF(INDEX(Keys!$E:$E,MATCH($A10,Keys!$D:$D,0))="Y",1,0),1))</f>
        <v>1</v>
      </c>
      <c r="F10">
        <f>IF(INDEX(Keys!$F:$F,MATCH($A10,Keys!$D:$D,0))="Y",0,IF($B28=1,IF(INDEX(Keys!$E:$E,MATCH($A10,Keys!$D:$D,0))="Y",1,0),1))</f>
        <v>1</v>
      </c>
      <c r="G10">
        <f>IF(INDEX(Keys!$F:$F,MATCH($A10,Keys!$D:$D,0))="Y",0,IF($B28=1,IF(INDEX(Keys!$E:$E,MATCH($A10,Keys!$D:$D,0))="Y",1,0),1))</f>
        <v>1</v>
      </c>
      <c r="H10">
        <f>IF(INDEX(Keys!$F:$F,MATCH($A10,Keys!$D:$D,0))="Y",0,IF($B28=1,IF(INDEX(Keys!$E:$E,MATCH($A10,Keys!$D:$D,0))="Y",1,0),1))</f>
        <v>1</v>
      </c>
      <c r="I10">
        <f>IF(INDEX(Keys!$F:$F,MATCH($A10,Keys!$D:$D,0))="Y",0,IF($B28=1,IF(INDEX(Keys!$E:$E,MATCH($A10,Keys!$D:$D,0))="Y",1,0),1))</f>
        <v>1</v>
      </c>
      <c r="J10">
        <f>IF(INDEX(Keys!$F:$F,MATCH($A10,Keys!$D:$D,0))="Y",0,IF($B28=1,IF(INDEX(Keys!$E:$E,MATCH($A10,Keys!$D:$D,0))="Y",1,0),1))</f>
        <v>1</v>
      </c>
      <c r="K10">
        <f>IF(INDEX(Keys!$F:$F,MATCH($A10,Keys!$D:$D,0))="Y",0,IF($B28=1,IF(INDEX(Keys!$E:$E,MATCH($A10,Keys!$D:$D,0))="Y",1,0),1))</f>
        <v>1</v>
      </c>
      <c r="L10">
        <f>IF(INDEX(Keys!$F:$F,MATCH($A10,Keys!$D:$D,0))="Y",0,IF($B28=1,IF(INDEX(Keys!$E:$E,MATCH($A10,Keys!$D:$D,0))="Y",1,0),1))</f>
        <v>1</v>
      </c>
      <c r="M10">
        <f>IF(INDEX(Keys!$F:$F,MATCH($A10,Keys!$D:$D,0))="Y",0,IF($B28=1,IF(INDEX(Keys!$E:$E,MATCH($A10,Keys!$D:$D,0))="Y",1,0),1))</f>
        <v>1</v>
      </c>
      <c r="N10">
        <f>IF(INDEX(Keys!$F:$F,MATCH($A10,Keys!$D:$D,0))="Y",0,IF($B28=1,IF(INDEX(Keys!$E:$E,MATCH($A10,Keys!$D:$D,0))="Y",1,0),1))</f>
        <v>1</v>
      </c>
      <c r="O10">
        <f>IF(INDEX(Keys!$F:$F,MATCH($A10,Keys!$D:$D,0))="Y",0,IF($B28=1,IF(INDEX(Keys!$E:$E,MATCH($A10,Keys!$D:$D,0))="Y",1,0),1))</f>
        <v>1</v>
      </c>
      <c r="P10">
        <f>IF(INDEX(Keys!$F:$F,MATCH($A10,Keys!$D:$D,0))="Y",0,IF($B28=1,IF(INDEX(Keys!$E:$E,MATCH($A10,Keys!$D:$D,0))="Y",1,0),1))</f>
        <v>1</v>
      </c>
      <c r="Q10">
        <f>IF(INDEX(Keys!$F:$F,MATCH($A10,Keys!$D:$D,0))="Y",0,IF($B28=1,IF(INDEX(Keys!$E:$E,MATCH($A10,Keys!$D:$D,0))="Y",1,0),1))</f>
        <v>1</v>
      </c>
      <c r="R10">
        <f>IF(INDEX(Keys!$F:$F,MATCH($A10,Keys!$D:$D,0))="Y",0,IF($B28=1,IF(INDEX(Keys!$E:$E,MATCH($A10,Keys!$D:$D,0))="Y",1,0),1))</f>
        <v>1</v>
      </c>
      <c r="S10">
        <f>IF(INDEX(Keys!$F:$F,MATCH($A10,Keys!$D:$D,0))="Y",0,IF($B28=1,IF(INDEX(Keys!$E:$E,MATCH($A10,Keys!$D:$D,0))="Y",1,0),1))</f>
        <v>1</v>
      </c>
      <c r="T10">
        <f>IF(INDEX(Keys!$F:$F,MATCH($A10,Keys!$D:$D,0))="Y",0,IF($B28=1,IF(INDEX(Keys!$E:$E,MATCH($A10,Keys!$D:$D,0))="Y",1,0),1))</f>
        <v>1</v>
      </c>
      <c r="U10">
        <f>IF(INDEX(Keys!$F:$F,MATCH($A10,Keys!$D:$D,0))="Y",0,IF($B28=1,IF(INDEX(Keys!$E:$E,MATCH($A10,Keys!$D:$D,0))="Y",1,0),1))</f>
        <v>1</v>
      </c>
      <c r="V10">
        <f>IF(INDEX(Keys!$F:$F,MATCH($A10,Keys!$D:$D,0))="Y",0,IF($B28=1,IF(INDEX(Keys!$E:$E,MATCH($A10,Keys!$D:$D,0))="Y",1,0),1))</f>
        <v>1</v>
      </c>
      <c r="W10">
        <f>IF(INDEX(Keys!$F:$F,MATCH($A10,Keys!$D:$D,0))="Y",0,IF($B28=1,IF(INDEX(Keys!$E:$E,MATCH($A10,Keys!$D:$D,0))="Y",1,0),1))</f>
        <v>1</v>
      </c>
      <c r="X10">
        <f>IF(INDEX(Keys!$F:$F,MATCH($A10,Keys!$D:$D,0))="Y",0,IF($B28=1,IF(INDEX(Keys!$E:$E,MATCH($A10,Keys!$D:$D,0))="Y",1,0),1))</f>
        <v>1</v>
      </c>
      <c r="Y10">
        <f>IF(INDEX(Keys!$F:$F,MATCH($A10,Keys!$D:$D,0))="Y",0,IF($B28=1,IF(INDEX(Keys!$E:$E,MATCH($A10,Keys!$D:$D,0))="Y",1,0),1))</f>
        <v>1</v>
      </c>
      <c r="Z10">
        <f>IF(INDEX(Keys!$F:$F,MATCH($A10,Keys!$D:$D,0))="Y",0,IF($B28=1,IF(INDEX(Keys!$E:$E,MATCH($A10,Keys!$D:$D,0))="Y",1,0),1))</f>
        <v>1</v>
      </c>
      <c r="AA10">
        <f>IF(INDEX(Keys!$F:$F,MATCH($A10,Keys!$D:$D,0))="Y",0,IF($B28=1,IF(INDEX(Keys!$E:$E,MATCH($A10,Keys!$D:$D,0))="Y",1,0),1))</f>
        <v>1</v>
      </c>
      <c r="AB10">
        <f>IF(INDEX(Keys!$F:$F,MATCH($A10,Keys!$D:$D,0))="Y",0,IF($B28=1,IF(INDEX(Keys!$E:$E,MATCH($A10,Keys!$D:$D,0))="Y",1,0),1))</f>
        <v>1</v>
      </c>
      <c r="AC10">
        <f>IF(INDEX(Keys!$F:$F,MATCH($A10,Keys!$D:$D,0))="Y",0,IF($B28=1,IF(INDEX(Keys!$E:$E,MATCH($A10,Keys!$D:$D,0))="Y",1,0),1))</f>
        <v>1</v>
      </c>
      <c r="AD10">
        <f>IF(INDEX(Keys!$F:$F,MATCH($A10,Keys!$D:$D,0))="Y",0,IF($B28=1,IF(INDEX(Keys!$E:$E,MATCH($A10,Keys!$D:$D,0))="Y",1,0),1))</f>
        <v>1</v>
      </c>
      <c r="AE10">
        <f>IF(INDEX(Keys!$F:$F,MATCH($A10,Keys!$D:$D,0))="Y",0,IF($B28=1,IF(INDEX(Keys!$E:$E,MATCH($A10,Keys!$D:$D,0))="Y",1,0),1))</f>
        <v>1</v>
      </c>
    </row>
    <row r="11" spans="1:31" x14ac:dyDescent="0.45">
      <c r="A11" t="str">
        <f>Keys!$D11</f>
        <v>chemicals 20</v>
      </c>
      <c r="B11">
        <f>IF(INDEX(Keys!$F:$F,MATCH($A11,Keys!$D:$D,0))="Y",0,IF($B28=1,IF(INDEX(Keys!$E:$E,MATCH($A11,Keys!$D:$D,0))="Y",1,0),1))</f>
        <v>1</v>
      </c>
      <c r="C11">
        <f>IF(INDEX(Keys!$F:$F,MATCH($A11,Keys!$D:$D,0))="Y",0,IF($B28=1,IF(INDEX(Keys!$E:$E,MATCH($A11,Keys!$D:$D,0))="Y",1,0),1))</f>
        <v>1</v>
      </c>
      <c r="D11">
        <f>IF(INDEX(Keys!$F:$F,MATCH($A11,Keys!$D:$D,0))="Y",0,IF($B28=1,IF(INDEX(Keys!$E:$E,MATCH($A11,Keys!$D:$D,0))="Y",1,0),1))</f>
        <v>1</v>
      </c>
      <c r="E11">
        <f>IF(INDEX(Keys!$F:$F,MATCH($A11,Keys!$D:$D,0))="Y",0,IF($B28=1,IF(INDEX(Keys!$E:$E,MATCH($A11,Keys!$D:$D,0))="Y",1,0),1))</f>
        <v>1</v>
      </c>
      <c r="F11">
        <f>IF(INDEX(Keys!$F:$F,MATCH($A11,Keys!$D:$D,0))="Y",0,IF($B28=1,IF(INDEX(Keys!$E:$E,MATCH($A11,Keys!$D:$D,0))="Y",1,0),1))</f>
        <v>1</v>
      </c>
      <c r="G11">
        <f>IF(INDEX(Keys!$F:$F,MATCH($A11,Keys!$D:$D,0))="Y",0,IF($B28=1,IF(INDEX(Keys!$E:$E,MATCH($A11,Keys!$D:$D,0))="Y",1,0),1))</f>
        <v>1</v>
      </c>
      <c r="H11">
        <f>IF(INDEX(Keys!$F:$F,MATCH($A11,Keys!$D:$D,0))="Y",0,IF($B28=1,IF(INDEX(Keys!$E:$E,MATCH($A11,Keys!$D:$D,0))="Y",1,0),1))</f>
        <v>1</v>
      </c>
      <c r="I11">
        <f>IF(INDEX(Keys!$F:$F,MATCH($A11,Keys!$D:$D,0))="Y",0,IF($B28=1,IF(INDEX(Keys!$E:$E,MATCH($A11,Keys!$D:$D,0))="Y",1,0),1))</f>
        <v>1</v>
      </c>
      <c r="J11">
        <f>IF(INDEX(Keys!$F:$F,MATCH($A11,Keys!$D:$D,0))="Y",0,IF($B28=1,IF(INDEX(Keys!$E:$E,MATCH($A11,Keys!$D:$D,0))="Y",1,0),1))</f>
        <v>1</v>
      </c>
      <c r="K11">
        <f>IF(INDEX(Keys!$F:$F,MATCH($A11,Keys!$D:$D,0))="Y",0,IF($B28=1,IF(INDEX(Keys!$E:$E,MATCH($A11,Keys!$D:$D,0))="Y",1,0),1))</f>
        <v>1</v>
      </c>
      <c r="L11">
        <f>IF(INDEX(Keys!$F:$F,MATCH($A11,Keys!$D:$D,0))="Y",0,IF($B28=1,IF(INDEX(Keys!$E:$E,MATCH($A11,Keys!$D:$D,0))="Y",1,0),1))</f>
        <v>1</v>
      </c>
      <c r="M11">
        <f>IF(INDEX(Keys!$F:$F,MATCH($A11,Keys!$D:$D,0))="Y",0,IF($B28=1,IF(INDEX(Keys!$E:$E,MATCH($A11,Keys!$D:$D,0))="Y",1,0),1))</f>
        <v>1</v>
      </c>
      <c r="N11">
        <f>IF(INDEX(Keys!$F:$F,MATCH($A11,Keys!$D:$D,0))="Y",0,IF($B28=1,IF(INDEX(Keys!$E:$E,MATCH($A11,Keys!$D:$D,0))="Y",1,0),1))</f>
        <v>1</v>
      </c>
      <c r="O11">
        <f>IF(INDEX(Keys!$F:$F,MATCH($A11,Keys!$D:$D,0))="Y",0,IF($B28=1,IF(INDEX(Keys!$E:$E,MATCH($A11,Keys!$D:$D,0))="Y",1,0),1))</f>
        <v>1</v>
      </c>
      <c r="P11">
        <f>IF(INDEX(Keys!$F:$F,MATCH($A11,Keys!$D:$D,0))="Y",0,IF($B28=1,IF(INDEX(Keys!$E:$E,MATCH($A11,Keys!$D:$D,0))="Y",1,0),1))</f>
        <v>1</v>
      </c>
      <c r="Q11">
        <f>IF(INDEX(Keys!$F:$F,MATCH($A11,Keys!$D:$D,0))="Y",0,IF($B28=1,IF(INDEX(Keys!$E:$E,MATCH($A11,Keys!$D:$D,0))="Y",1,0),1))</f>
        <v>1</v>
      </c>
      <c r="R11">
        <f>IF(INDEX(Keys!$F:$F,MATCH($A11,Keys!$D:$D,0))="Y",0,IF($B28=1,IF(INDEX(Keys!$E:$E,MATCH($A11,Keys!$D:$D,0))="Y",1,0),1))</f>
        <v>1</v>
      </c>
      <c r="S11">
        <f>IF(INDEX(Keys!$F:$F,MATCH($A11,Keys!$D:$D,0))="Y",0,IF($B28=1,IF(INDEX(Keys!$E:$E,MATCH($A11,Keys!$D:$D,0))="Y",1,0),1))</f>
        <v>1</v>
      </c>
      <c r="T11">
        <f>IF(INDEX(Keys!$F:$F,MATCH($A11,Keys!$D:$D,0))="Y",0,IF($B28=1,IF(INDEX(Keys!$E:$E,MATCH($A11,Keys!$D:$D,0))="Y",1,0),1))</f>
        <v>1</v>
      </c>
      <c r="U11">
        <f>IF(INDEX(Keys!$F:$F,MATCH($A11,Keys!$D:$D,0))="Y",0,IF($B28=1,IF(INDEX(Keys!$E:$E,MATCH($A11,Keys!$D:$D,0))="Y",1,0),1))</f>
        <v>1</v>
      </c>
      <c r="V11">
        <f>IF(INDEX(Keys!$F:$F,MATCH($A11,Keys!$D:$D,0))="Y",0,IF($B28=1,IF(INDEX(Keys!$E:$E,MATCH($A11,Keys!$D:$D,0))="Y",1,0),1))</f>
        <v>1</v>
      </c>
      <c r="W11">
        <f>IF(INDEX(Keys!$F:$F,MATCH($A11,Keys!$D:$D,0))="Y",0,IF($B28=1,IF(INDEX(Keys!$E:$E,MATCH($A11,Keys!$D:$D,0))="Y",1,0),1))</f>
        <v>1</v>
      </c>
      <c r="X11">
        <f>IF(INDEX(Keys!$F:$F,MATCH($A11,Keys!$D:$D,0))="Y",0,IF($B28=1,IF(INDEX(Keys!$E:$E,MATCH($A11,Keys!$D:$D,0))="Y",1,0),1))</f>
        <v>1</v>
      </c>
      <c r="Y11">
        <f>IF(INDEX(Keys!$F:$F,MATCH($A11,Keys!$D:$D,0))="Y",0,IF($B28=1,IF(INDEX(Keys!$E:$E,MATCH($A11,Keys!$D:$D,0))="Y",1,0),1))</f>
        <v>1</v>
      </c>
      <c r="Z11">
        <f>IF(INDEX(Keys!$F:$F,MATCH($A11,Keys!$D:$D,0))="Y",0,IF($B28=1,IF(INDEX(Keys!$E:$E,MATCH($A11,Keys!$D:$D,0))="Y",1,0),1))</f>
        <v>1</v>
      </c>
      <c r="AA11">
        <f>IF(INDEX(Keys!$F:$F,MATCH($A11,Keys!$D:$D,0))="Y",0,IF($B28=1,IF(INDEX(Keys!$E:$E,MATCH($A11,Keys!$D:$D,0))="Y",1,0),1))</f>
        <v>1</v>
      </c>
      <c r="AB11">
        <f>IF(INDEX(Keys!$F:$F,MATCH($A11,Keys!$D:$D,0))="Y",0,IF($B28=1,IF(INDEX(Keys!$E:$E,MATCH($A11,Keys!$D:$D,0))="Y",1,0),1))</f>
        <v>1</v>
      </c>
      <c r="AC11">
        <f>IF(INDEX(Keys!$F:$F,MATCH($A11,Keys!$D:$D,0))="Y",0,IF($B28=1,IF(INDEX(Keys!$E:$E,MATCH($A11,Keys!$D:$D,0))="Y",1,0),1))</f>
        <v>1</v>
      </c>
      <c r="AD11">
        <f>IF(INDEX(Keys!$F:$F,MATCH($A11,Keys!$D:$D,0))="Y",0,IF($B28=1,IF(INDEX(Keys!$E:$E,MATCH($A11,Keys!$D:$D,0))="Y",1,0),1))</f>
        <v>1</v>
      </c>
      <c r="AE11">
        <f>IF(INDEX(Keys!$F:$F,MATCH($A11,Keys!$D:$D,0))="Y",0,IF($B28=1,IF(INDEX(Keys!$E:$E,MATCH($A11,Keys!$D:$D,0))="Y",1,0),1))</f>
        <v>1</v>
      </c>
    </row>
    <row r="12" spans="1:31" x14ac:dyDescent="0.45">
      <c r="A12" t="str">
        <f>Keys!$D12</f>
        <v>rubber and plastic products 22</v>
      </c>
      <c r="B12">
        <f>IF(INDEX(Keys!$F:$F,MATCH($A12,Keys!$D:$D,0))="Y",0,IF($B28=1,IF(INDEX(Keys!$E:$E,MATCH($A12,Keys!$D:$D,0))="Y",1,0),1))</f>
        <v>1</v>
      </c>
      <c r="C12">
        <f>IF(INDEX(Keys!$F:$F,MATCH($A12,Keys!$D:$D,0))="Y",0,IF($B28=1,IF(INDEX(Keys!$E:$E,MATCH($A12,Keys!$D:$D,0))="Y",1,0),1))</f>
        <v>1</v>
      </c>
      <c r="D12">
        <f>IF(INDEX(Keys!$F:$F,MATCH($A12,Keys!$D:$D,0))="Y",0,IF($B28=1,IF(INDEX(Keys!$E:$E,MATCH($A12,Keys!$D:$D,0))="Y",1,0),1))</f>
        <v>1</v>
      </c>
      <c r="E12">
        <f>IF(INDEX(Keys!$F:$F,MATCH($A12,Keys!$D:$D,0))="Y",0,IF($B28=1,IF(INDEX(Keys!$E:$E,MATCH($A12,Keys!$D:$D,0))="Y",1,0),1))</f>
        <v>1</v>
      </c>
      <c r="F12">
        <f>IF(INDEX(Keys!$F:$F,MATCH($A12,Keys!$D:$D,0))="Y",0,IF($B28=1,IF(INDEX(Keys!$E:$E,MATCH($A12,Keys!$D:$D,0))="Y",1,0),1))</f>
        <v>1</v>
      </c>
      <c r="G12">
        <f>IF(INDEX(Keys!$F:$F,MATCH($A12,Keys!$D:$D,0))="Y",0,IF($B28=1,IF(INDEX(Keys!$E:$E,MATCH($A12,Keys!$D:$D,0))="Y",1,0),1))</f>
        <v>1</v>
      </c>
      <c r="H12">
        <f>IF(INDEX(Keys!$F:$F,MATCH($A12,Keys!$D:$D,0))="Y",0,IF($B28=1,IF(INDEX(Keys!$E:$E,MATCH($A12,Keys!$D:$D,0))="Y",1,0),1))</f>
        <v>1</v>
      </c>
      <c r="I12">
        <f>IF(INDEX(Keys!$F:$F,MATCH($A12,Keys!$D:$D,0))="Y",0,IF($B28=1,IF(INDEX(Keys!$E:$E,MATCH($A12,Keys!$D:$D,0))="Y",1,0),1))</f>
        <v>1</v>
      </c>
      <c r="J12">
        <f>IF(INDEX(Keys!$F:$F,MATCH($A12,Keys!$D:$D,0))="Y",0,IF($B28=1,IF(INDEX(Keys!$E:$E,MATCH($A12,Keys!$D:$D,0))="Y",1,0),1))</f>
        <v>1</v>
      </c>
      <c r="K12">
        <f>IF(INDEX(Keys!$F:$F,MATCH($A12,Keys!$D:$D,0))="Y",0,IF($B28=1,IF(INDEX(Keys!$E:$E,MATCH($A12,Keys!$D:$D,0))="Y",1,0),1))</f>
        <v>1</v>
      </c>
      <c r="L12">
        <f>IF(INDEX(Keys!$F:$F,MATCH($A12,Keys!$D:$D,0))="Y",0,IF($B28=1,IF(INDEX(Keys!$E:$E,MATCH($A12,Keys!$D:$D,0))="Y",1,0),1))</f>
        <v>1</v>
      </c>
      <c r="M12">
        <f>IF(INDEX(Keys!$F:$F,MATCH($A12,Keys!$D:$D,0))="Y",0,IF($B28=1,IF(INDEX(Keys!$E:$E,MATCH($A12,Keys!$D:$D,0))="Y",1,0),1))</f>
        <v>1</v>
      </c>
      <c r="N12">
        <f>IF(INDEX(Keys!$F:$F,MATCH($A12,Keys!$D:$D,0))="Y",0,IF($B28=1,IF(INDEX(Keys!$E:$E,MATCH($A12,Keys!$D:$D,0))="Y",1,0),1))</f>
        <v>1</v>
      </c>
      <c r="O12">
        <f>IF(INDEX(Keys!$F:$F,MATCH($A12,Keys!$D:$D,0))="Y",0,IF($B28=1,IF(INDEX(Keys!$E:$E,MATCH($A12,Keys!$D:$D,0))="Y",1,0),1))</f>
        <v>1</v>
      </c>
      <c r="P12">
        <f>IF(INDEX(Keys!$F:$F,MATCH($A12,Keys!$D:$D,0))="Y",0,IF($B28=1,IF(INDEX(Keys!$E:$E,MATCH($A12,Keys!$D:$D,0))="Y",1,0),1))</f>
        <v>1</v>
      </c>
      <c r="Q12">
        <f>IF(INDEX(Keys!$F:$F,MATCH($A12,Keys!$D:$D,0))="Y",0,IF($B28=1,IF(INDEX(Keys!$E:$E,MATCH($A12,Keys!$D:$D,0))="Y",1,0),1))</f>
        <v>1</v>
      </c>
      <c r="R12">
        <f>IF(INDEX(Keys!$F:$F,MATCH($A12,Keys!$D:$D,0))="Y",0,IF($B28=1,IF(INDEX(Keys!$E:$E,MATCH($A12,Keys!$D:$D,0))="Y",1,0),1))</f>
        <v>1</v>
      </c>
      <c r="S12">
        <f>IF(INDEX(Keys!$F:$F,MATCH($A12,Keys!$D:$D,0))="Y",0,IF($B28=1,IF(INDEX(Keys!$E:$E,MATCH($A12,Keys!$D:$D,0))="Y",1,0),1))</f>
        <v>1</v>
      </c>
      <c r="T12">
        <f>IF(INDEX(Keys!$F:$F,MATCH($A12,Keys!$D:$D,0))="Y",0,IF($B28=1,IF(INDEX(Keys!$E:$E,MATCH($A12,Keys!$D:$D,0))="Y",1,0),1))</f>
        <v>1</v>
      </c>
      <c r="U12">
        <f>IF(INDEX(Keys!$F:$F,MATCH($A12,Keys!$D:$D,0))="Y",0,IF($B28=1,IF(INDEX(Keys!$E:$E,MATCH($A12,Keys!$D:$D,0))="Y",1,0),1))</f>
        <v>1</v>
      </c>
      <c r="V12">
        <f>IF(INDEX(Keys!$F:$F,MATCH($A12,Keys!$D:$D,0))="Y",0,IF($B28=1,IF(INDEX(Keys!$E:$E,MATCH($A12,Keys!$D:$D,0))="Y",1,0),1))</f>
        <v>1</v>
      </c>
      <c r="W12">
        <f>IF(INDEX(Keys!$F:$F,MATCH($A12,Keys!$D:$D,0))="Y",0,IF($B28=1,IF(INDEX(Keys!$E:$E,MATCH($A12,Keys!$D:$D,0))="Y",1,0),1))</f>
        <v>1</v>
      </c>
      <c r="X12">
        <f>IF(INDEX(Keys!$F:$F,MATCH($A12,Keys!$D:$D,0))="Y",0,IF($B28=1,IF(INDEX(Keys!$E:$E,MATCH($A12,Keys!$D:$D,0))="Y",1,0),1))</f>
        <v>1</v>
      </c>
      <c r="Y12">
        <f>IF(INDEX(Keys!$F:$F,MATCH($A12,Keys!$D:$D,0))="Y",0,IF($B28=1,IF(INDEX(Keys!$E:$E,MATCH($A12,Keys!$D:$D,0))="Y",1,0),1))</f>
        <v>1</v>
      </c>
      <c r="Z12">
        <f>IF(INDEX(Keys!$F:$F,MATCH($A12,Keys!$D:$D,0))="Y",0,IF($B28=1,IF(INDEX(Keys!$E:$E,MATCH($A12,Keys!$D:$D,0))="Y",1,0),1))</f>
        <v>1</v>
      </c>
      <c r="AA12">
        <f>IF(INDEX(Keys!$F:$F,MATCH($A12,Keys!$D:$D,0))="Y",0,IF($B28=1,IF(INDEX(Keys!$E:$E,MATCH($A12,Keys!$D:$D,0))="Y",1,0),1))</f>
        <v>1</v>
      </c>
      <c r="AB12">
        <f>IF(INDEX(Keys!$F:$F,MATCH($A12,Keys!$D:$D,0))="Y",0,IF($B28=1,IF(INDEX(Keys!$E:$E,MATCH($A12,Keys!$D:$D,0))="Y",1,0),1))</f>
        <v>1</v>
      </c>
      <c r="AC12">
        <f>IF(INDEX(Keys!$F:$F,MATCH($A12,Keys!$D:$D,0))="Y",0,IF($B28=1,IF(INDEX(Keys!$E:$E,MATCH($A12,Keys!$D:$D,0))="Y",1,0),1))</f>
        <v>1</v>
      </c>
      <c r="AD12">
        <f>IF(INDEX(Keys!$F:$F,MATCH($A12,Keys!$D:$D,0))="Y",0,IF($B28=1,IF(INDEX(Keys!$E:$E,MATCH($A12,Keys!$D:$D,0))="Y",1,0),1))</f>
        <v>1</v>
      </c>
      <c r="AE12">
        <f>IF(INDEX(Keys!$F:$F,MATCH($A12,Keys!$D:$D,0))="Y",0,IF($B28=1,IF(INDEX(Keys!$E:$E,MATCH($A12,Keys!$D:$D,0))="Y",1,0),1))</f>
        <v>1</v>
      </c>
    </row>
    <row r="13" spans="1:31" x14ac:dyDescent="0.45">
      <c r="A13" t="str">
        <f>Keys!$D13</f>
        <v>glass and glass products 231</v>
      </c>
      <c r="B13">
        <f>IF(INDEX(Keys!$F:$F,MATCH($A13,Keys!$D:$D,0))="Y",0,IF($B28=1,IF(INDEX(Keys!$E:$E,MATCH($A13,Keys!$D:$D,0))="Y",1,0),1))</f>
        <v>1</v>
      </c>
      <c r="C13">
        <f>IF(INDEX(Keys!$F:$F,MATCH($A13,Keys!$D:$D,0))="Y",0,IF($B28=1,IF(INDEX(Keys!$E:$E,MATCH($A13,Keys!$D:$D,0))="Y",1,0),1))</f>
        <v>1</v>
      </c>
      <c r="D13">
        <f>IF(INDEX(Keys!$F:$F,MATCH($A13,Keys!$D:$D,0))="Y",0,IF($B28=1,IF(INDEX(Keys!$E:$E,MATCH($A13,Keys!$D:$D,0))="Y",1,0),1))</f>
        <v>1</v>
      </c>
      <c r="E13">
        <f>IF(INDEX(Keys!$F:$F,MATCH($A13,Keys!$D:$D,0))="Y",0,IF($B28=1,IF(INDEX(Keys!$E:$E,MATCH($A13,Keys!$D:$D,0))="Y",1,0),1))</f>
        <v>1</v>
      </c>
      <c r="F13">
        <f>IF(INDEX(Keys!$F:$F,MATCH($A13,Keys!$D:$D,0))="Y",0,IF($B28=1,IF(INDEX(Keys!$E:$E,MATCH($A13,Keys!$D:$D,0))="Y",1,0),1))</f>
        <v>1</v>
      </c>
      <c r="G13">
        <f>IF(INDEX(Keys!$F:$F,MATCH($A13,Keys!$D:$D,0))="Y",0,IF($B28=1,IF(INDEX(Keys!$E:$E,MATCH($A13,Keys!$D:$D,0))="Y",1,0),1))</f>
        <v>1</v>
      </c>
      <c r="H13">
        <f>IF(INDEX(Keys!$F:$F,MATCH($A13,Keys!$D:$D,0))="Y",0,IF($B28=1,IF(INDEX(Keys!$E:$E,MATCH($A13,Keys!$D:$D,0))="Y",1,0),1))</f>
        <v>1</v>
      </c>
      <c r="I13">
        <f>IF(INDEX(Keys!$F:$F,MATCH($A13,Keys!$D:$D,0))="Y",0,IF($B28=1,IF(INDEX(Keys!$E:$E,MATCH($A13,Keys!$D:$D,0))="Y",1,0),1))</f>
        <v>1</v>
      </c>
      <c r="J13">
        <f>IF(INDEX(Keys!$F:$F,MATCH($A13,Keys!$D:$D,0))="Y",0,IF($B28=1,IF(INDEX(Keys!$E:$E,MATCH($A13,Keys!$D:$D,0))="Y",1,0),1))</f>
        <v>1</v>
      </c>
      <c r="K13">
        <f>IF(INDEX(Keys!$F:$F,MATCH($A13,Keys!$D:$D,0))="Y",0,IF($B28=1,IF(INDEX(Keys!$E:$E,MATCH($A13,Keys!$D:$D,0))="Y",1,0),1))</f>
        <v>1</v>
      </c>
      <c r="L13">
        <f>IF(INDEX(Keys!$F:$F,MATCH($A13,Keys!$D:$D,0))="Y",0,IF($B28=1,IF(INDEX(Keys!$E:$E,MATCH($A13,Keys!$D:$D,0))="Y",1,0),1))</f>
        <v>1</v>
      </c>
      <c r="M13">
        <f>IF(INDEX(Keys!$F:$F,MATCH($A13,Keys!$D:$D,0))="Y",0,IF($B28=1,IF(INDEX(Keys!$E:$E,MATCH($A13,Keys!$D:$D,0))="Y",1,0),1))</f>
        <v>1</v>
      </c>
      <c r="N13">
        <f>IF(INDEX(Keys!$F:$F,MATCH($A13,Keys!$D:$D,0))="Y",0,IF($B28=1,IF(INDEX(Keys!$E:$E,MATCH($A13,Keys!$D:$D,0))="Y",1,0),1))</f>
        <v>1</v>
      </c>
      <c r="O13">
        <f>IF(INDEX(Keys!$F:$F,MATCH($A13,Keys!$D:$D,0))="Y",0,IF($B28=1,IF(INDEX(Keys!$E:$E,MATCH($A13,Keys!$D:$D,0))="Y",1,0),1))</f>
        <v>1</v>
      </c>
      <c r="P13">
        <f>IF(INDEX(Keys!$F:$F,MATCH($A13,Keys!$D:$D,0))="Y",0,IF($B28=1,IF(INDEX(Keys!$E:$E,MATCH($A13,Keys!$D:$D,0))="Y",1,0),1))</f>
        <v>1</v>
      </c>
      <c r="Q13">
        <f>IF(INDEX(Keys!$F:$F,MATCH($A13,Keys!$D:$D,0))="Y",0,IF($B28=1,IF(INDEX(Keys!$E:$E,MATCH($A13,Keys!$D:$D,0))="Y",1,0),1))</f>
        <v>1</v>
      </c>
      <c r="R13">
        <f>IF(INDEX(Keys!$F:$F,MATCH($A13,Keys!$D:$D,0))="Y",0,IF($B28=1,IF(INDEX(Keys!$E:$E,MATCH($A13,Keys!$D:$D,0))="Y",1,0),1))</f>
        <v>1</v>
      </c>
      <c r="S13">
        <f>IF(INDEX(Keys!$F:$F,MATCH($A13,Keys!$D:$D,0))="Y",0,IF($B28=1,IF(INDEX(Keys!$E:$E,MATCH($A13,Keys!$D:$D,0))="Y",1,0),1))</f>
        <v>1</v>
      </c>
      <c r="T13">
        <f>IF(INDEX(Keys!$F:$F,MATCH($A13,Keys!$D:$D,0))="Y",0,IF($B28=1,IF(INDEX(Keys!$E:$E,MATCH($A13,Keys!$D:$D,0))="Y",1,0),1))</f>
        <v>1</v>
      </c>
      <c r="U13">
        <f>IF(INDEX(Keys!$F:$F,MATCH($A13,Keys!$D:$D,0))="Y",0,IF($B28=1,IF(INDEX(Keys!$E:$E,MATCH($A13,Keys!$D:$D,0))="Y",1,0),1))</f>
        <v>1</v>
      </c>
      <c r="V13">
        <f>IF(INDEX(Keys!$F:$F,MATCH($A13,Keys!$D:$D,0))="Y",0,IF($B28=1,IF(INDEX(Keys!$E:$E,MATCH($A13,Keys!$D:$D,0))="Y",1,0),1))</f>
        <v>1</v>
      </c>
      <c r="W13">
        <f>IF(INDEX(Keys!$F:$F,MATCH($A13,Keys!$D:$D,0))="Y",0,IF($B28=1,IF(INDEX(Keys!$E:$E,MATCH($A13,Keys!$D:$D,0))="Y",1,0),1))</f>
        <v>1</v>
      </c>
      <c r="X13">
        <f>IF(INDEX(Keys!$F:$F,MATCH($A13,Keys!$D:$D,0))="Y",0,IF($B28=1,IF(INDEX(Keys!$E:$E,MATCH($A13,Keys!$D:$D,0))="Y",1,0),1))</f>
        <v>1</v>
      </c>
      <c r="Y13">
        <f>IF(INDEX(Keys!$F:$F,MATCH($A13,Keys!$D:$D,0))="Y",0,IF($B28=1,IF(INDEX(Keys!$E:$E,MATCH($A13,Keys!$D:$D,0))="Y",1,0),1))</f>
        <v>1</v>
      </c>
      <c r="Z13">
        <f>IF(INDEX(Keys!$F:$F,MATCH($A13,Keys!$D:$D,0))="Y",0,IF($B28=1,IF(INDEX(Keys!$E:$E,MATCH($A13,Keys!$D:$D,0))="Y",1,0),1))</f>
        <v>1</v>
      </c>
      <c r="AA13">
        <f>IF(INDEX(Keys!$F:$F,MATCH($A13,Keys!$D:$D,0))="Y",0,IF($B28=1,IF(INDEX(Keys!$E:$E,MATCH($A13,Keys!$D:$D,0))="Y",1,0),1))</f>
        <v>1</v>
      </c>
      <c r="AB13">
        <f>IF(INDEX(Keys!$F:$F,MATCH($A13,Keys!$D:$D,0))="Y",0,IF($B28=1,IF(INDEX(Keys!$E:$E,MATCH($A13,Keys!$D:$D,0))="Y",1,0),1))</f>
        <v>1</v>
      </c>
      <c r="AC13">
        <f>IF(INDEX(Keys!$F:$F,MATCH($A13,Keys!$D:$D,0))="Y",0,IF($B28=1,IF(INDEX(Keys!$E:$E,MATCH($A13,Keys!$D:$D,0))="Y",1,0),1))</f>
        <v>1</v>
      </c>
      <c r="AD13">
        <f>IF(INDEX(Keys!$F:$F,MATCH($A13,Keys!$D:$D,0))="Y",0,IF($B28=1,IF(INDEX(Keys!$E:$E,MATCH($A13,Keys!$D:$D,0))="Y",1,0),1))</f>
        <v>1</v>
      </c>
      <c r="AE13">
        <f>IF(INDEX(Keys!$F:$F,MATCH($A13,Keys!$D:$D,0))="Y",0,IF($B28=1,IF(INDEX(Keys!$E:$E,MATCH($A13,Keys!$D:$D,0))="Y",1,0),1))</f>
        <v>1</v>
      </c>
    </row>
    <row r="14" spans="1:31" x14ac:dyDescent="0.45">
      <c r="A14" t="str">
        <f>Keys!$D14</f>
        <v>cement and other nonmetallic minerals 239</v>
      </c>
      <c r="B14">
        <f>IF(INDEX(Keys!$F:$F,MATCH($A14,Keys!$D:$D,0))="Y",0,IF($B28=1,IF(INDEX(Keys!$E:$E,MATCH($A14,Keys!$D:$D,0))="Y",1,0),1))</f>
        <v>1</v>
      </c>
      <c r="C14">
        <f>IF(INDEX(Keys!$F:$F,MATCH($A14,Keys!$D:$D,0))="Y",0,IF($B28=1,IF(INDEX(Keys!$E:$E,MATCH($A14,Keys!$D:$D,0))="Y",1,0),1))</f>
        <v>1</v>
      </c>
      <c r="D14">
        <f>IF(INDEX(Keys!$F:$F,MATCH($A14,Keys!$D:$D,0))="Y",0,IF($B28=1,IF(INDEX(Keys!$E:$E,MATCH($A14,Keys!$D:$D,0))="Y",1,0),1))</f>
        <v>1</v>
      </c>
      <c r="E14">
        <f>IF(INDEX(Keys!$F:$F,MATCH($A14,Keys!$D:$D,0))="Y",0,IF($B28=1,IF(INDEX(Keys!$E:$E,MATCH($A14,Keys!$D:$D,0))="Y",1,0),1))</f>
        <v>1</v>
      </c>
      <c r="F14">
        <f>IF(INDEX(Keys!$F:$F,MATCH($A14,Keys!$D:$D,0))="Y",0,IF($B28=1,IF(INDEX(Keys!$E:$E,MATCH($A14,Keys!$D:$D,0))="Y",1,0),1))</f>
        <v>1</v>
      </c>
      <c r="G14">
        <f>IF(INDEX(Keys!$F:$F,MATCH($A14,Keys!$D:$D,0))="Y",0,IF($B28=1,IF(INDEX(Keys!$E:$E,MATCH($A14,Keys!$D:$D,0))="Y",1,0),1))</f>
        <v>1</v>
      </c>
      <c r="H14">
        <f>IF(INDEX(Keys!$F:$F,MATCH($A14,Keys!$D:$D,0))="Y",0,IF($B28=1,IF(INDEX(Keys!$E:$E,MATCH($A14,Keys!$D:$D,0))="Y",1,0),1))</f>
        <v>1</v>
      </c>
      <c r="I14">
        <f>IF(INDEX(Keys!$F:$F,MATCH($A14,Keys!$D:$D,0))="Y",0,IF($B28=1,IF(INDEX(Keys!$E:$E,MATCH($A14,Keys!$D:$D,0))="Y",1,0),1))</f>
        <v>1</v>
      </c>
      <c r="J14">
        <f>IF(INDEX(Keys!$F:$F,MATCH($A14,Keys!$D:$D,0))="Y",0,IF($B28=1,IF(INDEX(Keys!$E:$E,MATCH($A14,Keys!$D:$D,0))="Y",1,0),1))</f>
        <v>1</v>
      </c>
      <c r="K14">
        <f>IF(INDEX(Keys!$F:$F,MATCH($A14,Keys!$D:$D,0))="Y",0,IF($B28=1,IF(INDEX(Keys!$E:$E,MATCH($A14,Keys!$D:$D,0))="Y",1,0),1))</f>
        <v>1</v>
      </c>
      <c r="L14">
        <f>IF(INDEX(Keys!$F:$F,MATCH($A14,Keys!$D:$D,0))="Y",0,IF($B28=1,IF(INDEX(Keys!$E:$E,MATCH($A14,Keys!$D:$D,0))="Y",1,0),1))</f>
        <v>1</v>
      </c>
      <c r="M14">
        <f>IF(INDEX(Keys!$F:$F,MATCH($A14,Keys!$D:$D,0))="Y",0,IF($B28=1,IF(INDEX(Keys!$E:$E,MATCH($A14,Keys!$D:$D,0))="Y",1,0),1))</f>
        <v>1</v>
      </c>
      <c r="N14">
        <f>IF(INDEX(Keys!$F:$F,MATCH($A14,Keys!$D:$D,0))="Y",0,IF($B28=1,IF(INDEX(Keys!$E:$E,MATCH($A14,Keys!$D:$D,0))="Y",1,0),1))</f>
        <v>1</v>
      </c>
      <c r="O14">
        <f>IF(INDEX(Keys!$F:$F,MATCH($A14,Keys!$D:$D,0))="Y",0,IF($B28=1,IF(INDEX(Keys!$E:$E,MATCH($A14,Keys!$D:$D,0))="Y",1,0),1))</f>
        <v>1</v>
      </c>
      <c r="P14">
        <f>IF(INDEX(Keys!$F:$F,MATCH($A14,Keys!$D:$D,0))="Y",0,IF($B28=1,IF(INDEX(Keys!$E:$E,MATCH($A14,Keys!$D:$D,0))="Y",1,0),1))</f>
        <v>1</v>
      </c>
      <c r="Q14">
        <f>IF(INDEX(Keys!$F:$F,MATCH($A14,Keys!$D:$D,0))="Y",0,IF($B28=1,IF(INDEX(Keys!$E:$E,MATCH($A14,Keys!$D:$D,0))="Y",1,0),1))</f>
        <v>1</v>
      </c>
      <c r="R14">
        <f>IF(INDEX(Keys!$F:$F,MATCH($A14,Keys!$D:$D,0))="Y",0,IF($B28=1,IF(INDEX(Keys!$E:$E,MATCH($A14,Keys!$D:$D,0))="Y",1,0),1))</f>
        <v>1</v>
      </c>
      <c r="S14">
        <f>IF(INDEX(Keys!$F:$F,MATCH($A14,Keys!$D:$D,0))="Y",0,IF($B28=1,IF(INDEX(Keys!$E:$E,MATCH($A14,Keys!$D:$D,0))="Y",1,0),1))</f>
        <v>1</v>
      </c>
      <c r="T14">
        <f>IF(INDEX(Keys!$F:$F,MATCH($A14,Keys!$D:$D,0))="Y",0,IF($B28=1,IF(INDEX(Keys!$E:$E,MATCH($A14,Keys!$D:$D,0))="Y",1,0),1))</f>
        <v>1</v>
      </c>
      <c r="U14">
        <f>IF(INDEX(Keys!$F:$F,MATCH($A14,Keys!$D:$D,0))="Y",0,IF($B28=1,IF(INDEX(Keys!$E:$E,MATCH($A14,Keys!$D:$D,0))="Y",1,0),1))</f>
        <v>1</v>
      </c>
      <c r="V14">
        <f>IF(INDEX(Keys!$F:$F,MATCH($A14,Keys!$D:$D,0))="Y",0,IF($B28=1,IF(INDEX(Keys!$E:$E,MATCH($A14,Keys!$D:$D,0))="Y",1,0),1))</f>
        <v>1</v>
      </c>
      <c r="W14">
        <f>IF(INDEX(Keys!$F:$F,MATCH($A14,Keys!$D:$D,0))="Y",0,IF($B28=1,IF(INDEX(Keys!$E:$E,MATCH($A14,Keys!$D:$D,0))="Y",1,0),1))</f>
        <v>1</v>
      </c>
      <c r="X14">
        <f>IF(INDEX(Keys!$F:$F,MATCH($A14,Keys!$D:$D,0))="Y",0,IF($B28=1,IF(INDEX(Keys!$E:$E,MATCH($A14,Keys!$D:$D,0))="Y",1,0),1))</f>
        <v>1</v>
      </c>
      <c r="Y14">
        <f>IF(INDEX(Keys!$F:$F,MATCH($A14,Keys!$D:$D,0))="Y",0,IF($B28=1,IF(INDEX(Keys!$E:$E,MATCH($A14,Keys!$D:$D,0))="Y",1,0),1))</f>
        <v>1</v>
      </c>
      <c r="Z14">
        <f>IF(INDEX(Keys!$F:$F,MATCH($A14,Keys!$D:$D,0))="Y",0,IF($B28=1,IF(INDEX(Keys!$E:$E,MATCH($A14,Keys!$D:$D,0))="Y",1,0),1))</f>
        <v>1</v>
      </c>
      <c r="AA14">
        <f>IF(INDEX(Keys!$F:$F,MATCH($A14,Keys!$D:$D,0))="Y",0,IF($B28=1,IF(INDEX(Keys!$E:$E,MATCH($A14,Keys!$D:$D,0))="Y",1,0),1))</f>
        <v>1</v>
      </c>
      <c r="AB14">
        <f>IF(INDEX(Keys!$F:$F,MATCH($A14,Keys!$D:$D,0))="Y",0,IF($B28=1,IF(INDEX(Keys!$E:$E,MATCH($A14,Keys!$D:$D,0))="Y",1,0),1))</f>
        <v>1</v>
      </c>
      <c r="AC14">
        <f>IF(INDEX(Keys!$F:$F,MATCH($A14,Keys!$D:$D,0))="Y",0,IF($B28=1,IF(INDEX(Keys!$E:$E,MATCH($A14,Keys!$D:$D,0))="Y",1,0),1))</f>
        <v>1</v>
      </c>
      <c r="AD14">
        <f>IF(INDEX(Keys!$F:$F,MATCH($A14,Keys!$D:$D,0))="Y",0,IF($B28=1,IF(INDEX(Keys!$E:$E,MATCH($A14,Keys!$D:$D,0))="Y",1,0),1))</f>
        <v>1</v>
      </c>
      <c r="AE14">
        <f>IF(INDEX(Keys!$F:$F,MATCH($A14,Keys!$D:$D,0))="Y",0,IF($B28=1,IF(INDEX(Keys!$E:$E,MATCH($A14,Keys!$D:$D,0))="Y",1,0),1))</f>
        <v>1</v>
      </c>
    </row>
    <row r="15" spans="1:31" x14ac:dyDescent="0.45">
      <c r="A15" t="str">
        <f>Keys!$D15</f>
        <v>iron and steel 241</v>
      </c>
      <c r="B15">
        <f>IF(INDEX(Keys!$F:$F,MATCH($A15,Keys!$D:$D,0))="Y",0,IF($B28=1,IF(INDEX(Keys!$E:$E,MATCH($A15,Keys!$D:$D,0))="Y",1,0),1))</f>
        <v>1</v>
      </c>
      <c r="C15">
        <f>IF(INDEX(Keys!$F:$F,MATCH($A15,Keys!$D:$D,0))="Y",0,IF($B28=1,IF(INDEX(Keys!$E:$E,MATCH($A15,Keys!$D:$D,0))="Y",1,0),1))</f>
        <v>1</v>
      </c>
      <c r="D15">
        <f>IF(INDEX(Keys!$F:$F,MATCH($A15,Keys!$D:$D,0))="Y",0,IF($B28=1,IF(INDEX(Keys!$E:$E,MATCH($A15,Keys!$D:$D,0))="Y",1,0),1))</f>
        <v>1</v>
      </c>
      <c r="E15">
        <f>IF(INDEX(Keys!$F:$F,MATCH($A15,Keys!$D:$D,0))="Y",0,IF($B28=1,IF(INDEX(Keys!$E:$E,MATCH($A15,Keys!$D:$D,0))="Y",1,0),1))</f>
        <v>1</v>
      </c>
      <c r="F15">
        <f>IF(INDEX(Keys!$F:$F,MATCH($A15,Keys!$D:$D,0))="Y",0,IF($B28=1,IF(INDEX(Keys!$E:$E,MATCH($A15,Keys!$D:$D,0))="Y",1,0),1))</f>
        <v>1</v>
      </c>
      <c r="G15">
        <f>IF(INDEX(Keys!$F:$F,MATCH($A15,Keys!$D:$D,0))="Y",0,IF($B28=1,IF(INDEX(Keys!$E:$E,MATCH($A15,Keys!$D:$D,0))="Y",1,0),1))</f>
        <v>1</v>
      </c>
      <c r="H15">
        <f>IF(INDEX(Keys!$F:$F,MATCH($A15,Keys!$D:$D,0))="Y",0,IF($B28=1,IF(INDEX(Keys!$E:$E,MATCH($A15,Keys!$D:$D,0))="Y",1,0),1))</f>
        <v>1</v>
      </c>
      <c r="I15">
        <f>IF(INDEX(Keys!$F:$F,MATCH($A15,Keys!$D:$D,0))="Y",0,IF($B28=1,IF(INDEX(Keys!$E:$E,MATCH($A15,Keys!$D:$D,0))="Y",1,0),1))</f>
        <v>1</v>
      </c>
      <c r="J15">
        <f>IF(INDEX(Keys!$F:$F,MATCH($A15,Keys!$D:$D,0))="Y",0,IF($B28=1,IF(INDEX(Keys!$E:$E,MATCH($A15,Keys!$D:$D,0))="Y",1,0),1))</f>
        <v>1</v>
      </c>
      <c r="K15">
        <f>IF(INDEX(Keys!$F:$F,MATCH($A15,Keys!$D:$D,0))="Y",0,IF($B28=1,IF(INDEX(Keys!$E:$E,MATCH($A15,Keys!$D:$D,0))="Y",1,0),1))</f>
        <v>1</v>
      </c>
      <c r="L15">
        <f>IF(INDEX(Keys!$F:$F,MATCH($A15,Keys!$D:$D,0))="Y",0,IF($B28=1,IF(INDEX(Keys!$E:$E,MATCH($A15,Keys!$D:$D,0))="Y",1,0),1))</f>
        <v>1</v>
      </c>
      <c r="M15">
        <f>IF(INDEX(Keys!$F:$F,MATCH($A15,Keys!$D:$D,0))="Y",0,IF($B28=1,IF(INDEX(Keys!$E:$E,MATCH($A15,Keys!$D:$D,0))="Y",1,0),1))</f>
        <v>1</v>
      </c>
      <c r="N15">
        <f>IF(INDEX(Keys!$F:$F,MATCH($A15,Keys!$D:$D,0))="Y",0,IF($B28=1,IF(INDEX(Keys!$E:$E,MATCH($A15,Keys!$D:$D,0))="Y",1,0),1))</f>
        <v>1</v>
      </c>
      <c r="O15">
        <f>IF(INDEX(Keys!$F:$F,MATCH($A15,Keys!$D:$D,0))="Y",0,IF($B28=1,IF(INDEX(Keys!$E:$E,MATCH($A15,Keys!$D:$D,0))="Y",1,0),1))</f>
        <v>1</v>
      </c>
      <c r="P15">
        <f>IF(INDEX(Keys!$F:$F,MATCH($A15,Keys!$D:$D,0))="Y",0,IF($B28=1,IF(INDEX(Keys!$E:$E,MATCH($A15,Keys!$D:$D,0))="Y",1,0),1))</f>
        <v>1</v>
      </c>
      <c r="Q15">
        <f>IF(INDEX(Keys!$F:$F,MATCH($A15,Keys!$D:$D,0))="Y",0,IF($B28=1,IF(INDEX(Keys!$E:$E,MATCH($A15,Keys!$D:$D,0))="Y",1,0),1))</f>
        <v>1</v>
      </c>
      <c r="R15">
        <f>IF(INDEX(Keys!$F:$F,MATCH($A15,Keys!$D:$D,0))="Y",0,IF($B28=1,IF(INDEX(Keys!$E:$E,MATCH($A15,Keys!$D:$D,0))="Y",1,0),1))</f>
        <v>1</v>
      </c>
      <c r="S15">
        <f>IF(INDEX(Keys!$F:$F,MATCH($A15,Keys!$D:$D,0))="Y",0,IF($B28=1,IF(INDEX(Keys!$E:$E,MATCH($A15,Keys!$D:$D,0))="Y",1,0),1))</f>
        <v>1</v>
      </c>
      <c r="T15">
        <f>IF(INDEX(Keys!$F:$F,MATCH($A15,Keys!$D:$D,0))="Y",0,IF($B28=1,IF(INDEX(Keys!$E:$E,MATCH($A15,Keys!$D:$D,0))="Y",1,0),1))</f>
        <v>1</v>
      </c>
      <c r="U15">
        <f>IF(INDEX(Keys!$F:$F,MATCH($A15,Keys!$D:$D,0))="Y",0,IF($B28=1,IF(INDEX(Keys!$E:$E,MATCH($A15,Keys!$D:$D,0))="Y",1,0),1))</f>
        <v>1</v>
      </c>
      <c r="V15">
        <f>IF(INDEX(Keys!$F:$F,MATCH($A15,Keys!$D:$D,0))="Y",0,IF($B28=1,IF(INDEX(Keys!$E:$E,MATCH($A15,Keys!$D:$D,0))="Y",1,0),1))</f>
        <v>1</v>
      </c>
      <c r="W15">
        <f>IF(INDEX(Keys!$F:$F,MATCH($A15,Keys!$D:$D,0))="Y",0,IF($B28=1,IF(INDEX(Keys!$E:$E,MATCH($A15,Keys!$D:$D,0))="Y",1,0),1))</f>
        <v>1</v>
      </c>
      <c r="X15">
        <f>IF(INDEX(Keys!$F:$F,MATCH($A15,Keys!$D:$D,0))="Y",0,IF($B28=1,IF(INDEX(Keys!$E:$E,MATCH($A15,Keys!$D:$D,0))="Y",1,0),1))</f>
        <v>1</v>
      </c>
      <c r="Y15">
        <f>IF(INDEX(Keys!$F:$F,MATCH($A15,Keys!$D:$D,0))="Y",0,IF($B28=1,IF(INDEX(Keys!$E:$E,MATCH($A15,Keys!$D:$D,0))="Y",1,0),1))</f>
        <v>1</v>
      </c>
      <c r="Z15">
        <f>IF(INDEX(Keys!$F:$F,MATCH($A15,Keys!$D:$D,0))="Y",0,IF($B28=1,IF(INDEX(Keys!$E:$E,MATCH($A15,Keys!$D:$D,0))="Y",1,0),1))</f>
        <v>1</v>
      </c>
      <c r="AA15">
        <f>IF(INDEX(Keys!$F:$F,MATCH($A15,Keys!$D:$D,0))="Y",0,IF($B28=1,IF(INDEX(Keys!$E:$E,MATCH($A15,Keys!$D:$D,0))="Y",1,0),1))</f>
        <v>1</v>
      </c>
      <c r="AB15">
        <f>IF(INDEX(Keys!$F:$F,MATCH($A15,Keys!$D:$D,0))="Y",0,IF($B28=1,IF(INDEX(Keys!$E:$E,MATCH($A15,Keys!$D:$D,0))="Y",1,0),1))</f>
        <v>1</v>
      </c>
      <c r="AC15">
        <f>IF(INDEX(Keys!$F:$F,MATCH($A15,Keys!$D:$D,0))="Y",0,IF($B28=1,IF(INDEX(Keys!$E:$E,MATCH($A15,Keys!$D:$D,0))="Y",1,0),1))</f>
        <v>1</v>
      </c>
      <c r="AD15">
        <f>IF(INDEX(Keys!$F:$F,MATCH($A15,Keys!$D:$D,0))="Y",0,IF($B28=1,IF(INDEX(Keys!$E:$E,MATCH($A15,Keys!$D:$D,0))="Y",1,0),1))</f>
        <v>1</v>
      </c>
      <c r="AE15">
        <f>IF(INDEX(Keys!$F:$F,MATCH($A15,Keys!$D:$D,0))="Y",0,IF($B28=1,IF(INDEX(Keys!$E:$E,MATCH($A15,Keys!$D:$D,0))="Y",1,0),1))</f>
        <v>1</v>
      </c>
    </row>
    <row r="16" spans="1:31" x14ac:dyDescent="0.45">
      <c r="A16" t="str">
        <f>Keys!$D16</f>
        <v>other metals 242</v>
      </c>
      <c r="B16">
        <f>IF(INDEX(Keys!$F:$F,MATCH($A16,Keys!$D:$D,0))="Y",0,IF($B28=1,IF(INDEX(Keys!$E:$E,MATCH($A16,Keys!$D:$D,0))="Y",1,0),1))</f>
        <v>1</v>
      </c>
      <c r="C16">
        <f>IF(INDEX(Keys!$F:$F,MATCH($A16,Keys!$D:$D,0))="Y",0,IF($B28=1,IF(INDEX(Keys!$E:$E,MATCH($A16,Keys!$D:$D,0))="Y",1,0),1))</f>
        <v>1</v>
      </c>
      <c r="D16">
        <f>IF(INDEX(Keys!$F:$F,MATCH($A16,Keys!$D:$D,0))="Y",0,IF($B28=1,IF(INDEX(Keys!$E:$E,MATCH($A16,Keys!$D:$D,0))="Y",1,0),1))</f>
        <v>1</v>
      </c>
      <c r="E16">
        <f>IF(INDEX(Keys!$F:$F,MATCH($A16,Keys!$D:$D,0))="Y",0,IF($B28=1,IF(INDEX(Keys!$E:$E,MATCH($A16,Keys!$D:$D,0))="Y",1,0),1))</f>
        <v>1</v>
      </c>
      <c r="F16">
        <f>IF(INDEX(Keys!$F:$F,MATCH($A16,Keys!$D:$D,0))="Y",0,IF($B28=1,IF(INDEX(Keys!$E:$E,MATCH($A16,Keys!$D:$D,0))="Y",1,0),1))</f>
        <v>1</v>
      </c>
      <c r="G16">
        <f>IF(INDEX(Keys!$F:$F,MATCH($A16,Keys!$D:$D,0))="Y",0,IF($B28=1,IF(INDEX(Keys!$E:$E,MATCH($A16,Keys!$D:$D,0))="Y",1,0),1))</f>
        <v>1</v>
      </c>
      <c r="H16">
        <f>IF(INDEX(Keys!$F:$F,MATCH($A16,Keys!$D:$D,0))="Y",0,IF($B28=1,IF(INDEX(Keys!$E:$E,MATCH($A16,Keys!$D:$D,0))="Y",1,0),1))</f>
        <v>1</v>
      </c>
      <c r="I16">
        <f>IF(INDEX(Keys!$F:$F,MATCH($A16,Keys!$D:$D,0))="Y",0,IF($B28=1,IF(INDEX(Keys!$E:$E,MATCH($A16,Keys!$D:$D,0))="Y",1,0),1))</f>
        <v>1</v>
      </c>
      <c r="J16">
        <f>IF(INDEX(Keys!$F:$F,MATCH($A16,Keys!$D:$D,0))="Y",0,IF($B28=1,IF(INDEX(Keys!$E:$E,MATCH($A16,Keys!$D:$D,0))="Y",1,0),1))</f>
        <v>1</v>
      </c>
      <c r="K16">
        <f>IF(INDEX(Keys!$F:$F,MATCH($A16,Keys!$D:$D,0))="Y",0,IF($B28=1,IF(INDEX(Keys!$E:$E,MATCH($A16,Keys!$D:$D,0))="Y",1,0),1))</f>
        <v>1</v>
      </c>
      <c r="L16">
        <f>IF(INDEX(Keys!$F:$F,MATCH($A16,Keys!$D:$D,0))="Y",0,IF($B28=1,IF(INDEX(Keys!$E:$E,MATCH($A16,Keys!$D:$D,0))="Y",1,0),1))</f>
        <v>1</v>
      </c>
      <c r="M16">
        <f>IF(INDEX(Keys!$F:$F,MATCH($A16,Keys!$D:$D,0))="Y",0,IF($B28=1,IF(INDEX(Keys!$E:$E,MATCH($A16,Keys!$D:$D,0))="Y",1,0),1))</f>
        <v>1</v>
      </c>
      <c r="N16">
        <f>IF(INDEX(Keys!$F:$F,MATCH($A16,Keys!$D:$D,0))="Y",0,IF($B28=1,IF(INDEX(Keys!$E:$E,MATCH($A16,Keys!$D:$D,0))="Y",1,0),1))</f>
        <v>1</v>
      </c>
      <c r="O16">
        <f>IF(INDEX(Keys!$F:$F,MATCH($A16,Keys!$D:$D,0))="Y",0,IF($B28=1,IF(INDEX(Keys!$E:$E,MATCH($A16,Keys!$D:$D,0))="Y",1,0),1))</f>
        <v>1</v>
      </c>
      <c r="P16">
        <f>IF(INDEX(Keys!$F:$F,MATCH($A16,Keys!$D:$D,0))="Y",0,IF($B28=1,IF(INDEX(Keys!$E:$E,MATCH($A16,Keys!$D:$D,0))="Y",1,0),1))</f>
        <v>1</v>
      </c>
      <c r="Q16">
        <f>IF(INDEX(Keys!$F:$F,MATCH($A16,Keys!$D:$D,0))="Y",0,IF($B28=1,IF(INDEX(Keys!$E:$E,MATCH($A16,Keys!$D:$D,0))="Y",1,0),1))</f>
        <v>1</v>
      </c>
      <c r="R16">
        <f>IF(INDEX(Keys!$F:$F,MATCH($A16,Keys!$D:$D,0))="Y",0,IF($B28=1,IF(INDEX(Keys!$E:$E,MATCH($A16,Keys!$D:$D,0))="Y",1,0),1))</f>
        <v>1</v>
      </c>
      <c r="S16">
        <f>IF(INDEX(Keys!$F:$F,MATCH($A16,Keys!$D:$D,0))="Y",0,IF($B28=1,IF(INDEX(Keys!$E:$E,MATCH($A16,Keys!$D:$D,0))="Y",1,0),1))</f>
        <v>1</v>
      </c>
      <c r="T16">
        <f>IF(INDEX(Keys!$F:$F,MATCH($A16,Keys!$D:$D,0))="Y",0,IF($B28=1,IF(INDEX(Keys!$E:$E,MATCH($A16,Keys!$D:$D,0))="Y",1,0),1))</f>
        <v>1</v>
      </c>
      <c r="U16">
        <f>IF(INDEX(Keys!$F:$F,MATCH($A16,Keys!$D:$D,0))="Y",0,IF($B28=1,IF(INDEX(Keys!$E:$E,MATCH($A16,Keys!$D:$D,0))="Y",1,0),1))</f>
        <v>1</v>
      </c>
      <c r="V16">
        <f>IF(INDEX(Keys!$F:$F,MATCH($A16,Keys!$D:$D,0))="Y",0,IF($B28=1,IF(INDEX(Keys!$E:$E,MATCH($A16,Keys!$D:$D,0))="Y",1,0),1))</f>
        <v>1</v>
      </c>
      <c r="W16">
        <f>IF(INDEX(Keys!$F:$F,MATCH($A16,Keys!$D:$D,0))="Y",0,IF($B28=1,IF(INDEX(Keys!$E:$E,MATCH($A16,Keys!$D:$D,0))="Y",1,0),1))</f>
        <v>1</v>
      </c>
      <c r="X16">
        <f>IF(INDEX(Keys!$F:$F,MATCH($A16,Keys!$D:$D,0))="Y",0,IF($B28=1,IF(INDEX(Keys!$E:$E,MATCH($A16,Keys!$D:$D,0))="Y",1,0),1))</f>
        <v>1</v>
      </c>
      <c r="Y16">
        <f>IF(INDEX(Keys!$F:$F,MATCH($A16,Keys!$D:$D,0))="Y",0,IF($B28=1,IF(INDEX(Keys!$E:$E,MATCH($A16,Keys!$D:$D,0))="Y",1,0),1))</f>
        <v>1</v>
      </c>
      <c r="Z16">
        <f>IF(INDEX(Keys!$F:$F,MATCH($A16,Keys!$D:$D,0))="Y",0,IF($B28=1,IF(INDEX(Keys!$E:$E,MATCH($A16,Keys!$D:$D,0))="Y",1,0),1))</f>
        <v>1</v>
      </c>
      <c r="AA16">
        <f>IF(INDEX(Keys!$F:$F,MATCH($A16,Keys!$D:$D,0))="Y",0,IF($B28=1,IF(INDEX(Keys!$E:$E,MATCH($A16,Keys!$D:$D,0))="Y",1,0),1))</f>
        <v>1</v>
      </c>
      <c r="AB16">
        <f>IF(INDEX(Keys!$F:$F,MATCH($A16,Keys!$D:$D,0))="Y",0,IF($B28=1,IF(INDEX(Keys!$E:$E,MATCH($A16,Keys!$D:$D,0))="Y",1,0),1))</f>
        <v>1</v>
      </c>
      <c r="AC16">
        <f>IF(INDEX(Keys!$F:$F,MATCH($A16,Keys!$D:$D,0))="Y",0,IF($B28=1,IF(INDEX(Keys!$E:$E,MATCH($A16,Keys!$D:$D,0))="Y",1,0),1))</f>
        <v>1</v>
      </c>
      <c r="AD16">
        <f>IF(INDEX(Keys!$F:$F,MATCH($A16,Keys!$D:$D,0))="Y",0,IF($B28=1,IF(INDEX(Keys!$E:$E,MATCH($A16,Keys!$D:$D,0))="Y",1,0),1))</f>
        <v>1</v>
      </c>
      <c r="AE16">
        <f>IF(INDEX(Keys!$F:$F,MATCH($A16,Keys!$D:$D,0))="Y",0,IF($B28=1,IF(INDEX(Keys!$E:$E,MATCH($A16,Keys!$D:$D,0))="Y",1,0),1))</f>
        <v>1</v>
      </c>
    </row>
    <row r="17" spans="1:31" x14ac:dyDescent="0.45">
      <c r="A17" t="str">
        <f>Keys!$D17</f>
        <v>metal products except machinery and vehicles 25</v>
      </c>
      <c r="B17">
        <f>IF(INDEX(Keys!$F:$F,MATCH($A17,Keys!$D:$D,0))="Y",0,IF($B28=1,IF(INDEX(Keys!$E:$E,MATCH($A17,Keys!$D:$D,0))="Y",1,0),1))</f>
        <v>1</v>
      </c>
      <c r="C17">
        <f>IF(INDEX(Keys!$F:$F,MATCH($A17,Keys!$D:$D,0))="Y",0,IF($B28=1,IF(INDEX(Keys!$E:$E,MATCH($A17,Keys!$D:$D,0))="Y",1,0),1))</f>
        <v>1</v>
      </c>
      <c r="D17">
        <f>IF(INDEX(Keys!$F:$F,MATCH($A17,Keys!$D:$D,0))="Y",0,IF($B28=1,IF(INDEX(Keys!$E:$E,MATCH($A17,Keys!$D:$D,0))="Y",1,0),1))</f>
        <v>1</v>
      </c>
      <c r="E17">
        <f>IF(INDEX(Keys!$F:$F,MATCH($A17,Keys!$D:$D,0))="Y",0,IF($B28=1,IF(INDEX(Keys!$E:$E,MATCH($A17,Keys!$D:$D,0))="Y",1,0),1))</f>
        <v>1</v>
      </c>
      <c r="F17">
        <f>IF(INDEX(Keys!$F:$F,MATCH($A17,Keys!$D:$D,0))="Y",0,IF($B28=1,IF(INDEX(Keys!$E:$E,MATCH($A17,Keys!$D:$D,0))="Y",1,0),1))</f>
        <v>1</v>
      </c>
      <c r="G17">
        <f>IF(INDEX(Keys!$F:$F,MATCH($A17,Keys!$D:$D,0))="Y",0,IF($B28=1,IF(INDEX(Keys!$E:$E,MATCH($A17,Keys!$D:$D,0))="Y",1,0),1))</f>
        <v>1</v>
      </c>
      <c r="H17">
        <f>IF(INDEX(Keys!$F:$F,MATCH($A17,Keys!$D:$D,0))="Y",0,IF($B28=1,IF(INDEX(Keys!$E:$E,MATCH($A17,Keys!$D:$D,0))="Y",1,0),1))</f>
        <v>1</v>
      </c>
      <c r="I17">
        <f>IF(INDEX(Keys!$F:$F,MATCH($A17,Keys!$D:$D,0))="Y",0,IF($B28=1,IF(INDEX(Keys!$E:$E,MATCH($A17,Keys!$D:$D,0))="Y",1,0),1))</f>
        <v>1</v>
      </c>
      <c r="J17">
        <f>IF(INDEX(Keys!$F:$F,MATCH($A17,Keys!$D:$D,0))="Y",0,IF($B28=1,IF(INDEX(Keys!$E:$E,MATCH($A17,Keys!$D:$D,0))="Y",1,0),1))</f>
        <v>1</v>
      </c>
      <c r="K17">
        <f>IF(INDEX(Keys!$F:$F,MATCH($A17,Keys!$D:$D,0))="Y",0,IF($B28=1,IF(INDEX(Keys!$E:$E,MATCH($A17,Keys!$D:$D,0))="Y",1,0),1))</f>
        <v>1</v>
      </c>
      <c r="L17">
        <f>IF(INDEX(Keys!$F:$F,MATCH($A17,Keys!$D:$D,0))="Y",0,IF($B28=1,IF(INDEX(Keys!$E:$E,MATCH($A17,Keys!$D:$D,0))="Y",1,0),1))</f>
        <v>1</v>
      </c>
      <c r="M17">
        <f>IF(INDEX(Keys!$F:$F,MATCH($A17,Keys!$D:$D,0))="Y",0,IF($B28=1,IF(INDEX(Keys!$E:$E,MATCH($A17,Keys!$D:$D,0))="Y",1,0),1))</f>
        <v>1</v>
      </c>
      <c r="N17">
        <f>IF(INDEX(Keys!$F:$F,MATCH($A17,Keys!$D:$D,0))="Y",0,IF($B28=1,IF(INDEX(Keys!$E:$E,MATCH($A17,Keys!$D:$D,0))="Y",1,0),1))</f>
        <v>1</v>
      </c>
      <c r="O17">
        <f>IF(INDEX(Keys!$F:$F,MATCH($A17,Keys!$D:$D,0))="Y",0,IF($B28=1,IF(INDEX(Keys!$E:$E,MATCH($A17,Keys!$D:$D,0))="Y",1,0),1))</f>
        <v>1</v>
      </c>
      <c r="P17">
        <f>IF(INDEX(Keys!$F:$F,MATCH($A17,Keys!$D:$D,0))="Y",0,IF($B28=1,IF(INDEX(Keys!$E:$E,MATCH($A17,Keys!$D:$D,0))="Y",1,0),1))</f>
        <v>1</v>
      </c>
      <c r="Q17">
        <f>IF(INDEX(Keys!$F:$F,MATCH($A17,Keys!$D:$D,0))="Y",0,IF($B28=1,IF(INDEX(Keys!$E:$E,MATCH($A17,Keys!$D:$D,0))="Y",1,0),1))</f>
        <v>1</v>
      </c>
      <c r="R17">
        <f>IF(INDEX(Keys!$F:$F,MATCH($A17,Keys!$D:$D,0))="Y",0,IF($B28=1,IF(INDEX(Keys!$E:$E,MATCH($A17,Keys!$D:$D,0))="Y",1,0),1))</f>
        <v>1</v>
      </c>
      <c r="S17">
        <f>IF(INDEX(Keys!$F:$F,MATCH($A17,Keys!$D:$D,0))="Y",0,IF($B28=1,IF(INDEX(Keys!$E:$E,MATCH($A17,Keys!$D:$D,0))="Y",1,0),1))</f>
        <v>1</v>
      </c>
      <c r="T17">
        <f>IF(INDEX(Keys!$F:$F,MATCH($A17,Keys!$D:$D,0))="Y",0,IF($B28=1,IF(INDEX(Keys!$E:$E,MATCH($A17,Keys!$D:$D,0))="Y",1,0),1))</f>
        <v>1</v>
      </c>
      <c r="U17">
        <f>IF(INDEX(Keys!$F:$F,MATCH($A17,Keys!$D:$D,0))="Y",0,IF($B28=1,IF(INDEX(Keys!$E:$E,MATCH($A17,Keys!$D:$D,0))="Y",1,0),1))</f>
        <v>1</v>
      </c>
      <c r="V17">
        <f>IF(INDEX(Keys!$F:$F,MATCH($A17,Keys!$D:$D,0))="Y",0,IF($B28=1,IF(INDEX(Keys!$E:$E,MATCH($A17,Keys!$D:$D,0))="Y",1,0),1))</f>
        <v>1</v>
      </c>
      <c r="W17">
        <f>IF(INDEX(Keys!$F:$F,MATCH($A17,Keys!$D:$D,0))="Y",0,IF($B28=1,IF(INDEX(Keys!$E:$E,MATCH($A17,Keys!$D:$D,0))="Y",1,0),1))</f>
        <v>1</v>
      </c>
      <c r="X17">
        <f>IF(INDEX(Keys!$F:$F,MATCH($A17,Keys!$D:$D,0))="Y",0,IF($B28=1,IF(INDEX(Keys!$E:$E,MATCH($A17,Keys!$D:$D,0))="Y",1,0),1))</f>
        <v>1</v>
      </c>
      <c r="Y17">
        <f>IF(INDEX(Keys!$F:$F,MATCH($A17,Keys!$D:$D,0))="Y",0,IF($B28=1,IF(INDEX(Keys!$E:$E,MATCH($A17,Keys!$D:$D,0))="Y",1,0),1))</f>
        <v>1</v>
      </c>
      <c r="Z17">
        <f>IF(INDEX(Keys!$F:$F,MATCH($A17,Keys!$D:$D,0))="Y",0,IF($B28=1,IF(INDEX(Keys!$E:$E,MATCH($A17,Keys!$D:$D,0))="Y",1,0),1))</f>
        <v>1</v>
      </c>
      <c r="AA17">
        <f>IF(INDEX(Keys!$F:$F,MATCH($A17,Keys!$D:$D,0))="Y",0,IF($B28=1,IF(INDEX(Keys!$E:$E,MATCH($A17,Keys!$D:$D,0))="Y",1,0),1))</f>
        <v>1</v>
      </c>
      <c r="AB17">
        <f>IF(INDEX(Keys!$F:$F,MATCH($A17,Keys!$D:$D,0))="Y",0,IF($B28=1,IF(INDEX(Keys!$E:$E,MATCH($A17,Keys!$D:$D,0))="Y",1,0),1))</f>
        <v>1</v>
      </c>
      <c r="AC17">
        <f>IF(INDEX(Keys!$F:$F,MATCH($A17,Keys!$D:$D,0))="Y",0,IF($B28=1,IF(INDEX(Keys!$E:$E,MATCH($A17,Keys!$D:$D,0))="Y",1,0),1))</f>
        <v>1</v>
      </c>
      <c r="AD17">
        <f>IF(INDEX(Keys!$F:$F,MATCH($A17,Keys!$D:$D,0))="Y",0,IF($B28=1,IF(INDEX(Keys!$E:$E,MATCH($A17,Keys!$D:$D,0))="Y",1,0),1))</f>
        <v>1</v>
      </c>
      <c r="AE17">
        <f>IF(INDEX(Keys!$F:$F,MATCH($A17,Keys!$D:$D,0))="Y",0,IF($B28=1,IF(INDEX(Keys!$E:$E,MATCH($A17,Keys!$D:$D,0))="Y",1,0),1))</f>
        <v>1</v>
      </c>
    </row>
    <row r="18" spans="1:31" x14ac:dyDescent="0.45">
      <c r="A18" t="str">
        <f>Keys!$D18</f>
        <v>computers and electronics 26</v>
      </c>
      <c r="B18">
        <f>IF(INDEX(Keys!$F:$F,MATCH($A18,Keys!$D:$D,0))="Y",0,IF($B28=1,IF(INDEX(Keys!$E:$E,MATCH($A18,Keys!$D:$D,0))="Y",1,0),1))</f>
        <v>1</v>
      </c>
      <c r="C18">
        <f>IF(INDEX(Keys!$F:$F,MATCH($A18,Keys!$D:$D,0))="Y",0,IF($B28=1,IF(INDEX(Keys!$E:$E,MATCH($A18,Keys!$D:$D,0))="Y",1,0),1))</f>
        <v>1</v>
      </c>
      <c r="D18">
        <f>IF(INDEX(Keys!$F:$F,MATCH($A18,Keys!$D:$D,0))="Y",0,IF($B28=1,IF(INDEX(Keys!$E:$E,MATCH($A18,Keys!$D:$D,0))="Y",1,0),1))</f>
        <v>1</v>
      </c>
      <c r="E18">
        <f>IF(INDEX(Keys!$F:$F,MATCH($A18,Keys!$D:$D,0))="Y",0,IF($B28=1,IF(INDEX(Keys!$E:$E,MATCH($A18,Keys!$D:$D,0))="Y",1,0),1))</f>
        <v>1</v>
      </c>
      <c r="F18">
        <f>IF(INDEX(Keys!$F:$F,MATCH($A18,Keys!$D:$D,0))="Y",0,IF($B28=1,IF(INDEX(Keys!$E:$E,MATCH($A18,Keys!$D:$D,0))="Y",1,0),1))</f>
        <v>1</v>
      </c>
      <c r="G18">
        <f>IF(INDEX(Keys!$F:$F,MATCH($A18,Keys!$D:$D,0))="Y",0,IF($B28=1,IF(INDEX(Keys!$E:$E,MATCH($A18,Keys!$D:$D,0))="Y",1,0),1))</f>
        <v>1</v>
      </c>
      <c r="H18">
        <f>IF(INDEX(Keys!$F:$F,MATCH($A18,Keys!$D:$D,0))="Y",0,IF($B28=1,IF(INDEX(Keys!$E:$E,MATCH($A18,Keys!$D:$D,0))="Y",1,0),1))</f>
        <v>1</v>
      </c>
      <c r="I18">
        <f>IF(INDEX(Keys!$F:$F,MATCH($A18,Keys!$D:$D,0))="Y",0,IF($B28=1,IF(INDEX(Keys!$E:$E,MATCH($A18,Keys!$D:$D,0))="Y",1,0),1))</f>
        <v>1</v>
      </c>
      <c r="J18">
        <f>IF(INDEX(Keys!$F:$F,MATCH($A18,Keys!$D:$D,0))="Y",0,IF($B28=1,IF(INDEX(Keys!$E:$E,MATCH($A18,Keys!$D:$D,0))="Y",1,0),1))</f>
        <v>1</v>
      </c>
      <c r="K18">
        <f>IF(INDEX(Keys!$F:$F,MATCH($A18,Keys!$D:$D,0))="Y",0,IF($B28=1,IF(INDEX(Keys!$E:$E,MATCH($A18,Keys!$D:$D,0))="Y",1,0),1))</f>
        <v>1</v>
      </c>
      <c r="L18">
        <f>IF(INDEX(Keys!$F:$F,MATCH($A18,Keys!$D:$D,0))="Y",0,IF($B28=1,IF(INDEX(Keys!$E:$E,MATCH($A18,Keys!$D:$D,0))="Y",1,0),1))</f>
        <v>1</v>
      </c>
      <c r="M18">
        <f>IF(INDEX(Keys!$F:$F,MATCH($A18,Keys!$D:$D,0))="Y",0,IF($B28=1,IF(INDEX(Keys!$E:$E,MATCH($A18,Keys!$D:$D,0))="Y",1,0),1))</f>
        <v>1</v>
      </c>
      <c r="N18">
        <f>IF(INDEX(Keys!$F:$F,MATCH($A18,Keys!$D:$D,0))="Y",0,IF($B28=1,IF(INDEX(Keys!$E:$E,MATCH($A18,Keys!$D:$D,0))="Y",1,0),1))</f>
        <v>1</v>
      </c>
      <c r="O18">
        <f>IF(INDEX(Keys!$F:$F,MATCH($A18,Keys!$D:$D,0))="Y",0,IF($B28=1,IF(INDEX(Keys!$E:$E,MATCH($A18,Keys!$D:$D,0))="Y",1,0),1))</f>
        <v>1</v>
      </c>
      <c r="P18">
        <f>IF(INDEX(Keys!$F:$F,MATCH($A18,Keys!$D:$D,0))="Y",0,IF($B28=1,IF(INDEX(Keys!$E:$E,MATCH($A18,Keys!$D:$D,0))="Y",1,0),1))</f>
        <v>1</v>
      </c>
      <c r="Q18">
        <f>IF(INDEX(Keys!$F:$F,MATCH($A18,Keys!$D:$D,0))="Y",0,IF($B28=1,IF(INDEX(Keys!$E:$E,MATCH($A18,Keys!$D:$D,0))="Y",1,0),1))</f>
        <v>1</v>
      </c>
      <c r="R18">
        <f>IF(INDEX(Keys!$F:$F,MATCH($A18,Keys!$D:$D,0))="Y",0,IF($B28=1,IF(INDEX(Keys!$E:$E,MATCH($A18,Keys!$D:$D,0))="Y",1,0),1))</f>
        <v>1</v>
      </c>
      <c r="S18">
        <f>IF(INDEX(Keys!$F:$F,MATCH($A18,Keys!$D:$D,0))="Y",0,IF($B28=1,IF(INDEX(Keys!$E:$E,MATCH($A18,Keys!$D:$D,0))="Y",1,0),1))</f>
        <v>1</v>
      </c>
      <c r="T18">
        <f>IF(INDEX(Keys!$F:$F,MATCH($A18,Keys!$D:$D,0))="Y",0,IF($B28=1,IF(INDEX(Keys!$E:$E,MATCH($A18,Keys!$D:$D,0))="Y",1,0),1))</f>
        <v>1</v>
      </c>
      <c r="U18">
        <f>IF(INDEX(Keys!$F:$F,MATCH($A18,Keys!$D:$D,0))="Y",0,IF($B28=1,IF(INDEX(Keys!$E:$E,MATCH($A18,Keys!$D:$D,0))="Y",1,0),1))</f>
        <v>1</v>
      </c>
      <c r="V18">
        <f>IF(INDEX(Keys!$F:$F,MATCH($A18,Keys!$D:$D,0))="Y",0,IF($B28=1,IF(INDEX(Keys!$E:$E,MATCH($A18,Keys!$D:$D,0))="Y",1,0),1))</f>
        <v>1</v>
      </c>
      <c r="W18">
        <f>IF(INDEX(Keys!$F:$F,MATCH($A18,Keys!$D:$D,0))="Y",0,IF($B28=1,IF(INDEX(Keys!$E:$E,MATCH($A18,Keys!$D:$D,0))="Y",1,0),1))</f>
        <v>1</v>
      </c>
      <c r="X18">
        <f>IF(INDEX(Keys!$F:$F,MATCH($A18,Keys!$D:$D,0))="Y",0,IF($B28=1,IF(INDEX(Keys!$E:$E,MATCH($A18,Keys!$D:$D,0))="Y",1,0),1))</f>
        <v>1</v>
      </c>
      <c r="Y18">
        <f>IF(INDEX(Keys!$F:$F,MATCH($A18,Keys!$D:$D,0))="Y",0,IF($B28=1,IF(INDEX(Keys!$E:$E,MATCH($A18,Keys!$D:$D,0))="Y",1,0),1))</f>
        <v>1</v>
      </c>
      <c r="Z18">
        <f>IF(INDEX(Keys!$F:$F,MATCH($A18,Keys!$D:$D,0))="Y",0,IF($B28=1,IF(INDEX(Keys!$E:$E,MATCH($A18,Keys!$D:$D,0))="Y",1,0),1))</f>
        <v>1</v>
      </c>
      <c r="AA18">
        <f>IF(INDEX(Keys!$F:$F,MATCH($A18,Keys!$D:$D,0))="Y",0,IF($B28=1,IF(INDEX(Keys!$E:$E,MATCH($A18,Keys!$D:$D,0))="Y",1,0),1))</f>
        <v>1</v>
      </c>
      <c r="AB18">
        <f>IF(INDEX(Keys!$F:$F,MATCH($A18,Keys!$D:$D,0))="Y",0,IF($B28=1,IF(INDEX(Keys!$E:$E,MATCH($A18,Keys!$D:$D,0))="Y",1,0),1))</f>
        <v>1</v>
      </c>
      <c r="AC18">
        <f>IF(INDEX(Keys!$F:$F,MATCH($A18,Keys!$D:$D,0))="Y",0,IF($B28=1,IF(INDEX(Keys!$E:$E,MATCH($A18,Keys!$D:$D,0))="Y",1,0),1))</f>
        <v>1</v>
      </c>
      <c r="AD18">
        <f>IF(INDEX(Keys!$F:$F,MATCH($A18,Keys!$D:$D,0))="Y",0,IF($B28=1,IF(INDEX(Keys!$E:$E,MATCH($A18,Keys!$D:$D,0))="Y",1,0),1))</f>
        <v>1</v>
      </c>
      <c r="AE18">
        <f>IF(INDEX(Keys!$F:$F,MATCH($A18,Keys!$D:$D,0))="Y",0,IF($B28=1,IF(INDEX(Keys!$E:$E,MATCH($A18,Keys!$D:$D,0))="Y",1,0),1))</f>
        <v>1</v>
      </c>
    </row>
    <row r="19" spans="1:31" x14ac:dyDescent="0.45">
      <c r="A19" t="str">
        <f>Keys!$D19</f>
        <v>appliances and electrical equipment 27</v>
      </c>
      <c r="B19">
        <f>IF(INDEX(Keys!$F:$F,MATCH($A19,Keys!$D:$D,0))="Y",0,IF($B28=1,IF(INDEX(Keys!$E:$E,MATCH($A19,Keys!$D:$D,0))="Y",1,0),1))</f>
        <v>1</v>
      </c>
      <c r="C19">
        <f>IF(INDEX(Keys!$F:$F,MATCH($A19,Keys!$D:$D,0))="Y",0,IF($B28=1,IF(INDEX(Keys!$E:$E,MATCH($A19,Keys!$D:$D,0))="Y",1,0),1))</f>
        <v>1</v>
      </c>
      <c r="D19">
        <f>IF(INDEX(Keys!$F:$F,MATCH($A19,Keys!$D:$D,0))="Y",0,IF($B28=1,IF(INDEX(Keys!$E:$E,MATCH($A19,Keys!$D:$D,0))="Y",1,0),1))</f>
        <v>1</v>
      </c>
      <c r="E19">
        <f>IF(INDEX(Keys!$F:$F,MATCH($A19,Keys!$D:$D,0))="Y",0,IF($B28=1,IF(INDEX(Keys!$E:$E,MATCH($A19,Keys!$D:$D,0))="Y",1,0),1))</f>
        <v>1</v>
      </c>
      <c r="F19">
        <f>IF(INDEX(Keys!$F:$F,MATCH($A19,Keys!$D:$D,0))="Y",0,IF($B28=1,IF(INDEX(Keys!$E:$E,MATCH($A19,Keys!$D:$D,0))="Y",1,0),1))</f>
        <v>1</v>
      </c>
      <c r="G19">
        <f>IF(INDEX(Keys!$F:$F,MATCH($A19,Keys!$D:$D,0))="Y",0,IF($B28=1,IF(INDEX(Keys!$E:$E,MATCH($A19,Keys!$D:$D,0))="Y",1,0),1))</f>
        <v>1</v>
      </c>
      <c r="H19">
        <f>IF(INDEX(Keys!$F:$F,MATCH($A19,Keys!$D:$D,0))="Y",0,IF($B28=1,IF(INDEX(Keys!$E:$E,MATCH($A19,Keys!$D:$D,0))="Y",1,0),1))</f>
        <v>1</v>
      </c>
      <c r="I19">
        <f>IF(INDEX(Keys!$F:$F,MATCH($A19,Keys!$D:$D,0))="Y",0,IF($B28=1,IF(INDEX(Keys!$E:$E,MATCH($A19,Keys!$D:$D,0))="Y",1,0),1))</f>
        <v>1</v>
      </c>
      <c r="J19">
        <f>IF(INDEX(Keys!$F:$F,MATCH($A19,Keys!$D:$D,0))="Y",0,IF($B28=1,IF(INDEX(Keys!$E:$E,MATCH($A19,Keys!$D:$D,0))="Y",1,0),1))</f>
        <v>1</v>
      </c>
      <c r="K19">
        <f>IF(INDEX(Keys!$F:$F,MATCH($A19,Keys!$D:$D,0))="Y",0,IF($B28=1,IF(INDEX(Keys!$E:$E,MATCH($A19,Keys!$D:$D,0))="Y",1,0),1))</f>
        <v>1</v>
      </c>
      <c r="L19">
        <f>IF(INDEX(Keys!$F:$F,MATCH($A19,Keys!$D:$D,0))="Y",0,IF($B28=1,IF(INDEX(Keys!$E:$E,MATCH($A19,Keys!$D:$D,0))="Y",1,0),1))</f>
        <v>1</v>
      </c>
      <c r="M19">
        <f>IF(INDEX(Keys!$F:$F,MATCH($A19,Keys!$D:$D,0))="Y",0,IF($B28=1,IF(INDEX(Keys!$E:$E,MATCH($A19,Keys!$D:$D,0))="Y",1,0),1))</f>
        <v>1</v>
      </c>
      <c r="N19">
        <f>IF(INDEX(Keys!$F:$F,MATCH($A19,Keys!$D:$D,0))="Y",0,IF($B28=1,IF(INDEX(Keys!$E:$E,MATCH($A19,Keys!$D:$D,0))="Y",1,0),1))</f>
        <v>1</v>
      </c>
      <c r="O19">
        <f>IF(INDEX(Keys!$F:$F,MATCH($A19,Keys!$D:$D,0))="Y",0,IF($B28=1,IF(INDEX(Keys!$E:$E,MATCH($A19,Keys!$D:$D,0))="Y",1,0),1))</f>
        <v>1</v>
      </c>
      <c r="P19">
        <f>IF(INDEX(Keys!$F:$F,MATCH($A19,Keys!$D:$D,0))="Y",0,IF($B28=1,IF(INDEX(Keys!$E:$E,MATCH($A19,Keys!$D:$D,0))="Y",1,0),1))</f>
        <v>1</v>
      </c>
      <c r="Q19">
        <f>IF(INDEX(Keys!$F:$F,MATCH($A19,Keys!$D:$D,0))="Y",0,IF($B28=1,IF(INDEX(Keys!$E:$E,MATCH($A19,Keys!$D:$D,0))="Y",1,0),1))</f>
        <v>1</v>
      </c>
      <c r="R19">
        <f>IF(INDEX(Keys!$F:$F,MATCH($A19,Keys!$D:$D,0))="Y",0,IF($B28=1,IF(INDEX(Keys!$E:$E,MATCH($A19,Keys!$D:$D,0))="Y",1,0),1))</f>
        <v>1</v>
      </c>
      <c r="S19">
        <f>IF(INDEX(Keys!$F:$F,MATCH($A19,Keys!$D:$D,0))="Y",0,IF($B28=1,IF(INDEX(Keys!$E:$E,MATCH($A19,Keys!$D:$D,0))="Y",1,0),1))</f>
        <v>1</v>
      </c>
      <c r="T19">
        <f>IF(INDEX(Keys!$F:$F,MATCH($A19,Keys!$D:$D,0))="Y",0,IF($B28=1,IF(INDEX(Keys!$E:$E,MATCH($A19,Keys!$D:$D,0))="Y",1,0),1))</f>
        <v>1</v>
      </c>
      <c r="U19">
        <f>IF(INDEX(Keys!$F:$F,MATCH($A19,Keys!$D:$D,0))="Y",0,IF($B28=1,IF(INDEX(Keys!$E:$E,MATCH($A19,Keys!$D:$D,0))="Y",1,0),1))</f>
        <v>1</v>
      </c>
      <c r="V19">
        <f>IF(INDEX(Keys!$F:$F,MATCH($A19,Keys!$D:$D,0))="Y",0,IF($B28=1,IF(INDEX(Keys!$E:$E,MATCH($A19,Keys!$D:$D,0))="Y",1,0),1))</f>
        <v>1</v>
      </c>
      <c r="W19">
        <f>IF(INDEX(Keys!$F:$F,MATCH($A19,Keys!$D:$D,0))="Y",0,IF($B28=1,IF(INDEX(Keys!$E:$E,MATCH($A19,Keys!$D:$D,0))="Y",1,0),1))</f>
        <v>1</v>
      </c>
      <c r="X19">
        <f>IF(INDEX(Keys!$F:$F,MATCH($A19,Keys!$D:$D,0))="Y",0,IF($B28=1,IF(INDEX(Keys!$E:$E,MATCH($A19,Keys!$D:$D,0))="Y",1,0),1))</f>
        <v>1</v>
      </c>
      <c r="Y19">
        <f>IF(INDEX(Keys!$F:$F,MATCH($A19,Keys!$D:$D,0))="Y",0,IF($B28=1,IF(INDEX(Keys!$E:$E,MATCH($A19,Keys!$D:$D,0))="Y",1,0),1))</f>
        <v>1</v>
      </c>
      <c r="Z19">
        <f>IF(INDEX(Keys!$F:$F,MATCH($A19,Keys!$D:$D,0))="Y",0,IF($B28=1,IF(INDEX(Keys!$E:$E,MATCH($A19,Keys!$D:$D,0))="Y",1,0),1))</f>
        <v>1</v>
      </c>
      <c r="AA19">
        <f>IF(INDEX(Keys!$F:$F,MATCH($A19,Keys!$D:$D,0))="Y",0,IF($B28=1,IF(INDEX(Keys!$E:$E,MATCH($A19,Keys!$D:$D,0))="Y",1,0),1))</f>
        <v>1</v>
      </c>
      <c r="AB19">
        <f>IF(INDEX(Keys!$F:$F,MATCH($A19,Keys!$D:$D,0))="Y",0,IF($B28=1,IF(INDEX(Keys!$E:$E,MATCH($A19,Keys!$D:$D,0))="Y",1,0),1))</f>
        <v>1</v>
      </c>
      <c r="AC19">
        <f>IF(INDEX(Keys!$F:$F,MATCH($A19,Keys!$D:$D,0))="Y",0,IF($B28=1,IF(INDEX(Keys!$E:$E,MATCH($A19,Keys!$D:$D,0))="Y",1,0),1))</f>
        <v>1</v>
      </c>
      <c r="AD19">
        <f>IF(INDEX(Keys!$F:$F,MATCH($A19,Keys!$D:$D,0))="Y",0,IF($B28=1,IF(INDEX(Keys!$E:$E,MATCH($A19,Keys!$D:$D,0))="Y",1,0),1))</f>
        <v>1</v>
      </c>
      <c r="AE19">
        <f>IF(INDEX(Keys!$F:$F,MATCH($A19,Keys!$D:$D,0))="Y",0,IF($B28=1,IF(INDEX(Keys!$E:$E,MATCH($A19,Keys!$D:$D,0))="Y",1,0),1))</f>
        <v>1</v>
      </c>
    </row>
    <row r="20" spans="1:31" x14ac:dyDescent="0.45">
      <c r="A20" t="str">
        <f>Keys!$D20</f>
        <v>other machinery 28</v>
      </c>
      <c r="B20">
        <f>IF(INDEX(Keys!$F:$F,MATCH($A20,Keys!$D:$D,0))="Y",0,IF($B28=1,IF(INDEX(Keys!$E:$E,MATCH($A20,Keys!$D:$D,0))="Y",1,0),1))</f>
        <v>1</v>
      </c>
      <c r="C20">
        <f>IF(INDEX(Keys!$F:$F,MATCH($A20,Keys!$D:$D,0))="Y",0,IF($B28=1,IF(INDEX(Keys!$E:$E,MATCH($A20,Keys!$D:$D,0))="Y",1,0),1))</f>
        <v>1</v>
      </c>
      <c r="D20">
        <f>IF(INDEX(Keys!$F:$F,MATCH($A20,Keys!$D:$D,0))="Y",0,IF($B28=1,IF(INDEX(Keys!$E:$E,MATCH($A20,Keys!$D:$D,0))="Y",1,0),1))</f>
        <v>1</v>
      </c>
      <c r="E20">
        <f>IF(INDEX(Keys!$F:$F,MATCH($A20,Keys!$D:$D,0))="Y",0,IF($B28=1,IF(INDEX(Keys!$E:$E,MATCH($A20,Keys!$D:$D,0))="Y",1,0),1))</f>
        <v>1</v>
      </c>
      <c r="F20">
        <f>IF(INDEX(Keys!$F:$F,MATCH($A20,Keys!$D:$D,0))="Y",0,IF($B28=1,IF(INDEX(Keys!$E:$E,MATCH($A20,Keys!$D:$D,0))="Y",1,0),1))</f>
        <v>1</v>
      </c>
      <c r="G20">
        <f>IF(INDEX(Keys!$F:$F,MATCH($A20,Keys!$D:$D,0))="Y",0,IF($B28=1,IF(INDEX(Keys!$E:$E,MATCH($A20,Keys!$D:$D,0))="Y",1,0),1))</f>
        <v>1</v>
      </c>
      <c r="H20">
        <f>IF(INDEX(Keys!$F:$F,MATCH($A20,Keys!$D:$D,0))="Y",0,IF($B28=1,IF(INDEX(Keys!$E:$E,MATCH($A20,Keys!$D:$D,0))="Y",1,0),1))</f>
        <v>1</v>
      </c>
      <c r="I20">
        <f>IF(INDEX(Keys!$F:$F,MATCH($A20,Keys!$D:$D,0))="Y",0,IF($B28=1,IF(INDEX(Keys!$E:$E,MATCH($A20,Keys!$D:$D,0))="Y",1,0),1))</f>
        <v>1</v>
      </c>
      <c r="J20">
        <f>IF(INDEX(Keys!$F:$F,MATCH($A20,Keys!$D:$D,0))="Y",0,IF($B28=1,IF(INDEX(Keys!$E:$E,MATCH($A20,Keys!$D:$D,0))="Y",1,0),1))</f>
        <v>1</v>
      </c>
      <c r="K20">
        <f>IF(INDEX(Keys!$F:$F,MATCH($A20,Keys!$D:$D,0))="Y",0,IF($B28=1,IF(INDEX(Keys!$E:$E,MATCH($A20,Keys!$D:$D,0))="Y",1,0),1))</f>
        <v>1</v>
      </c>
      <c r="L20">
        <f>IF(INDEX(Keys!$F:$F,MATCH($A20,Keys!$D:$D,0))="Y",0,IF($B28=1,IF(INDEX(Keys!$E:$E,MATCH($A20,Keys!$D:$D,0))="Y",1,0),1))</f>
        <v>1</v>
      </c>
      <c r="M20">
        <f>IF(INDEX(Keys!$F:$F,MATCH($A20,Keys!$D:$D,0))="Y",0,IF($B28=1,IF(INDEX(Keys!$E:$E,MATCH($A20,Keys!$D:$D,0))="Y",1,0),1))</f>
        <v>1</v>
      </c>
      <c r="N20">
        <f>IF(INDEX(Keys!$F:$F,MATCH($A20,Keys!$D:$D,0))="Y",0,IF($B28=1,IF(INDEX(Keys!$E:$E,MATCH($A20,Keys!$D:$D,0))="Y",1,0),1))</f>
        <v>1</v>
      </c>
      <c r="O20">
        <f>IF(INDEX(Keys!$F:$F,MATCH($A20,Keys!$D:$D,0))="Y",0,IF($B28=1,IF(INDEX(Keys!$E:$E,MATCH($A20,Keys!$D:$D,0))="Y",1,0),1))</f>
        <v>1</v>
      </c>
      <c r="P20">
        <f>IF(INDEX(Keys!$F:$F,MATCH($A20,Keys!$D:$D,0))="Y",0,IF($B28=1,IF(INDEX(Keys!$E:$E,MATCH($A20,Keys!$D:$D,0))="Y",1,0),1))</f>
        <v>1</v>
      </c>
      <c r="Q20">
        <f>IF(INDEX(Keys!$F:$F,MATCH($A20,Keys!$D:$D,0))="Y",0,IF($B28=1,IF(INDEX(Keys!$E:$E,MATCH($A20,Keys!$D:$D,0))="Y",1,0),1))</f>
        <v>1</v>
      </c>
      <c r="R20">
        <f>IF(INDEX(Keys!$F:$F,MATCH($A20,Keys!$D:$D,0))="Y",0,IF($B28=1,IF(INDEX(Keys!$E:$E,MATCH($A20,Keys!$D:$D,0))="Y",1,0),1))</f>
        <v>1</v>
      </c>
      <c r="S20">
        <f>IF(INDEX(Keys!$F:$F,MATCH($A20,Keys!$D:$D,0))="Y",0,IF($B28=1,IF(INDEX(Keys!$E:$E,MATCH($A20,Keys!$D:$D,0))="Y",1,0),1))</f>
        <v>1</v>
      </c>
      <c r="T20">
        <f>IF(INDEX(Keys!$F:$F,MATCH($A20,Keys!$D:$D,0))="Y",0,IF($B28=1,IF(INDEX(Keys!$E:$E,MATCH($A20,Keys!$D:$D,0))="Y",1,0),1))</f>
        <v>1</v>
      </c>
      <c r="U20">
        <f>IF(INDEX(Keys!$F:$F,MATCH($A20,Keys!$D:$D,0))="Y",0,IF($B28=1,IF(INDEX(Keys!$E:$E,MATCH($A20,Keys!$D:$D,0))="Y",1,0),1))</f>
        <v>1</v>
      </c>
      <c r="V20">
        <f>IF(INDEX(Keys!$F:$F,MATCH($A20,Keys!$D:$D,0))="Y",0,IF($B28=1,IF(INDEX(Keys!$E:$E,MATCH($A20,Keys!$D:$D,0))="Y",1,0),1))</f>
        <v>1</v>
      </c>
      <c r="W20">
        <f>IF(INDEX(Keys!$F:$F,MATCH($A20,Keys!$D:$D,0))="Y",0,IF($B28=1,IF(INDEX(Keys!$E:$E,MATCH($A20,Keys!$D:$D,0))="Y",1,0),1))</f>
        <v>1</v>
      </c>
      <c r="X20">
        <f>IF(INDEX(Keys!$F:$F,MATCH($A20,Keys!$D:$D,0))="Y",0,IF($B28=1,IF(INDEX(Keys!$E:$E,MATCH($A20,Keys!$D:$D,0))="Y",1,0),1))</f>
        <v>1</v>
      </c>
      <c r="Y20">
        <f>IF(INDEX(Keys!$F:$F,MATCH($A20,Keys!$D:$D,0))="Y",0,IF($B28=1,IF(INDEX(Keys!$E:$E,MATCH($A20,Keys!$D:$D,0))="Y",1,0),1))</f>
        <v>1</v>
      </c>
      <c r="Z20">
        <f>IF(INDEX(Keys!$F:$F,MATCH($A20,Keys!$D:$D,0))="Y",0,IF($B28=1,IF(INDEX(Keys!$E:$E,MATCH($A20,Keys!$D:$D,0))="Y",1,0),1))</f>
        <v>1</v>
      </c>
      <c r="AA20">
        <f>IF(INDEX(Keys!$F:$F,MATCH($A20,Keys!$D:$D,0))="Y",0,IF($B28=1,IF(INDEX(Keys!$E:$E,MATCH($A20,Keys!$D:$D,0))="Y",1,0),1))</f>
        <v>1</v>
      </c>
      <c r="AB20">
        <f>IF(INDEX(Keys!$F:$F,MATCH($A20,Keys!$D:$D,0))="Y",0,IF($B28=1,IF(INDEX(Keys!$E:$E,MATCH($A20,Keys!$D:$D,0))="Y",1,0),1))</f>
        <v>1</v>
      </c>
      <c r="AC20">
        <f>IF(INDEX(Keys!$F:$F,MATCH($A20,Keys!$D:$D,0))="Y",0,IF($B28=1,IF(INDEX(Keys!$E:$E,MATCH($A20,Keys!$D:$D,0))="Y",1,0),1))</f>
        <v>1</v>
      </c>
      <c r="AD20">
        <f>IF(INDEX(Keys!$F:$F,MATCH($A20,Keys!$D:$D,0))="Y",0,IF($B28=1,IF(INDEX(Keys!$E:$E,MATCH($A20,Keys!$D:$D,0))="Y",1,0),1))</f>
        <v>1</v>
      </c>
      <c r="AE20">
        <f>IF(INDEX(Keys!$F:$F,MATCH($A20,Keys!$D:$D,0))="Y",0,IF($B28=1,IF(INDEX(Keys!$E:$E,MATCH($A20,Keys!$D:$D,0))="Y",1,0),1))</f>
        <v>1</v>
      </c>
    </row>
    <row r="21" spans="1:31" x14ac:dyDescent="0.45">
      <c r="A21" t="str">
        <f>Keys!$D21</f>
        <v>road vehicles 29</v>
      </c>
      <c r="B21">
        <f>IF(INDEX(Keys!$F:$F,MATCH($A21,Keys!$D:$D,0))="Y",0,IF($B28=1,IF(INDEX(Keys!$E:$E,MATCH($A21,Keys!$D:$D,0))="Y",1,0),1))</f>
        <v>1</v>
      </c>
      <c r="C21">
        <f>IF(INDEX(Keys!$F:$F,MATCH($A21,Keys!$D:$D,0))="Y",0,IF($B28=1,IF(INDEX(Keys!$E:$E,MATCH($A21,Keys!$D:$D,0))="Y",1,0),1))</f>
        <v>1</v>
      </c>
      <c r="D21">
        <f>IF(INDEX(Keys!$F:$F,MATCH($A21,Keys!$D:$D,0))="Y",0,IF($B28=1,IF(INDEX(Keys!$E:$E,MATCH($A21,Keys!$D:$D,0))="Y",1,0),1))</f>
        <v>1</v>
      </c>
      <c r="E21">
        <f>IF(INDEX(Keys!$F:$F,MATCH($A21,Keys!$D:$D,0))="Y",0,IF($B28=1,IF(INDEX(Keys!$E:$E,MATCH($A21,Keys!$D:$D,0))="Y",1,0),1))</f>
        <v>1</v>
      </c>
      <c r="F21">
        <f>IF(INDEX(Keys!$F:$F,MATCH($A21,Keys!$D:$D,0))="Y",0,IF($B28=1,IF(INDEX(Keys!$E:$E,MATCH($A21,Keys!$D:$D,0))="Y",1,0),1))</f>
        <v>1</v>
      </c>
      <c r="G21">
        <f>IF(INDEX(Keys!$F:$F,MATCH($A21,Keys!$D:$D,0))="Y",0,IF($B28=1,IF(INDEX(Keys!$E:$E,MATCH($A21,Keys!$D:$D,0))="Y",1,0),1))</f>
        <v>1</v>
      </c>
      <c r="H21">
        <f>IF(INDEX(Keys!$F:$F,MATCH($A21,Keys!$D:$D,0))="Y",0,IF($B28=1,IF(INDEX(Keys!$E:$E,MATCH($A21,Keys!$D:$D,0))="Y",1,0),1))</f>
        <v>1</v>
      </c>
      <c r="I21">
        <f>IF(INDEX(Keys!$F:$F,MATCH($A21,Keys!$D:$D,0))="Y",0,IF($B28=1,IF(INDEX(Keys!$E:$E,MATCH($A21,Keys!$D:$D,0))="Y",1,0),1))</f>
        <v>1</v>
      </c>
      <c r="J21">
        <f>IF(INDEX(Keys!$F:$F,MATCH($A21,Keys!$D:$D,0))="Y",0,IF($B28=1,IF(INDEX(Keys!$E:$E,MATCH($A21,Keys!$D:$D,0))="Y",1,0),1))</f>
        <v>1</v>
      </c>
      <c r="K21">
        <f>IF(INDEX(Keys!$F:$F,MATCH($A21,Keys!$D:$D,0))="Y",0,IF($B28=1,IF(INDEX(Keys!$E:$E,MATCH($A21,Keys!$D:$D,0))="Y",1,0),1))</f>
        <v>1</v>
      </c>
      <c r="L21">
        <f>IF(INDEX(Keys!$F:$F,MATCH($A21,Keys!$D:$D,0))="Y",0,IF($B28=1,IF(INDEX(Keys!$E:$E,MATCH($A21,Keys!$D:$D,0))="Y",1,0),1))</f>
        <v>1</v>
      </c>
      <c r="M21">
        <f>IF(INDEX(Keys!$F:$F,MATCH($A21,Keys!$D:$D,0))="Y",0,IF($B28=1,IF(INDEX(Keys!$E:$E,MATCH($A21,Keys!$D:$D,0))="Y",1,0),1))</f>
        <v>1</v>
      </c>
      <c r="N21">
        <f>IF(INDEX(Keys!$F:$F,MATCH($A21,Keys!$D:$D,0))="Y",0,IF($B28=1,IF(INDEX(Keys!$E:$E,MATCH($A21,Keys!$D:$D,0))="Y",1,0),1))</f>
        <v>1</v>
      </c>
      <c r="O21">
        <f>IF(INDEX(Keys!$F:$F,MATCH($A21,Keys!$D:$D,0))="Y",0,IF($B28=1,IF(INDEX(Keys!$E:$E,MATCH($A21,Keys!$D:$D,0))="Y",1,0),1))</f>
        <v>1</v>
      </c>
      <c r="P21">
        <f>IF(INDEX(Keys!$F:$F,MATCH($A21,Keys!$D:$D,0))="Y",0,IF($B28=1,IF(INDEX(Keys!$E:$E,MATCH($A21,Keys!$D:$D,0))="Y",1,0),1))</f>
        <v>1</v>
      </c>
      <c r="Q21">
        <f>IF(INDEX(Keys!$F:$F,MATCH($A21,Keys!$D:$D,0))="Y",0,IF($B28=1,IF(INDEX(Keys!$E:$E,MATCH($A21,Keys!$D:$D,0))="Y",1,0),1))</f>
        <v>1</v>
      </c>
      <c r="R21">
        <f>IF(INDEX(Keys!$F:$F,MATCH($A21,Keys!$D:$D,0))="Y",0,IF($B28=1,IF(INDEX(Keys!$E:$E,MATCH($A21,Keys!$D:$D,0))="Y",1,0),1))</f>
        <v>1</v>
      </c>
      <c r="S21">
        <f>IF(INDEX(Keys!$F:$F,MATCH($A21,Keys!$D:$D,0))="Y",0,IF($B28=1,IF(INDEX(Keys!$E:$E,MATCH($A21,Keys!$D:$D,0))="Y",1,0),1))</f>
        <v>1</v>
      </c>
      <c r="T21">
        <f>IF(INDEX(Keys!$F:$F,MATCH($A21,Keys!$D:$D,0))="Y",0,IF($B28=1,IF(INDEX(Keys!$E:$E,MATCH($A21,Keys!$D:$D,0))="Y",1,0),1))</f>
        <v>1</v>
      </c>
      <c r="U21">
        <f>IF(INDEX(Keys!$F:$F,MATCH($A21,Keys!$D:$D,0))="Y",0,IF($B28=1,IF(INDEX(Keys!$E:$E,MATCH($A21,Keys!$D:$D,0))="Y",1,0),1))</f>
        <v>1</v>
      </c>
      <c r="V21">
        <f>IF(INDEX(Keys!$F:$F,MATCH($A21,Keys!$D:$D,0))="Y",0,IF($B28=1,IF(INDEX(Keys!$E:$E,MATCH($A21,Keys!$D:$D,0))="Y",1,0),1))</f>
        <v>1</v>
      </c>
      <c r="W21">
        <f>IF(INDEX(Keys!$F:$F,MATCH($A21,Keys!$D:$D,0))="Y",0,IF($B28=1,IF(INDEX(Keys!$E:$E,MATCH($A21,Keys!$D:$D,0))="Y",1,0),1))</f>
        <v>1</v>
      </c>
      <c r="X21">
        <f>IF(INDEX(Keys!$F:$F,MATCH($A21,Keys!$D:$D,0))="Y",0,IF($B28=1,IF(INDEX(Keys!$E:$E,MATCH($A21,Keys!$D:$D,0))="Y",1,0),1))</f>
        <v>1</v>
      </c>
      <c r="Y21">
        <f>IF(INDEX(Keys!$F:$F,MATCH($A21,Keys!$D:$D,0))="Y",0,IF($B28=1,IF(INDEX(Keys!$E:$E,MATCH($A21,Keys!$D:$D,0))="Y",1,0),1))</f>
        <v>1</v>
      </c>
      <c r="Z21">
        <f>IF(INDEX(Keys!$F:$F,MATCH($A21,Keys!$D:$D,0))="Y",0,IF($B28=1,IF(INDEX(Keys!$E:$E,MATCH($A21,Keys!$D:$D,0))="Y",1,0),1))</f>
        <v>1</v>
      </c>
      <c r="AA21">
        <f>IF(INDEX(Keys!$F:$F,MATCH($A21,Keys!$D:$D,0))="Y",0,IF($B28=1,IF(INDEX(Keys!$E:$E,MATCH($A21,Keys!$D:$D,0))="Y",1,0),1))</f>
        <v>1</v>
      </c>
      <c r="AB21">
        <f>IF(INDEX(Keys!$F:$F,MATCH($A21,Keys!$D:$D,0))="Y",0,IF($B28=1,IF(INDEX(Keys!$E:$E,MATCH($A21,Keys!$D:$D,0))="Y",1,0),1))</f>
        <v>1</v>
      </c>
      <c r="AC21">
        <f>IF(INDEX(Keys!$F:$F,MATCH($A21,Keys!$D:$D,0))="Y",0,IF($B28=1,IF(INDEX(Keys!$E:$E,MATCH($A21,Keys!$D:$D,0))="Y",1,0),1))</f>
        <v>1</v>
      </c>
      <c r="AD21">
        <f>IF(INDEX(Keys!$F:$F,MATCH($A21,Keys!$D:$D,0))="Y",0,IF($B28=1,IF(INDEX(Keys!$E:$E,MATCH($A21,Keys!$D:$D,0))="Y",1,0),1))</f>
        <v>1</v>
      </c>
      <c r="AE21">
        <f>IF(INDEX(Keys!$F:$F,MATCH($A21,Keys!$D:$D,0))="Y",0,IF($B28=1,IF(INDEX(Keys!$E:$E,MATCH($A21,Keys!$D:$D,0))="Y",1,0),1))</f>
        <v>1</v>
      </c>
    </row>
    <row r="22" spans="1:31" x14ac:dyDescent="0.45">
      <c r="A22" t="str">
        <f>Keys!$D22</f>
        <v>nonroad vehicles 30</v>
      </c>
      <c r="B22">
        <f>IF(INDEX(Keys!$F:$F,MATCH($A22,Keys!$D:$D,0))="Y",0,IF($B28=1,IF(INDEX(Keys!$E:$E,MATCH($A22,Keys!$D:$D,0))="Y",1,0),1))</f>
        <v>1</v>
      </c>
      <c r="C22">
        <f>IF(INDEX(Keys!$F:$F,MATCH($A22,Keys!$D:$D,0))="Y",0,IF($B28=1,IF(INDEX(Keys!$E:$E,MATCH($A22,Keys!$D:$D,0))="Y",1,0),1))</f>
        <v>1</v>
      </c>
      <c r="D22">
        <f>IF(INDEX(Keys!$F:$F,MATCH($A22,Keys!$D:$D,0))="Y",0,IF($B28=1,IF(INDEX(Keys!$E:$E,MATCH($A22,Keys!$D:$D,0))="Y",1,0),1))</f>
        <v>1</v>
      </c>
      <c r="E22">
        <f>IF(INDEX(Keys!$F:$F,MATCH($A22,Keys!$D:$D,0))="Y",0,IF($B28=1,IF(INDEX(Keys!$E:$E,MATCH($A22,Keys!$D:$D,0))="Y",1,0),1))</f>
        <v>1</v>
      </c>
      <c r="F22">
        <f>IF(INDEX(Keys!$F:$F,MATCH($A22,Keys!$D:$D,0))="Y",0,IF($B28=1,IF(INDEX(Keys!$E:$E,MATCH($A22,Keys!$D:$D,0))="Y",1,0),1))</f>
        <v>1</v>
      </c>
      <c r="G22">
        <f>IF(INDEX(Keys!$F:$F,MATCH($A22,Keys!$D:$D,0))="Y",0,IF($B28=1,IF(INDEX(Keys!$E:$E,MATCH($A22,Keys!$D:$D,0))="Y",1,0),1))</f>
        <v>1</v>
      </c>
      <c r="H22">
        <f>IF(INDEX(Keys!$F:$F,MATCH($A22,Keys!$D:$D,0))="Y",0,IF($B28=1,IF(INDEX(Keys!$E:$E,MATCH($A22,Keys!$D:$D,0))="Y",1,0),1))</f>
        <v>1</v>
      </c>
      <c r="I22">
        <f>IF(INDEX(Keys!$F:$F,MATCH($A22,Keys!$D:$D,0))="Y",0,IF($B28=1,IF(INDEX(Keys!$E:$E,MATCH($A22,Keys!$D:$D,0))="Y",1,0),1))</f>
        <v>1</v>
      </c>
      <c r="J22">
        <f>IF(INDEX(Keys!$F:$F,MATCH($A22,Keys!$D:$D,0))="Y",0,IF($B28=1,IF(INDEX(Keys!$E:$E,MATCH($A22,Keys!$D:$D,0))="Y",1,0),1))</f>
        <v>1</v>
      </c>
      <c r="K22">
        <f>IF(INDEX(Keys!$F:$F,MATCH($A22,Keys!$D:$D,0))="Y",0,IF($B28=1,IF(INDEX(Keys!$E:$E,MATCH($A22,Keys!$D:$D,0))="Y",1,0),1))</f>
        <v>1</v>
      </c>
      <c r="L22">
        <f>IF(INDEX(Keys!$F:$F,MATCH($A22,Keys!$D:$D,0))="Y",0,IF($B28=1,IF(INDEX(Keys!$E:$E,MATCH($A22,Keys!$D:$D,0))="Y",1,0),1))</f>
        <v>1</v>
      </c>
      <c r="M22">
        <f>IF(INDEX(Keys!$F:$F,MATCH($A22,Keys!$D:$D,0))="Y",0,IF($B28=1,IF(INDEX(Keys!$E:$E,MATCH($A22,Keys!$D:$D,0))="Y",1,0),1))</f>
        <v>1</v>
      </c>
      <c r="N22">
        <f>IF(INDEX(Keys!$F:$F,MATCH($A22,Keys!$D:$D,0))="Y",0,IF($B28=1,IF(INDEX(Keys!$E:$E,MATCH($A22,Keys!$D:$D,0))="Y",1,0),1))</f>
        <v>1</v>
      </c>
      <c r="O22">
        <f>IF(INDEX(Keys!$F:$F,MATCH($A22,Keys!$D:$D,0))="Y",0,IF($B28=1,IF(INDEX(Keys!$E:$E,MATCH($A22,Keys!$D:$D,0))="Y",1,0),1))</f>
        <v>1</v>
      </c>
      <c r="P22">
        <f>IF(INDEX(Keys!$F:$F,MATCH($A22,Keys!$D:$D,0))="Y",0,IF($B28=1,IF(INDEX(Keys!$E:$E,MATCH($A22,Keys!$D:$D,0))="Y",1,0),1))</f>
        <v>1</v>
      </c>
      <c r="Q22">
        <f>IF(INDEX(Keys!$F:$F,MATCH($A22,Keys!$D:$D,0))="Y",0,IF($B28=1,IF(INDEX(Keys!$E:$E,MATCH($A22,Keys!$D:$D,0))="Y",1,0),1))</f>
        <v>1</v>
      </c>
      <c r="R22">
        <f>IF(INDEX(Keys!$F:$F,MATCH($A22,Keys!$D:$D,0))="Y",0,IF($B28=1,IF(INDEX(Keys!$E:$E,MATCH($A22,Keys!$D:$D,0))="Y",1,0),1))</f>
        <v>1</v>
      </c>
      <c r="S22">
        <f>IF(INDEX(Keys!$F:$F,MATCH($A22,Keys!$D:$D,0))="Y",0,IF($B28=1,IF(INDEX(Keys!$E:$E,MATCH($A22,Keys!$D:$D,0))="Y",1,0),1))</f>
        <v>1</v>
      </c>
      <c r="T22">
        <f>IF(INDEX(Keys!$F:$F,MATCH($A22,Keys!$D:$D,0))="Y",0,IF($B28=1,IF(INDEX(Keys!$E:$E,MATCH($A22,Keys!$D:$D,0))="Y",1,0),1))</f>
        <v>1</v>
      </c>
      <c r="U22">
        <f>IF(INDEX(Keys!$F:$F,MATCH($A22,Keys!$D:$D,0))="Y",0,IF($B28=1,IF(INDEX(Keys!$E:$E,MATCH($A22,Keys!$D:$D,0))="Y",1,0),1))</f>
        <v>1</v>
      </c>
      <c r="V22">
        <f>IF(INDEX(Keys!$F:$F,MATCH($A22,Keys!$D:$D,0))="Y",0,IF($B28=1,IF(INDEX(Keys!$E:$E,MATCH($A22,Keys!$D:$D,0))="Y",1,0),1))</f>
        <v>1</v>
      </c>
      <c r="W22">
        <f>IF(INDEX(Keys!$F:$F,MATCH($A22,Keys!$D:$D,0))="Y",0,IF($B28=1,IF(INDEX(Keys!$E:$E,MATCH($A22,Keys!$D:$D,0))="Y",1,0),1))</f>
        <v>1</v>
      </c>
      <c r="X22">
        <f>IF(INDEX(Keys!$F:$F,MATCH($A22,Keys!$D:$D,0))="Y",0,IF($B28=1,IF(INDEX(Keys!$E:$E,MATCH($A22,Keys!$D:$D,0))="Y",1,0),1))</f>
        <v>1</v>
      </c>
      <c r="Y22">
        <f>IF(INDEX(Keys!$F:$F,MATCH($A22,Keys!$D:$D,0))="Y",0,IF($B28=1,IF(INDEX(Keys!$E:$E,MATCH($A22,Keys!$D:$D,0))="Y",1,0),1))</f>
        <v>1</v>
      </c>
      <c r="Z22">
        <f>IF(INDEX(Keys!$F:$F,MATCH($A22,Keys!$D:$D,0))="Y",0,IF($B28=1,IF(INDEX(Keys!$E:$E,MATCH($A22,Keys!$D:$D,0))="Y",1,0),1))</f>
        <v>1</v>
      </c>
      <c r="AA22">
        <f>IF(INDEX(Keys!$F:$F,MATCH($A22,Keys!$D:$D,0))="Y",0,IF($B28=1,IF(INDEX(Keys!$E:$E,MATCH($A22,Keys!$D:$D,0))="Y",1,0),1))</f>
        <v>1</v>
      </c>
      <c r="AB22">
        <f>IF(INDEX(Keys!$F:$F,MATCH($A22,Keys!$D:$D,0))="Y",0,IF($B28=1,IF(INDEX(Keys!$E:$E,MATCH($A22,Keys!$D:$D,0))="Y",1,0),1))</f>
        <v>1</v>
      </c>
      <c r="AC22">
        <f>IF(INDEX(Keys!$F:$F,MATCH($A22,Keys!$D:$D,0))="Y",0,IF($B28=1,IF(INDEX(Keys!$E:$E,MATCH($A22,Keys!$D:$D,0))="Y",1,0),1))</f>
        <v>1</v>
      </c>
      <c r="AD22">
        <f>IF(INDEX(Keys!$F:$F,MATCH($A22,Keys!$D:$D,0))="Y",0,IF($B28=1,IF(INDEX(Keys!$E:$E,MATCH($A22,Keys!$D:$D,0))="Y",1,0),1))</f>
        <v>1</v>
      </c>
      <c r="AE22">
        <f>IF(INDEX(Keys!$F:$F,MATCH($A22,Keys!$D:$D,0))="Y",0,IF($B28=1,IF(INDEX(Keys!$E:$E,MATCH($A22,Keys!$D:$D,0))="Y",1,0),1))</f>
        <v>1</v>
      </c>
    </row>
    <row r="23" spans="1:31" x14ac:dyDescent="0.45">
      <c r="A23" t="str">
        <f>Keys!$D23</f>
        <v>other manufacturing 31T33</v>
      </c>
      <c r="B23">
        <f>IF(INDEX(Keys!$F:$F,MATCH($A23,Keys!$D:$D,0))="Y",0,IF($B28=1,IF(INDEX(Keys!$E:$E,MATCH($A23,Keys!$D:$D,0))="Y",1,0),1))</f>
        <v>1</v>
      </c>
      <c r="C23">
        <f>IF(INDEX(Keys!$F:$F,MATCH($A23,Keys!$D:$D,0))="Y",0,IF($B28=1,IF(INDEX(Keys!$E:$E,MATCH($A23,Keys!$D:$D,0))="Y",1,0),1))</f>
        <v>1</v>
      </c>
      <c r="D23">
        <f>IF(INDEX(Keys!$F:$F,MATCH($A23,Keys!$D:$D,0))="Y",0,IF($B28=1,IF(INDEX(Keys!$E:$E,MATCH($A23,Keys!$D:$D,0))="Y",1,0),1))</f>
        <v>1</v>
      </c>
      <c r="E23">
        <f>IF(INDEX(Keys!$F:$F,MATCH($A23,Keys!$D:$D,0))="Y",0,IF($B28=1,IF(INDEX(Keys!$E:$E,MATCH($A23,Keys!$D:$D,0))="Y",1,0),1))</f>
        <v>1</v>
      </c>
      <c r="F23">
        <f>IF(INDEX(Keys!$F:$F,MATCH($A23,Keys!$D:$D,0))="Y",0,IF($B28=1,IF(INDEX(Keys!$E:$E,MATCH($A23,Keys!$D:$D,0))="Y",1,0),1))</f>
        <v>1</v>
      </c>
      <c r="G23">
        <f>IF(INDEX(Keys!$F:$F,MATCH($A23,Keys!$D:$D,0))="Y",0,IF($B28=1,IF(INDEX(Keys!$E:$E,MATCH($A23,Keys!$D:$D,0))="Y",1,0),1))</f>
        <v>1</v>
      </c>
      <c r="H23">
        <f>IF(INDEX(Keys!$F:$F,MATCH($A23,Keys!$D:$D,0))="Y",0,IF($B28=1,IF(INDEX(Keys!$E:$E,MATCH($A23,Keys!$D:$D,0))="Y",1,0),1))</f>
        <v>1</v>
      </c>
      <c r="I23">
        <f>IF(INDEX(Keys!$F:$F,MATCH($A23,Keys!$D:$D,0))="Y",0,IF($B28=1,IF(INDEX(Keys!$E:$E,MATCH($A23,Keys!$D:$D,0))="Y",1,0),1))</f>
        <v>1</v>
      </c>
      <c r="J23">
        <f>IF(INDEX(Keys!$F:$F,MATCH($A23,Keys!$D:$D,0))="Y",0,IF($B28=1,IF(INDEX(Keys!$E:$E,MATCH($A23,Keys!$D:$D,0))="Y",1,0),1))</f>
        <v>1</v>
      </c>
      <c r="K23">
        <f>IF(INDEX(Keys!$F:$F,MATCH($A23,Keys!$D:$D,0))="Y",0,IF($B28=1,IF(INDEX(Keys!$E:$E,MATCH($A23,Keys!$D:$D,0))="Y",1,0),1))</f>
        <v>1</v>
      </c>
      <c r="L23">
        <f>IF(INDEX(Keys!$F:$F,MATCH($A23,Keys!$D:$D,0))="Y",0,IF($B28=1,IF(INDEX(Keys!$E:$E,MATCH($A23,Keys!$D:$D,0))="Y",1,0),1))</f>
        <v>1</v>
      </c>
      <c r="M23">
        <f>IF(INDEX(Keys!$F:$F,MATCH($A23,Keys!$D:$D,0))="Y",0,IF($B28=1,IF(INDEX(Keys!$E:$E,MATCH($A23,Keys!$D:$D,0))="Y",1,0),1))</f>
        <v>1</v>
      </c>
      <c r="N23">
        <f>IF(INDEX(Keys!$F:$F,MATCH($A23,Keys!$D:$D,0))="Y",0,IF($B28=1,IF(INDEX(Keys!$E:$E,MATCH($A23,Keys!$D:$D,0))="Y",1,0),1))</f>
        <v>1</v>
      </c>
      <c r="O23">
        <f>IF(INDEX(Keys!$F:$F,MATCH($A23,Keys!$D:$D,0))="Y",0,IF($B28=1,IF(INDEX(Keys!$E:$E,MATCH($A23,Keys!$D:$D,0))="Y",1,0),1))</f>
        <v>1</v>
      </c>
      <c r="P23">
        <f>IF(INDEX(Keys!$F:$F,MATCH($A23,Keys!$D:$D,0))="Y",0,IF($B28=1,IF(INDEX(Keys!$E:$E,MATCH($A23,Keys!$D:$D,0))="Y",1,0),1))</f>
        <v>1</v>
      </c>
      <c r="Q23">
        <f>IF(INDEX(Keys!$F:$F,MATCH($A23,Keys!$D:$D,0))="Y",0,IF($B28=1,IF(INDEX(Keys!$E:$E,MATCH($A23,Keys!$D:$D,0))="Y",1,0),1))</f>
        <v>1</v>
      </c>
      <c r="R23">
        <f>IF(INDEX(Keys!$F:$F,MATCH($A23,Keys!$D:$D,0))="Y",0,IF($B28=1,IF(INDEX(Keys!$E:$E,MATCH($A23,Keys!$D:$D,0))="Y",1,0),1))</f>
        <v>1</v>
      </c>
      <c r="S23">
        <f>IF(INDEX(Keys!$F:$F,MATCH($A23,Keys!$D:$D,0))="Y",0,IF($B28=1,IF(INDEX(Keys!$E:$E,MATCH($A23,Keys!$D:$D,0))="Y",1,0),1))</f>
        <v>1</v>
      </c>
      <c r="T23">
        <f>IF(INDEX(Keys!$F:$F,MATCH($A23,Keys!$D:$D,0))="Y",0,IF($B28=1,IF(INDEX(Keys!$E:$E,MATCH($A23,Keys!$D:$D,0))="Y",1,0),1))</f>
        <v>1</v>
      </c>
      <c r="U23">
        <f>IF(INDEX(Keys!$F:$F,MATCH($A23,Keys!$D:$D,0))="Y",0,IF($B28=1,IF(INDEX(Keys!$E:$E,MATCH($A23,Keys!$D:$D,0))="Y",1,0),1))</f>
        <v>1</v>
      </c>
      <c r="V23">
        <f>IF(INDEX(Keys!$F:$F,MATCH($A23,Keys!$D:$D,0))="Y",0,IF($B28=1,IF(INDEX(Keys!$E:$E,MATCH($A23,Keys!$D:$D,0))="Y",1,0),1))</f>
        <v>1</v>
      </c>
      <c r="W23">
        <f>IF(INDEX(Keys!$F:$F,MATCH($A23,Keys!$D:$D,0))="Y",0,IF($B28=1,IF(INDEX(Keys!$E:$E,MATCH($A23,Keys!$D:$D,0))="Y",1,0),1))</f>
        <v>1</v>
      </c>
      <c r="X23">
        <f>IF(INDEX(Keys!$F:$F,MATCH($A23,Keys!$D:$D,0))="Y",0,IF($B28=1,IF(INDEX(Keys!$E:$E,MATCH($A23,Keys!$D:$D,0))="Y",1,0),1))</f>
        <v>1</v>
      </c>
      <c r="Y23">
        <f>IF(INDEX(Keys!$F:$F,MATCH($A23,Keys!$D:$D,0))="Y",0,IF($B28=1,IF(INDEX(Keys!$E:$E,MATCH($A23,Keys!$D:$D,0))="Y",1,0),1))</f>
        <v>1</v>
      </c>
      <c r="Z23">
        <f>IF(INDEX(Keys!$F:$F,MATCH($A23,Keys!$D:$D,0))="Y",0,IF($B28=1,IF(INDEX(Keys!$E:$E,MATCH($A23,Keys!$D:$D,0))="Y",1,0),1))</f>
        <v>1</v>
      </c>
      <c r="AA23">
        <f>IF(INDEX(Keys!$F:$F,MATCH($A23,Keys!$D:$D,0))="Y",0,IF($B28=1,IF(INDEX(Keys!$E:$E,MATCH($A23,Keys!$D:$D,0))="Y",1,0),1))</f>
        <v>1</v>
      </c>
      <c r="AB23">
        <f>IF(INDEX(Keys!$F:$F,MATCH($A23,Keys!$D:$D,0))="Y",0,IF($B28=1,IF(INDEX(Keys!$E:$E,MATCH($A23,Keys!$D:$D,0))="Y",1,0),1))</f>
        <v>1</v>
      </c>
      <c r="AC23">
        <f>IF(INDEX(Keys!$F:$F,MATCH($A23,Keys!$D:$D,0))="Y",0,IF($B28=1,IF(INDEX(Keys!$E:$E,MATCH($A23,Keys!$D:$D,0))="Y",1,0),1))</f>
        <v>1</v>
      </c>
      <c r="AD23">
        <f>IF(INDEX(Keys!$F:$F,MATCH($A23,Keys!$D:$D,0))="Y",0,IF($B28=1,IF(INDEX(Keys!$E:$E,MATCH($A23,Keys!$D:$D,0))="Y",1,0),1))</f>
        <v>1</v>
      </c>
      <c r="AE23">
        <f>IF(INDEX(Keys!$F:$F,MATCH($A23,Keys!$D:$D,0))="Y",0,IF($B28=1,IF(INDEX(Keys!$E:$E,MATCH($A23,Keys!$D:$D,0))="Y",1,0),1))</f>
        <v>1</v>
      </c>
    </row>
    <row r="24" spans="1:31" x14ac:dyDescent="0.45">
      <c r="A24" t="str">
        <f>Keys!$D24</f>
        <v>energy pipelines and gas processing 352T353</v>
      </c>
      <c r="B24">
        <f>IF(INDEX(Keys!$F:$F,MATCH($A24,Keys!$D:$D,0))="Y",0,IF($B28=1,IF(INDEX(Keys!$E:$E,MATCH($A24,Keys!$D:$D,0))="Y",1,0),1))</f>
        <v>1</v>
      </c>
      <c r="C24">
        <f>IF(INDEX(Keys!$F:$F,MATCH($A24,Keys!$D:$D,0))="Y",0,IF($B28=1,IF(INDEX(Keys!$E:$E,MATCH($A24,Keys!$D:$D,0))="Y",1,0),1))</f>
        <v>1</v>
      </c>
      <c r="D24">
        <f>IF(INDEX(Keys!$F:$F,MATCH($A24,Keys!$D:$D,0))="Y",0,IF($B28=1,IF(INDEX(Keys!$E:$E,MATCH($A24,Keys!$D:$D,0))="Y",1,0),1))</f>
        <v>1</v>
      </c>
      <c r="E24">
        <f>IF(INDEX(Keys!$F:$F,MATCH($A24,Keys!$D:$D,0))="Y",0,IF($B28=1,IF(INDEX(Keys!$E:$E,MATCH($A24,Keys!$D:$D,0))="Y",1,0),1))</f>
        <v>1</v>
      </c>
      <c r="F24">
        <f>IF(INDEX(Keys!$F:$F,MATCH($A24,Keys!$D:$D,0))="Y",0,IF($B28=1,IF(INDEX(Keys!$E:$E,MATCH($A24,Keys!$D:$D,0))="Y",1,0),1))</f>
        <v>1</v>
      </c>
      <c r="G24">
        <f>IF(INDEX(Keys!$F:$F,MATCH($A24,Keys!$D:$D,0))="Y",0,IF($B28=1,IF(INDEX(Keys!$E:$E,MATCH($A24,Keys!$D:$D,0))="Y",1,0),1))</f>
        <v>1</v>
      </c>
      <c r="H24">
        <f>IF(INDEX(Keys!$F:$F,MATCH($A24,Keys!$D:$D,0))="Y",0,IF($B28=1,IF(INDEX(Keys!$E:$E,MATCH($A24,Keys!$D:$D,0))="Y",1,0),1))</f>
        <v>1</v>
      </c>
      <c r="I24">
        <f>IF(INDEX(Keys!$F:$F,MATCH($A24,Keys!$D:$D,0))="Y",0,IF($B28=1,IF(INDEX(Keys!$E:$E,MATCH($A24,Keys!$D:$D,0))="Y",1,0),1))</f>
        <v>1</v>
      </c>
      <c r="J24">
        <f>IF(INDEX(Keys!$F:$F,MATCH($A24,Keys!$D:$D,0))="Y",0,IF($B28=1,IF(INDEX(Keys!$E:$E,MATCH($A24,Keys!$D:$D,0))="Y",1,0),1))</f>
        <v>1</v>
      </c>
      <c r="K24">
        <f>IF(INDEX(Keys!$F:$F,MATCH($A24,Keys!$D:$D,0))="Y",0,IF($B28=1,IF(INDEX(Keys!$E:$E,MATCH($A24,Keys!$D:$D,0))="Y",1,0),1))</f>
        <v>1</v>
      </c>
      <c r="L24">
        <f>IF(INDEX(Keys!$F:$F,MATCH($A24,Keys!$D:$D,0))="Y",0,IF($B28=1,IF(INDEX(Keys!$E:$E,MATCH($A24,Keys!$D:$D,0))="Y",1,0),1))</f>
        <v>1</v>
      </c>
      <c r="M24">
        <f>IF(INDEX(Keys!$F:$F,MATCH($A24,Keys!$D:$D,0))="Y",0,IF($B28=1,IF(INDEX(Keys!$E:$E,MATCH($A24,Keys!$D:$D,0))="Y",1,0),1))</f>
        <v>1</v>
      </c>
      <c r="N24">
        <f>IF(INDEX(Keys!$F:$F,MATCH($A24,Keys!$D:$D,0))="Y",0,IF($B28=1,IF(INDEX(Keys!$E:$E,MATCH($A24,Keys!$D:$D,0))="Y",1,0),1))</f>
        <v>1</v>
      </c>
      <c r="O24">
        <f>IF(INDEX(Keys!$F:$F,MATCH($A24,Keys!$D:$D,0))="Y",0,IF($B28=1,IF(INDEX(Keys!$E:$E,MATCH($A24,Keys!$D:$D,0))="Y",1,0),1))</f>
        <v>1</v>
      </c>
      <c r="P24">
        <f>IF(INDEX(Keys!$F:$F,MATCH($A24,Keys!$D:$D,0))="Y",0,IF($B28=1,IF(INDEX(Keys!$E:$E,MATCH($A24,Keys!$D:$D,0))="Y",1,0),1))</f>
        <v>1</v>
      </c>
      <c r="Q24">
        <f>IF(INDEX(Keys!$F:$F,MATCH($A24,Keys!$D:$D,0))="Y",0,IF($B28=1,IF(INDEX(Keys!$E:$E,MATCH($A24,Keys!$D:$D,0))="Y",1,0),1))</f>
        <v>1</v>
      </c>
      <c r="R24">
        <f>IF(INDEX(Keys!$F:$F,MATCH($A24,Keys!$D:$D,0))="Y",0,IF($B28=1,IF(INDEX(Keys!$E:$E,MATCH($A24,Keys!$D:$D,0))="Y",1,0),1))</f>
        <v>1</v>
      </c>
      <c r="S24">
        <f>IF(INDEX(Keys!$F:$F,MATCH($A24,Keys!$D:$D,0))="Y",0,IF($B28=1,IF(INDEX(Keys!$E:$E,MATCH($A24,Keys!$D:$D,0))="Y",1,0),1))</f>
        <v>1</v>
      </c>
      <c r="T24">
        <f>IF(INDEX(Keys!$F:$F,MATCH($A24,Keys!$D:$D,0))="Y",0,IF($B28=1,IF(INDEX(Keys!$E:$E,MATCH($A24,Keys!$D:$D,0))="Y",1,0),1))</f>
        <v>1</v>
      </c>
      <c r="U24">
        <f>IF(INDEX(Keys!$F:$F,MATCH($A24,Keys!$D:$D,0))="Y",0,IF($B28=1,IF(INDEX(Keys!$E:$E,MATCH($A24,Keys!$D:$D,0))="Y",1,0),1))</f>
        <v>1</v>
      </c>
      <c r="V24">
        <f>IF(INDEX(Keys!$F:$F,MATCH($A24,Keys!$D:$D,0))="Y",0,IF($B28=1,IF(INDEX(Keys!$E:$E,MATCH($A24,Keys!$D:$D,0))="Y",1,0),1))</f>
        <v>1</v>
      </c>
      <c r="W24">
        <f>IF(INDEX(Keys!$F:$F,MATCH($A24,Keys!$D:$D,0))="Y",0,IF($B28=1,IF(INDEX(Keys!$E:$E,MATCH($A24,Keys!$D:$D,0))="Y",1,0),1))</f>
        <v>1</v>
      </c>
      <c r="X24">
        <f>IF(INDEX(Keys!$F:$F,MATCH($A24,Keys!$D:$D,0))="Y",0,IF($B28=1,IF(INDEX(Keys!$E:$E,MATCH($A24,Keys!$D:$D,0))="Y",1,0),1))</f>
        <v>1</v>
      </c>
      <c r="Y24">
        <f>IF(INDEX(Keys!$F:$F,MATCH($A24,Keys!$D:$D,0))="Y",0,IF($B28=1,IF(INDEX(Keys!$E:$E,MATCH($A24,Keys!$D:$D,0))="Y",1,0),1))</f>
        <v>1</v>
      </c>
      <c r="Z24">
        <f>IF(INDEX(Keys!$F:$F,MATCH($A24,Keys!$D:$D,0))="Y",0,IF($B28=1,IF(INDEX(Keys!$E:$E,MATCH($A24,Keys!$D:$D,0))="Y",1,0),1))</f>
        <v>1</v>
      </c>
      <c r="AA24">
        <f>IF(INDEX(Keys!$F:$F,MATCH($A24,Keys!$D:$D,0))="Y",0,IF($B28=1,IF(INDEX(Keys!$E:$E,MATCH($A24,Keys!$D:$D,0))="Y",1,0),1))</f>
        <v>1</v>
      </c>
      <c r="AB24">
        <f>IF(INDEX(Keys!$F:$F,MATCH($A24,Keys!$D:$D,0))="Y",0,IF($B28=1,IF(INDEX(Keys!$E:$E,MATCH($A24,Keys!$D:$D,0))="Y",1,0),1))</f>
        <v>1</v>
      </c>
      <c r="AC24">
        <f>IF(INDEX(Keys!$F:$F,MATCH($A24,Keys!$D:$D,0))="Y",0,IF($B28=1,IF(INDEX(Keys!$E:$E,MATCH($A24,Keys!$D:$D,0))="Y",1,0),1))</f>
        <v>1</v>
      </c>
      <c r="AD24">
        <f>IF(INDEX(Keys!$F:$F,MATCH($A24,Keys!$D:$D,0))="Y",0,IF($B28=1,IF(INDEX(Keys!$E:$E,MATCH($A24,Keys!$D:$D,0))="Y",1,0),1))</f>
        <v>1</v>
      </c>
      <c r="AE24">
        <f>IF(INDEX(Keys!$F:$F,MATCH($A24,Keys!$D:$D,0))="Y",0,IF($B28=1,IF(INDEX(Keys!$E:$E,MATCH($A24,Keys!$D:$D,0))="Y",1,0),1))</f>
        <v>1</v>
      </c>
    </row>
    <row r="25" spans="1:31" x14ac:dyDescent="0.45">
      <c r="A25" t="str">
        <f>Keys!$D25</f>
        <v>water and waste 36T39</v>
      </c>
      <c r="B25">
        <f>IF(INDEX(Keys!$F:$F,MATCH($A25,Keys!$D:$D,0))="Y",0,IF($B28=1,IF(INDEX(Keys!$E:$E,MATCH($A25,Keys!$D:$D,0))="Y",1,0),1))</f>
        <v>0</v>
      </c>
      <c r="C25">
        <f>IF(INDEX(Keys!$F:$F,MATCH($A25,Keys!$D:$D,0))="Y",0,IF($B28=1,IF(INDEX(Keys!$E:$E,MATCH($A25,Keys!$D:$D,0))="Y",1,0),1))</f>
        <v>0</v>
      </c>
      <c r="D25">
        <f>IF(INDEX(Keys!$F:$F,MATCH($A25,Keys!$D:$D,0))="Y",0,IF($B28=1,IF(INDEX(Keys!$E:$E,MATCH($A25,Keys!$D:$D,0))="Y",1,0),1))</f>
        <v>0</v>
      </c>
      <c r="E25">
        <f>IF(INDEX(Keys!$F:$F,MATCH($A25,Keys!$D:$D,0))="Y",0,IF($B28=1,IF(INDEX(Keys!$E:$E,MATCH($A25,Keys!$D:$D,0))="Y",1,0),1))</f>
        <v>0</v>
      </c>
      <c r="F25">
        <f>IF(INDEX(Keys!$F:$F,MATCH($A25,Keys!$D:$D,0))="Y",0,IF($B28=1,IF(INDEX(Keys!$E:$E,MATCH($A25,Keys!$D:$D,0))="Y",1,0),1))</f>
        <v>0</v>
      </c>
      <c r="G25">
        <f>IF(INDEX(Keys!$F:$F,MATCH($A25,Keys!$D:$D,0))="Y",0,IF($B28=1,IF(INDEX(Keys!$E:$E,MATCH($A25,Keys!$D:$D,0))="Y",1,0),1))</f>
        <v>0</v>
      </c>
      <c r="H25">
        <f>IF(INDEX(Keys!$F:$F,MATCH($A25,Keys!$D:$D,0))="Y",0,IF($B28=1,IF(INDEX(Keys!$E:$E,MATCH($A25,Keys!$D:$D,0))="Y",1,0),1))</f>
        <v>0</v>
      </c>
      <c r="I25">
        <f>IF(INDEX(Keys!$F:$F,MATCH($A25,Keys!$D:$D,0))="Y",0,IF($B28=1,IF(INDEX(Keys!$E:$E,MATCH($A25,Keys!$D:$D,0))="Y",1,0),1))</f>
        <v>0</v>
      </c>
      <c r="J25">
        <f>IF(INDEX(Keys!$F:$F,MATCH($A25,Keys!$D:$D,0))="Y",0,IF($B28=1,IF(INDEX(Keys!$E:$E,MATCH($A25,Keys!$D:$D,0))="Y",1,0),1))</f>
        <v>0</v>
      </c>
      <c r="K25">
        <f>IF(INDEX(Keys!$F:$F,MATCH($A25,Keys!$D:$D,0))="Y",0,IF($B28=1,IF(INDEX(Keys!$E:$E,MATCH($A25,Keys!$D:$D,0))="Y",1,0),1))</f>
        <v>0</v>
      </c>
      <c r="L25">
        <f>IF(INDEX(Keys!$F:$F,MATCH($A25,Keys!$D:$D,0))="Y",0,IF($B28=1,IF(INDEX(Keys!$E:$E,MATCH($A25,Keys!$D:$D,0))="Y",1,0),1))</f>
        <v>0</v>
      </c>
      <c r="M25">
        <f>IF(INDEX(Keys!$F:$F,MATCH($A25,Keys!$D:$D,0))="Y",0,IF($B28=1,IF(INDEX(Keys!$E:$E,MATCH($A25,Keys!$D:$D,0))="Y",1,0),1))</f>
        <v>0</v>
      </c>
      <c r="N25">
        <f>IF(INDEX(Keys!$F:$F,MATCH($A25,Keys!$D:$D,0))="Y",0,IF($B28=1,IF(INDEX(Keys!$E:$E,MATCH($A25,Keys!$D:$D,0))="Y",1,0),1))</f>
        <v>0</v>
      </c>
      <c r="O25">
        <f>IF(INDEX(Keys!$F:$F,MATCH($A25,Keys!$D:$D,0))="Y",0,IF($B28=1,IF(INDEX(Keys!$E:$E,MATCH($A25,Keys!$D:$D,0))="Y",1,0),1))</f>
        <v>0</v>
      </c>
      <c r="P25">
        <f>IF(INDEX(Keys!$F:$F,MATCH($A25,Keys!$D:$D,0))="Y",0,IF($B28=1,IF(INDEX(Keys!$E:$E,MATCH($A25,Keys!$D:$D,0))="Y",1,0),1))</f>
        <v>0</v>
      </c>
      <c r="Q25">
        <f>IF(INDEX(Keys!$F:$F,MATCH($A25,Keys!$D:$D,0))="Y",0,IF($B28=1,IF(INDEX(Keys!$E:$E,MATCH($A25,Keys!$D:$D,0))="Y",1,0),1))</f>
        <v>0</v>
      </c>
      <c r="R25">
        <f>IF(INDEX(Keys!$F:$F,MATCH($A25,Keys!$D:$D,0))="Y",0,IF($B28=1,IF(INDEX(Keys!$E:$E,MATCH($A25,Keys!$D:$D,0))="Y",1,0),1))</f>
        <v>0</v>
      </c>
      <c r="S25">
        <f>IF(INDEX(Keys!$F:$F,MATCH($A25,Keys!$D:$D,0))="Y",0,IF($B28=1,IF(INDEX(Keys!$E:$E,MATCH($A25,Keys!$D:$D,0))="Y",1,0),1))</f>
        <v>0</v>
      </c>
      <c r="T25">
        <f>IF(INDEX(Keys!$F:$F,MATCH($A25,Keys!$D:$D,0))="Y",0,IF($B28=1,IF(INDEX(Keys!$E:$E,MATCH($A25,Keys!$D:$D,0))="Y",1,0),1))</f>
        <v>0</v>
      </c>
      <c r="U25">
        <f>IF(INDEX(Keys!$F:$F,MATCH($A25,Keys!$D:$D,0))="Y",0,IF($B28=1,IF(INDEX(Keys!$E:$E,MATCH($A25,Keys!$D:$D,0))="Y",1,0),1))</f>
        <v>0</v>
      </c>
      <c r="V25">
        <f>IF(INDEX(Keys!$F:$F,MATCH($A25,Keys!$D:$D,0))="Y",0,IF($B28=1,IF(INDEX(Keys!$E:$E,MATCH($A25,Keys!$D:$D,0))="Y",1,0),1))</f>
        <v>0</v>
      </c>
      <c r="W25">
        <f>IF(INDEX(Keys!$F:$F,MATCH($A25,Keys!$D:$D,0))="Y",0,IF($B28=1,IF(INDEX(Keys!$E:$E,MATCH($A25,Keys!$D:$D,0))="Y",1,0),1))</f>
        <v>0</v>
      </c>
      <c r="X25">
        <f>IF(INDEX(Keys!$F:$F,MATCH($A25,Keys!$D:$D,0))="Y",0,IF($B28=1,IF(INDEX(Keys!$E:$E,MATCH($A25,Keys!$D:$D,0))="Y",1,0),1))</f>
        <v>0</v>
      </c>
      <c r="Y25">
        <f>IF(INDEX(Keys!$F:$F,MATCH($A25,Keys!$D:$D,0))="Y",0,IF($B28=1,IF(INDEX(Keys!$E:$E,MATCH($A25,Keys!$D:$D,0))="Y",1,0),1))</f>
        <v>0</v>
      </c>
      <c r="Z25">
        <f>IF(INDEX(Keys!$F:$F,MATCH($A25,Keys!$D:$D,0))="Y",0,IF($B28=1,IF(INDEX(Keys!$E:$E,MATCH($A25,Keys!$D:$D,0))="Y",1,0),1))</f>
        <v>0</v>
      </c>
      <c r="AA25">
        <f>IF(INDEX(Keys!$F:$F,MATCH($A25,Keys!$D:$D,0))="Y",0,IF($B28=1,IF(INDEX(Keys!$E:$E,MATCH($A25,Keys!$D:$D,0))="Y",1,0),1))</f>
        <v>0</v>
      </c>
      <c r="AB25">
        <f>IF(INDEX(Keys!$F:$F,MATCH($A25,Keys!$D:$D,0))="Y",0,IF($B28=1,IF(INDEX(Keys!$E:$E,MATCH($A25,Keys!$D:$D,0))="Y",1,0),1))</f>
        <v>0</v>
      </c>
      <c r="AC25">
        <f>IF(INDEX(Keys!$F:$F,MATCH($A25,Keys!$D:$D,0))="Y",0,IF($B28=1,IF(INDEX(Keys!$E:$E,MATCH($A25,Keys!$D:$D,0))="Y",1,0),1))</f>
        <v>0</v>
      </c>
      <c r="AD25">
        <f>IF(INDEX(Keys!$F:$F,MATCH($A25,Keys!$D:$D,0))="Y",0,IF($B28=1,IF(INDEX(Keys!$E:$E,MATCH($A25,Keys!$D:$D,0))="Y",1,0),1))</f>
        <v>0</v>
      </c>
      <c r="AE25">
        <f>IF(INDEX(Keys!$F:$F,MATCH($A25,Keys!$D:$D,0))="Y",0,IF($B28=1,IF(INDEX(Keys!$E:$E,MATCH($A25,Keys!$D:$D,0))="Y",1,0),1))</f>
        <v>0</v>
      </c>
    </row>
    <row r="26" spans="1:31" x14ac:dyDescent="0.45">
      <c r="A26" t="str">
        <f>Keys!$D26</f>
        <v>construction 41T43</v>
      </c>
      <c r="B26">
        <f>IF(INDEX(Keys!$F:$F,MATCH($A26,Keys!$D:$D,0))="Y",0,IF($B28=1,IF(INDEX(Keys!$E:$E,MATCH($A26,Keys!$D:$D,0))="Y",1,0),1))</f>
        <v>1</v>
      </c>
      <c r="C26">
        <f>IF(INDEX(Keys!$F:$F,MATCH($A26,Keys!$D:$D,0))="Y",0,IF($B28=1,IF(INDEX(Keys!$E:$E,MATCH($A26,Keys!$D:$D,0))="Y",1,0),1))</f>
        <v>1</v>
      </c>
      <c r="D26">
        <f>IF(INDEX(Keys!$F:$F,MATCH($A26,Keys!$D:$D,0))="Y",0,IF($B28=1,IF(INDEX(Keys!$E:$E,MATCH($A26,Keys!$D:$D,0))="Y",1,0),1))</f>
        <v>1</v>
      </c>
      <c r="E26">
        <f>IF(INDEX(Keys!$F:$F,MATCH($A26,Keys!$D:$D,0))="Y",0,IF($B28=1,IF(INDEX(Keys!$E:$E,MATCH($A26,Keys!$D:$D,0))="Y",1,0),1))</f>
        <v>1</v>
      </c>
      <c r="F26">
        <f>IF(INDEX(Keys!$F:$F,MATCH($A26,Keys!$D:$D,0))="Y",0,IF($B28=1,IF(INDEX(Keys!$E:$E,MATCH($A26,Keys!$D:$D,0))="Y",1,0),1))</f>
        <v>1</v>
      </c>
      <c r="G26">
        <f>IF(INDEX(Keys!$F:$F,MATCH($A26,Keys!$D:$D,0))="Y",0,IF($B28=1,IF(INDEX(Keys!$E:$E,MATCH($A26,Keys!$D:$D,0))="Y",1,0),1))</f>
        <v>1</v>
      </c>
      <c r="H26">
        <f>IF(INDEX(Keys!$F:$F,MATCH($A26,Keys!$D:$D,0))="Y",0,IF($B28=1,IF(INDEX(Keys!$E:$E,MATCH($A26,Keys!$D:$D,0))="Y",1,0),1))</f>
        <v>1</v>
      </c>
      <c r="I26">
        <f>IF(INDEX(Keys!$F:$F,MATCH($A26,Keys!$D:$D,0))="Y",0,IF($B28=1,IF(INDEX(Keys!$E:$E,MATCH($A26,Keys!$D:$D,0))="Y",1,0),1))</f>
        <v>1</v>
      </c>
      <c r="J26">
        <f>IF(INDEX(Keys!$F:$F,MATCH($A26,Keys!$D:$D,0))="Y",0,IF($B28=1,IF(INDEX(Keys!$E:$E,MATCH($A26,Keys!$D:$D,0))="Y",1,0),1))</f>
        <v>1</v>
      </c>
      <c r="K26">
        <f>IF(INDEX(Keys!$F:$F,MATCH($A26,Keys!$D:$D,0))="Y",0,IF($B28=1,IF(INDEX(Keys!$E:$E,MATCH($A26,Keys!$D:$D,0))="Y",1,0),1))</f>
        <v>1</v>
      </c>
      <c r="L26">
        <f>IF(INDEX(Keys!$F:$F,MATCH($A26,Keys!$D:$D,0))="Y",0,IF($B28=1,IF(INDEX(Keys!$E:$E,MATCH($A26,Keys!$D:$D,0))="Y",1,0),1))</f>
        <v>1</v>
      </c>
      <c r="M26">
        <f>IF(INDEX(Keys!$F:$F,MATCH($A26,Keys!$D:$D,0))="Y",0,IF($B28=1,IF(INDEX(Keys!$E:$E,MATCH($A26,Keys!$D:$D,0))="Y",1,0),1))</f>
        <v>1</v>
      </c>
      <c r="N26">
        <f>IF(INDEX(Keys!$F:$F,MATCH($A26,Keys!$D:$D,0))="Y",0,IF($B28=1,IF(INDEX(Keys!$E:$E,MATCH($A26,Keys!$D:$D,0))="Y",1,0),1))</f>
        <v>1</v>
      </c>
      <c r="O26">
        <f>IF(INDEX(Keys!$F:$F,MATCH($A26,Keys!$D:$D,0))="Y",0,IF($B28=1,IF(INDEX(Keys!$E:$E,MATCH($A26,Keys!$D:$D,0))="Y",1,0),1))</f>
        <v>1</v>
      </c>
      <c r="P26">
        <f>IF(INDEX(Keys!$F:$F,MATCH($A26,Keys!$D:$D,0))="Y",0,IF($B28=1,IF(INDEX(Keys!$E:$E,MATCH($A26,Keys!$D:$D,0))="Y",1,0),1))</f>
        <v>1</v>
      </c>
      <c r="Q26">
        <f>IF(INDEX(Keys!$F:$F,MATCH($A26,Keys!$D:$D,0))="Y",0,IF($B28=1,IF(INDEX(Keys!$E:$E,MATCH($A26,Keys!$D:$D,0))="Y",1,0),1))</f>
        <v>1</v>
      </c>
      <c r="R26">
        <f>IF(INDEX(Keys!$F:$F,MATCH($A26,Keys!$D:$D,0))="Y",0,IF($B28=1,IF(INDEX(Keys!$E:$E,MATCH($A26,Keys!$D:$D,0))="Y",1,0),1))</f>
        <v>1</v>
      </c>
      <c r="S26">
        <f>IF(INDEX(Keys!$F:$F,MATCH($A26,Keys!$D:$D,0))="Y",0,IF($B28=1,IF(INDEX(Keys!$E:$E,MATCH($A26,Keys!$D:$D,0))="Y",1,0),1))</f>
        <v>1</v>
      </c>
      <c r="T26">
        <f>IF(INDEX(Keys!$F:$F,MATCH($A26,Keys!$D:$D,0))="Y",0,IF($B28=1,IF(INDEX(Keys!$E:$E,MATCH($A26,Keys!$D:$D,0))="Y",1,0),1))</f>
        <v>1</v>
      </c>
      <c r="U26">
        <f>IF(INDEX(Keys!$F:$F,MATCH($A26,Keys!$D:$D,0))="Y",0,IF($B28=1,IF(INDEX(Keys!$E:$E,MATCH($A26,Keys!$D:$D,0))="Y",1,0),1))</f>
        <v>1</v>
      </c>
      <c r="V26">
        <f>IF(INDEX(Keys!$F:$F,MATCH($A26,Keys!$D:$D,0))="Y",0,IF($B28=1,IF(INDEX(Keys!$E:$E,MATCH($A26,Keys!$D:$D,0))="Y",1,0),1))</f>
        <v>1</v>
      </c>
      <c r="W26">
        <f>IF(INDEX(Keys!$F:$F,MATCH($A26,Keys!$D:$D,0))="Y",0,IF($B28=1,IF(INDEX(Keys!$E:$E,MATCH($A26,Keys!$D:$D,0))="Y",1,0),1))</f>
        <v>1</v>
      </c>
      <c r="X26">
        <f>IF(INDEX(Keys!$F:$F,MATCH($A26,Keys!$D:$D,0))="Y",0,IF($B28=1,IF(INDEX(Keys!$E:$E,MATCH($A26,Keys!$D:$D,0))="Y",1,0),1))</f>
        <v>1</v>
      </c>
      <c r="Y26">
        <f>IF(INDEX(Keys!$F:$F,MATCH($A26,Keys!$D:$D,0))="Y",0,IF($B28=1,IF(INDEX(Keys!$E:$E,MATCH($A26,Keys!$D:$D,0))="Y",1,0),1))</f>
        <v>1</v>
      </c>
      <c r="Z26">
        <f>IF(INDEX(Keys!$F:$F,MATCH($A26,Keys!$D:$D,0))="Y",0,IF($B28=1,IF(INDEX(Keys!$E:$E,MATCH($A26,Keys!$D:$D,0))="Y",1,0),1))</f>
        <v>1</v>
      </c>
      <c r="AA26">
        <f>IF(INDEX(Keys!$F:$F,MATCH($A26,Keys!$D:$D,0))="Y",0,IF($B28=1,IF(INDEX(Keys!$E:$E,MATCH($A26,Keys!$D:$D,0))="Y",1,0),1))</f>
        <v>1</v>
      </c>
      <c r="AB26">
        <f>IF(INDEX(Keys!$F:$F,MATCH($A26,Keys!$D:$D,0))="Y",0,IF($B28=1,IF(INDEX(Keys!$E:$E,MATCH($A26,Keys!$D:$D,0))="Y",1,0),1))</f>
        <v>1</v>
      </c>
      <c r="AC26">
        <f>IF(INDEX(Keys!$F:$F,MATCH($A26,Keys!$D:$D,0))="Y",0,IF($B28=1,IF(INDEX(Keys!$E:$E,MATCH($A26,Keys!$D:$D,0))="Y",1,0),1))</f>
        <v>1</v>
      </c>
      <c r="AD26">
        <f>IF(INDEX(Keys!$F:$F,MATCH($A26,Keys!$D:$D,0))="Y",0,IF($B28=1,IF(INDEX(Keys!$E:$E,MATCH($A26,Keys!$D:$D,0))="Y",1,0),1))</f>
        <v>1</v>
      </c>
      <c r="AE26">
        <f>IF(INDEX(Keys!$F:$F,MATCH($A26,Keys!$D:$D,0))="Y",0,IF($B28=1,IF(INDEX(Keys!$E:$E,MATCH($A26,Keys!$D:$D,0))="Y",1,0),1))</f>
        <v>1</v>
      </c>
    </row>
    <row r="28" spans="1:31" x14ac:dyDescent="0.45">
      <c r="A28" t="s">
        <v>195</v>
      </c>
      <c r="B28">
        <f>IF(COUNTIFS('State Policies'!$J:$J,About!$B$2,'State Policies'!$I:$I,"Y")&gt;0,1,0)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26"/>
  <sheetViews>
    <sheetView workbookViewId="0"/>
  </sheetViews>
  <sheetFormatPr defaultRowHeight="14.25" x14ac:dyDescent="0.45"/>
  <sheetData>
    <row r="1" spans="1:31" x14ac:dyDescent="0.45">
      <c r="A1" t="str">
        <f>'State Calculations'!A1</f>
        <v>Unit: dimensionless</v>
      </c>
      <c r="B1">
        <f>'State Calculations'!B1</f>
        <v>2021</v>
      </c>
      <c r="C1">
        <f>'State Calculations'!C1</f>
        <v>2022</v>
      </c>
      <c r="D1">
        <f>'State Calculations'!D1</f>
        <v>2023</v>
      </c>
      <c r="E1">
        <f>'State Calculations'!E1</f>
        <v>2024</v>
      </c>
      <c r="F1">
        <f>'State Calculations'!F1</f>
        <v>2025</v>
      </c>
      <c r="G1">
        <f>'State Calculations'!G1</f>
        <v>2026</v>
      </c>
      <c r="H1">
        <f>'State Calculations'!H1</f>
        <v>2027</v>
      </c>
      <c r="I1">
        <f>'State Calculations'!I1</f>
        <v>2028</v>
      </c>
      <c r="J1">
        <f>'State Calculations'!J1</f>
        <v>2029</v>
      </c>
      <c r="K1">
        <f>'State Calculations'!K1</f>
        <v>2030</v>
      </c>
      <c r="L1">
        <f>'State Calculations'!L1</f>
        <v>2031</v>
      </c>
      <c r="M1">
        <f>'State Calculations'!M1</f>
        <v>2032</v>
      </c>
      <c r="N1">
        <f>'State Calculations'!N1</f>
        <v>2033</v>
      </c>
      <c r="O1">
        <f>'State Calculations'!O1</f>
        <v>2034</v>
      </c>
      <c r="P1">
        <f>'State Calculations'!P1</f>
        <v>2035</v>
      </c>
      <c r="Q1">
        <f>'State Calculations'!Q1</f>
        <v>2036</v>
      </c>
      <c r="R1">
        <f>'State Calculations'!R1</f>
        <v>2037</v>
      </c>
      <c r="S1">
        <f>'State Calculations'!S1</f>
        <v>2038</v>
      </c>
      <c r="T1">
        <f>'State Calculations'!T1</f>
        <v>2039</v>
      </c>
      <c r="U1">
        <f>'State Calculations'!U1</f>
        <v>2040</v>
      </c>
      <c r="V1">
        <f>'State Calculations'!V1</f>
        <v>2041</v>
      </c>
      <c r="W1">
        <f>'State Calculations'!W1</f>
        <v>2042</v>
      </c>
      <c r="X1">
        <f>'State Calculations'!X1</f>
        <v>2043</v>
      </c>
      <c r="Y1">
        <f>'State Calculations'!Y1</f>
        <v>2044</v>
      </c>
      <c r="Z1">
        <f>'State Calculations'!Z1</f>
        <v>2045</v>
      </c>
      <c r="AA1">
        <f>'State Calculations'!AA1</f>
        <v>2046</v>
      </c>
      <c r="AB1">
        <f>'State Calculations'!AB1</f>
        <v>2047</v>
      </c>
      <c r="AC1">
        <f>'State Calculations'!AC1</f>
        <v>2048</v>
      </c>
      <c r="AD1">
        <f>'State Calculations'!AD1</f>
        <v>2049</v>
      </c>
      <c r="AE1">
        <f>'State Calculations'!AE1</f>
        <v>2050</v>
      </c>
    </row>
    <row r="2" spans="1:31" x14ac:dyDescent="0.45">
      <c r="A2" t="str">
        <f>'State Calculations'!A2</f>
        <v>agriculture and forestry 01T03</v>
      </c>
      <c r="B2">
        <f>'State Calculations'!B2</f>
        <v>0</v>
      </c>
      <c r="C2">
        <f>'State Calculations'!C2</f>
        <v>0</v>
      </c>
      <c r="D2">
        <f>'State Calculations'!D2</f>
        <v>0</v>
      </c>
      <c r="E2">
        <f>'State Calculations'!E2</f>
        <v>0</v>
      </c>
      <c r="F2">
        <f>'State Calculations'!F2</f>
        <v>0</v>
      </c>
      <c r="G2">
        <f>'State Calculations'!G2</f>
        <v>0</v>
      </c>
      <c r="H2">
        <f>'State Calculations'!H2</f>
        <v>0</v>
      </c>
      <c r="I2">
        <f>'State Calculations'!I2</f>
        <v>0</v>
      </c>
      <c r="J2">
        <f>'State Calculations'!J2</f>
        <v>0</v>
      </c>
      <c r="K2">
        <f>'State Calculations'!K2</f>
        <v>0</v>
      </c>
      <c r="L2">
        <f>'State Calculations'!L2</f>
        <v>0</v>
      </c>
      <c r="M2">
        <f>'State Calculations'!M2</f>
        <v>0</v>
      </c>
      <c r="N2">
        <f>'State Calculations'!N2</f>
        <v>0</v>
      </c>
      <c r="O2">
        <f>'State Calculations'!O2</f>
        <v>0</v>
      </c>
      <c r="P2">
        <f>'State Calculations'!P2</f>
        <v>0</v>
      </c>
      <c r="Q2">
        <f>'State Calculations'!Q2</f>
        <v>0</v>
      </c>
      <c r="R2">
        <f>'State Calculations'!R2</f>
        <v>0</v>
      </c>
      <c r="S2">
        <f>'State Calculations'!S2</f>
        <v>0</v>
      </c>
      <c r="T2">
        <f>'State Calculations'!T2</f>
        <v>0</v>
      </c>
      <c r="U2">
        <f>'State Calculations'!U2</f>
        <v>0</v>
      </c>
      <c r="V2">
        <f>'State Calculations'!V2</f>
        <v>0</v>
      </c>
      <c r="W2">
        <f>'State Calculations'!W2</f>
        <v>0</v>
      </c>
      <c r="X2">
        <f>'State Calculations'!X2</f>
        <v>0</v>
      </c>
      <c r="Y2">
        <f>'State Calculations'!Y2</f>
        <v>0</v>
      </c>
      <c r="Z2">
        <f>'State Calculations'!Z2</f>
        <v>0</v>
      </c>
      <c r="AA2">
        <f>'State Calculations'!AA2</f>
        <v>0</v>
      </c>
      <c r="AB2">
        <f>'State Calculations'!AB2</f>
        <v>0</v>
      </c>
      <c r="AC2">
        <f>'State Calculations'!AC2</f>
        <v>0</v>
      </c>
      <c r="AD2">
        <f>'State Calculations'!AD2</f>
        <v>0</v>
      </c>
      <c r="AE2">
        <f>'State Calculations'!AE2</f>
        <v>0</v>
      </c>
    </row>
    <row r="3" spans="1:31" x14ac:dyDescent="0.45">
      <c r="A3" t="str">
        <f>'State Calculations'!A3</f>
        <v>coal mining 05</v>
      </c>
      <c r="B3">
        <f>'State Calculations'!B3</f>
        <v>1</v>
      </c>
      <c r="C3">
        <f>'State Calculations'!C3</f>
        <v>1</v>
      </c>
      <c r="D3">
        <f>'State Calculations'!D3</f>
        <v>1</v>
      </c>
      <c r="E3">
        <f>'State Calculations'!E3</f>
        <v>1</v>
      </c>
      <c r="F3">
        <f>'State Calculations'!F3</f>
        <v>1</v>
      </c>
      <c r="G3">
        <f>'State Calculations'!G3</f>
        <v>1</v>
      </c>
      <c r="H3">
        <f>'State Calculations'!H3</f>
        <v>1</v>
      </c>
      <c r="I3">
        <f>'State Calculations'!I3</f>
        <v>1</v>
      </c>
      <c r="J3">
        <f>'State Calculations'!J3</f>
        <v>1</v>
      </c>
      <c r="K3">
        <f>'State Calculations'!K3</f>
        <v>1</v>
      </c>
      <c r="L3">
        <f>'State Calculations'!L3</f>
        <v>1</v>
      </c>
      <c r="M3">
        <f>'State Calculations'!M3</f>
        <v>1</v>
      </c>
      <c r="N3">
        <f>'State Calculations'!N3</f>
        <v>1</v>
      </c>
      <c r="O3">
        <f>'State Calculations'!O3</f>
        <v>1</v>
      </c>
      <c r="P3">
        <f>'State Calculations'!P3</f>
        <v>1</v>
      </c>
      <c r="Q3">
        <f>'State Calculations'!Q3</f>
        <v>1</v>
      </c>
      <c r="R3">
        <f>'State Calculations'!R3</f>
        <v>1</v>
      </c>
      <c r="S3">
        <f>'State Calculations'!S3</f>
        <v>1</v>
      </c>
      <c r="T3">
        <f>'State Calculations'!T3</f>
        <v>1</v>
      </c>
      <c r="U3">
        <f>'State Calculations'!U3</f>
        <v>1</v>
      </c>
      <c r="V3">
        <f>'State Calculations'!V3</f>
        <v>1</v>
      </c>
      <c r="W3">
        <f>'State Calculations'!W3</f>
        <v>1</v>
      </c>
      <c r="X3">
        <f>'State Calculations'!X3</f>
        <v>1</v>
      </c>
      <c r="Y3">
        <f>'State Calculations'!Y3</f>
        <v>1</v>
      </c>
      <c r="Z3">
        <f>'State Calculations'!Z3</f>
        <v>1</v>
      </c>
      <c r="AA3">
        <f>'State Calculations'!AA3</f>
        <v>1</v>
      </c>
      <c r="AB3">
        <f>'State Calculations'!AB3</f>
        <v>1</v>
      </c>
      <c r="AC3">
        <f>'State Calculations'!AC3</f>
        <v>1</v>
      </c>
      <c r="AD3">
        <f>'State Calculations'!AD3</f>
        <v>1</v>
      </c>
      <c r="AE3">
        <f>'State Calculations'!AE3</f>
        <v>1</v>
      </c>
    </row>
    <row r="4" spans="1:31" x14ac:dyDescent="0.45">
      <c r="A4" t="str">
        <f>'State Calculations'!A4</f>
        <v>oil and gas extraction 06</v>
      </c>
      <c r="B4">
        <f>'State Calculations'!B4</f>
        <v>1</v>
      </c>
      <c r="C4">
        <f>'State Calculations'!C4</f>
        <v>1</v>
      </c>
      <c r="D4">
        <f>'State Calculations'!D4</f>
        <v>1</v>
      </c>
      <c r="E4">
        <f>'State Calculations'!E4</f>
        <v>1</v>
      </c>
      <c r="F4">
        <f>'State Calculations'!F4</f>
        <v>1</v>
      </c>
      <c r="G4">
        <f>'State Calculations'!G4</f>
        <v>1</v>
      </c>
      <c r="H4">
        <f>'State Calculations'!H4</f>
        <v>1</v>
      </c>
      <c r="I4">
        <f>'State Calculations'!I4</f>
        <v>1</v>
      </c>
      <c r="J4">
        <f>'State Calculations'!J4</f>
        <v>1</v>
      </c>
      <c r="K4">
        <f>'State Calculations'!K4</f>
        <v>1</v>
      </c>
      <c r="L4">
        <f>'State Calculations'!L4</f>
        <v>1</v>
      </c>
      <c r="M4">
        <f>'State Calculations'!M4</f>
        <v>1</v>
      </c>
      <c r="N4">
        <f>'State Calculations'!N4</f>
        <v>1</v>
      </c>
      <c r="O4">
        <f>'State Calculations'!O4</f>
        <v>1</v>
      </c>
      <c r="P4">
        <f>'State Calculations'!P4</f>
        <v>1</v>
      </c>
      <c r="Q4">
        <f>'State Calculations'!Q4</f>
        <v>1</v>
      </c>
      <c r="R4">
        <f>'State Calculations'!R4</f>
        <v>1</v>
      </c>
      <c r="S4">
        <f>'State Calculations'!S4</f>
        <v>1</v>
      </c>
      <c r="T4">
        <f>'State Calculations'!T4</f>
        <v>1</v>
      </c>
      <c r="U4">
        <f>'State Calculations'!U4</f>
        <v>1</v>
      </c>
      <c r="V4">
        <f>'State Calculations'!V4</f>
        <v>1</v>
      </c>
      <c r="W4">
        <f>'State Calculations'!W4</f>
        <v>1</v>
      </c>
      <c r="X4">
        <f>'State Calculations'!X4</f>
        <v>1</v>
      </c>
      <c r="Y4">
        <f>'State Calculations'!Y4</f>
        <v>1</v>
      </c>
      <c r="Z4">
        <f>'State Calculations'!Z4</f>
        <v>1</v>
      </c>
      <c r="AA4">
        <f>'State Calculations'!AA4</f>
        <v>1</v>
      </c>
      <c r="AB4">
        <f>'State Calculations'!AB4</f>
        <v>1</v>
      </c>
      <c r="AC4">
        <f>'State Calculations'!AC4</f>
        <v>1</v>
      </c>
      <c r="AD4">
        <f>'State Calculations'!AD4</f>
        <v>1</v>
      </c>
      <c r="AE4">
        <f>'State Calculations'!AE4</f>
        <v>1</v>
      </c>
    </row>
    <row r="5" spans="1:31" x14ac:dyDescent="0.45">
      <c r="A5" t="str">
        <f>'State Calculations'!A5</f>
        <v>other mining and quarrying 07T08</v>
      </c>
      <c r="B5">
        <f>'State Calculations'!B5</f>
        <v>1</v>
      </c>
      <c r="C5">
        <f>'State Calculations'!C5</f>
        <v>1</v>
      </c>
      <c r="D5">
        <f>'State Calculations'!D5</f>
        <v>1</v>
      </c>
      <c r="E5">
        <f>'State Calculations'!E5</f>
        <v>1</v>
      </c>
      <c r="F5">
        <f>'State Calculations'!F5</f>
        <v>1</v>
      </c>
      <c r="G5">
        <f>'State Calculations'!G5</f>
        <v>1</v>
      </c>
      <c r="H5">
        <f>'State Calculations'!H5</f>
        <v>1</v>
      </c>
      <c r="I5">
        <f>'State Calculations'!I5</f>
        <v>1</v>
      </c>
      <c r="J5">
        <f>'State Calculations'!J5</f>
        <v>1</v>
      </c>
      <c r="K5">
        <f>'State Calculations'!K5</f>
        <v>1</v>
      </c>
      <c r="L5">
        <f>'State Calculations'!L5</f>
        <v>1</v>
      </c>
      <c r="M5">
        <f>'State Calculations'!M5</f>
        <v>1</v>
      </c>
      <c r="N5">
        <f>'State Calculations'!N5</f>
        <v>1</v>
      </c>
      <c r="O5">
        <f>'State Calculations'!O5</f>
        <v>1</v>
      </c>
      <c r="P5">
        <f>'State Calculations'!P5</f>
        <v>1</v>
      </c>
      <c r="Q5">
        <f>'State Calculations'!Q5</f>
        <v>1</v>
      </c>
      <c r="R5">
        <f>'State Calculations'!R5</f>
        <v>1</v>
      </c>
      <c r="S5">
        <f>'State Calculations'!S5</f>
        <v>1</v>
      </c>
      <c r="T5">
        <f>'State Calculations'!T5</f>
        <v>1</v>
      </c>
      <c r="U5">
        <f>'State Calculations'!U5</f>
        <v>1</v>
      </c>
      <c r="V5">
        <f>'State Calculations'!V5</f>
        <v>1</v>
      </c>
      <c r="W5">
        <f>'State Calculations'!W5</f>
        <v>1</v>
      </c>
      <c r="X5">
        <f>'State Calculations'!X5</f>
        <v>1</v>
      </c>
      <c r="Y5">
        <f>'State Calculations'!Y5</f>
        <v>1</v>
      </c>
      <c r="Z5">
        <f>'State Calculations'!Z5</f>
        <v>1</v>
      </c>
      <c r="AA5">
        <f>'State Calculations'!AA5</f>
        <v>1</v>
      </c>
      <c r="AB5">
        <f>'State Calculations'!AB5</f>
        <v>1</v>
      </c>
      <c r="AC5">
        <f>'State Calculations'!AC5</f>
        <v>1</v>
      </c>
      <c r="AD5">
        <f>'State Calculations'!AD5</f>
        <v>1</v>
      </c>
      <c r="AE5">
        <f>'State Calculations'!AE5</f>
        <v>1</v>
      </c>
    </row>
    <row r="6" spans="1:31" x14ac:dyDescent="0.45">
      <c r="A6" t="str">
        <f>'State Calculations'!A6</f>
        <v>food beverage and tobacco 10T12</v>
      </c>
      <c r="B6">
        <f>'State Calculations'!B6</f>
        <v>1</v>
      </c>
      <c r="C6">
        <f>'State Calculations'!C6</f>
        <v>1</v>
      </c>
      <c r="D6">
        <f>'State Calculations'!D6</f>
        <v>1</v>
      </c>
      <c r="E6">
        <f>'State Calculations'!E6</f>
        <v>1</v>
      </c>
      <c r="F6">
        <f>'State Calculations'!F6</f>
        <v>1</v>
      </c>
      <c r="G6">
        <f>'State Calculations'!G6</f>
        <v>1</v>
      </c>
      <c r="H6">
        <f>'State Calculations'!H6</f>
        <v>1</v>
      </c>
      <c r="I6">
        <f>'State Calculations'!I6</f>
        <v>1</v>
      </c>
      <c r="J6">
        <f>'State Calculations'!J6</f>
        <v>1</v>
      </c>
      <c r="K6">
        <f>'State Calculations'!K6</f>
        <v>1</v>
      </c>
      <c r="L6">
        <f>'State Calculations'!L6</f>
        <v>1</v>
      </c>
      <c r="M6">
        <f>'State Calculations'!M6</f>
        <v>1</v>
      </c>
      <c r="N6">
        <f>'State Calculations'!N6</f>
        <v>1</v>
      </c>
      <c r="O6">
        <f>'State Calculations'!O6</f>
        <v>1</v>
      </c>
      <c r="P6">
        <f>'State Calculations'!P6</f>
        <v>1</v>
      </c>
      <c r="Q6">
        <f>'State Calculations'!Q6</f>
        <v>1</v>
      </c>
      <c r="R6">
        <f>'State Calculations'!R6</f>
        <v>1</v>
      </c>
      <c r="S6">
        <f>'State Calculations'!S6</f>
        <v>1</v>
      </c>
      <c r="T6">
        <f>'State Calculations'!T6</f>
        <v>1</v>
      </c>
      <c r="U6">
        <f>'State Calculations'!U6</f>
        <v>1</v>
      </c>
      <c r="V6">
        <f>'State Calculations'!V6</f>
        <v>1</v>
      </c>
      <c r="W6">
        <f>'State Calculations'!W6</f>
        <v>1</v>
      </c>
      <c r="X6">
        <f>'State Calculations'!X6</f>
        <v>1</v>
      </c>
      <c r="Y6">
        <f>'State Calculations'!Y6</f>
        <v>1</v>
      </c>
      <c r="Z6">
        <f>'State Calculations'!Z6</f>
        <v>1</v>
      </c>
      <c r="AA6">
        <f>'State Calculations'!AA6</f>
        <v>1</v>
      </c>
      <c r="AB6">
        <f>'State Calculations'!AB6</f>
        <v>1</v>
      </c>
      <c r="AC6">
        <f>'State Calculations'!AC6</f>
        <v>1</v>
      </c>
      <c r="AD6">
        <f>'State Calculations'!AD6</f>
        <v>1</v>
      </c>
      <c r="AE6">
        <f>'State Calculations'!AE6</f>
        <v>1</v>
      </c>
    </row>
    <row r="7" spans="1:31" x14ac:dyDescent="0.45">
      <c r="A7" t="str">
        <f>'State Calculations'!A7</f>
        <v>textiles apparel and leather 13T15</v>
      </c>
      <c r="B7">
        <f>'State Calculations'!B7</f>
        <v>1</v>
      </c>
      <c r="C7">
        <f>'State Calculations'!C7</f>
        <v>1</v>
      </c>
      <c r="D7">
        <f>'State Calculations'!D7</f>
        <v>1</v>
      </c>
      <c r="E7">
        <f>'State Calculations'!E7</f>
        <v>1</v>
      </c>
      <c r="F7">
        <f>'State Calculations'!F7</f>
        <v>1</v>
      </c>
      <c r="G7">
        <f>'State Calculations'!G7</f>
        <v>1</v>
      </c>
      <c r="H7">
        <f>'State Calculations'!H7</f>
        <v>1</v>
      </c>
      <c r="I7">
        <f>'State Calculations'!I7</f>
        <v>1</v>
      </c>
      <c r="J7">
        <f>'State Calculations'!J7</f>
        <v>1</v>
      </c>
      <c r="K7">
        <f>'State Calculations'!K7</f>
        <v>1</v>
      </c>
      <c r="L7">
        <f>'State Calculations'!L7</f>
        <v>1</v>
      </c>
      <c r="M7">
        <f>'State Calculations'!M7</f>
        <v>1</v>
      </c>
      <c r="N7">
        <f>'State Calculations'!N7</f>
        <v>1</v>
      </c>
      <c r="O7">
        <f>'State Calculations'!O7</f>
        <v>1</v>
      </c>
      <c r="P7">
        <f>'State Calculations'!P7</f>
        <v>1</v>
      </c>
      <c r="Q7">
        <f>'State Calculations'!Q7</f>
        <v>1</v>
      </c>
      <c r="R7">
        <f>'State Calculations'!R7</f>
        <v>1</v>
      </c>
      <c r="S7">
        <f>'State Calculations'!S7</f>
        <v>1</v>
      </c>
      <c r="T7">
        <f>'State Calculations'!T7</f>
        <v>1</v>
      </c>
      <c r="U7">
        <f>'State Calculations'!U7</f>
        <v>1</v>
      </c>
      <c r="V7">
        <f>'State Calculations'!V7</f>
        <v>1</v>
      </c>
      <c r="W7">
        <f>'State Calculations'!W7</f>
        <v>1</v>
      </c>
      <c r="X7">
        <f>'State Calculations'!X7</f>
        <v>1</v>
      </c>
      <c r="Y7">
        <f>'State Calculations'!Y7</f>
        <v>1</v>
      </c>
      <c r="Z7">
        <f>'State Calculations'!Z7</f>
        <v>1</v>
      </c>
      <c r="AA7">
        <f>'State Calculations'!AA7</f>
        <v>1</v>
      </c>
      <c r="AB7">
        <f>'State Calculations'!AB7</f>
        <v>1</v>
      </c>
      <c r="AC7">
        <f>'State Calculations'!AC7</f>
        <v>1</v>
      </c>
      <c r="AD7">
        <f>'State Calculations'!AD7</f>
        <v>1</v>
      </c>
      <c r="AE7">
        <f>'State Calculations'!AE7</f>
        <v>1</v>
      </c>
    </row>
    <row r="8" spans="1:31" x14ac:dyDescent="0.45">
      <c r="A8" t="str">
        <f>'State Calculations'!A8</f>
        <v>wood products 16</v>
      </c>
      <c r="B8">
        <f>'State Calculations'!B8</f>
        <v>1</v>
      </c>
      <c r="C8">
        <f>'State Calculations'!C8</f>
        <v>1</v>
      </c>
      <c r="D8">
        <f>'State Calculations'!D8</f>
        <v>1</v>
      </c>
      <c r="E8">
        <f>'State Calculations'!E8</f>
        <v>1</v>
      </c>
      <c r="F8">
        <f>'State Calculations'!F8</f>
        <v>1</v>
      </c>
      <c r="G8">
        <f>'State Calculations'!G8</f>
        <v>1</v>
      </c>
      <c r="H8">
        <f>'State Calculations'!H8</f>
        <v>1</v>
      </c>
      <c r="I8">
        <f>'State Calculations'!I8</f>
        <v>1</v>
      </c>
      <c r="J8">
        <f>'State Calculations'!J8</f>
        <v>1</v>
      </c>
      <c r="K8">
        <f>'State Calculations'!K8</f>
        <v>1</v>
      </c>
      <c r="L8">
        <f>'State Calculations'!L8</f>
        <v>1</v>
      </c>
      <c r="M8">
        <f>'State Calculations'!M8</f>
        <v>1</v>
      </c>
      <c r="N8">
        <f>'State Calculations'!N8</f>
        <v>1</v>
      </c>
      <c r="O8">
        <f>'State Calculations'!O8</f>
        <v>1</v>
      </c>
      <c r="P8">
        <f>'State Calculations'!P8</f>
        <v>1</v>
      </c>
      <c r="Q8">
        <f>'State Calculations'!Q8</f>
        <v>1</v>
      </c>
      <c r="R8">
        <f>'State Calculations'!R8</f>
        <v>1</v>
      </c>
      <c r="S8">
        <f>'State Calculations'!S8</f>
        <v>1</v>
      </c>
      <c r="T8">
        <f>'State Calculations'!T8</f>
        <v>1</v>
      </c>
      <c r="U8">
        <f>'State Calculations'!U8</f>
        <v>1</v>
      </c>
      <c r="V8">
        <f>'State Calculations'!V8</f>
        <v>1</v>
      </c>
      <c r="W8">
        <f>'State Calculations'!W8</f>
        <v>1</v>
      </c>
      <c r="X8">
        <f>'State Calculations'!X8</f>
        <v>1</v>
      </c>
      <c r="Y8">
        <f>'State Calculations'!Y8</f>
        <v>1</v>
      </c>
      <c r="Z8">
        <f>'State Calculations'!Z8</f>
        <v>1</v>
      </c>
      <c r="AA8">
        <f>'State Calculations'!AA8</f>
        <v>1</v>
      </c>
      <c r="AB8">
        <f>'State Calculations'!AB8</f>
        <v>1</v>
      </c>
      <c r="AC8">
        <f>'State Calculations'!AC8</f>
        <v>1</v>
      </c>
      <c r="AD8">
        <f>'State Calculations'!AD8</f>
        <v>1</v>
      </c>
      <c r="AE8">
        <f>'State Calculations'!AE8</f>
        <v>1</v>
      </c>
    </row>
    <row r="9" spans="1:31" x14ac:dyDescent="0.45">
      <c r="A9" t="str">
        <f>'State Calculations'!A9</f>
        <v>pulp paper and printing 17T18</v>
      </c>
      <c r="B9">
        <f>'State Calculations'!B9</f>
        <v>1</v>
      </c>
      <c r="C9">
        <f>'State Calculations'!C9</f>
        <v>1</v>
      </c>
      <c r="D9">
        <f>'State Calculations'!D9</f>
        <v>1</v>
      </c>
      <c r="E9">
        <f>'State Calculations'!E9</f>
        <v>1</v>
      </c>
      <c r="F9">
        <f>'State Calculations'!F9</f>
        <v>1</v>
      </c>
      <c r="G9">
        <f>'State Calculations'!G9</f>
        <v>1</v>
      </c>
      <c r="H9">
        <f>'State Calculations'!H9</f>
        <v>1</v>
      </c>
      <c r="I9">
        <f>'State Calculations'!I9</f>
        <v>1</v>
      </c>
      <c r="J9">
        <f>'State Calculations'!J9</f>
        <v>1</v>
      </c>
      <c r="K9">
        <f>'State Calculations'!K9</f>
        <v>1</v>
      </c>
      <c r="L9">
        <f>'State Calculations'!L9</f>
        <v>1</v>
      </c>
      <c r="M9">
        <f>'State Calculations'!M9</f>
        <v>1</v>
      </c>
      <c r="N9">
        <f>'State Calculations'!N9</f>
        <v>1</v>
      </c>
      <c r="O9">
        <f>'State Calculations'!O9</f>
        <v>1</v>
      </c>
      <c r="P9">
        <f>'State Calculations'!P9</f>
        <v>1</v>
      </c>
      <c r="Q9">
        <f>'State Calculations'!Q9</f>
        <v>1</v>
      </c>
      <c r="R9">
        <f>'State Calculations'!R9</f>
        <v>1</v>
      </c>
      <c r="S9">
        <f>'State Calculations'!S9</f>
        <v>1</v>
      </c>
      <c r="T9">
        <f>'State Calculations'!T9</f>
        <v>1</v>
      </c>
      <c r="U9">
        <f>'State Calculations'!U9</f>
        <v>1</v>
      </c>
      <c r="V9">
        <f>'State Calculations'!V9</f>
        <v>1</v>
      </c>
      <c r="W9">
        <f>'State Calculations'!W9</f>
        <v>1</v>
      </c>
      <c r="X9">
        <f>'State Calculations'!X9</f>
        <v>1</v>
      </c>
      <c r="Y9">
        <f>'State Calculations'!Y9</f>
        <v>1</v>
      </c>
      <c r="Z9">
        <f>'State Calculations'!Z9</f>
        <v>1</v>
      </c>
      <c r="AA9">
        <f>'State Calculations'!AA9</f>
        <v>1</v>
      </c>
      <c r="AB9">
        <f>'State Calculations'!AB9</f>
        <v>1</v>
      </c>
      <c r="AC9">
        <f>'State Calculations'!AC9</f>
        <v>1</v>
      </c>
      <c r="AD9">
        <f>'State Calculations'!AD9</f>
        <v>1</v>
      </c>
      <c r="AE9">
        <f>'State Calculations'!AE9</f>
        <v>1</v>
      </c>
    </row>
    <row r="10" spans="1:31" x14ac:dyDescent="0.45">
      <c r="A10" t="str">
        <f>'State Calculations'!A10</f>
        <v>refined petroleum and coke 19</v>
      </c>
      <c r="B10">
        <f>'State Calculations'!B10</f>
        <v>1</v>
      </c>
      <c r="C10">
        <f>'State Calculations'!C10</f>
        <v>1</v>
      </c>
      <c r="D10">
        <f>'State Calculations'!D10</f>
        <v>1</v>
      </c>
      <c r="E10">
        <f>'State Calculations'!E10</f>
        <v>1</v>
      </c>
      <c r="F10">
        <f>'State Calculations'!F10</f>
        <v>1</v>
      </c>
      <c r="G10">
        <f>'State Calculations'!G10</f>
        <v>1</v>
      </c>
      <c r="H10">
        <f>'State Calculations'!H10</f>
        <v>1</v>
      </c>
      <c r="I10">
        <f>'State Calculations'!I10</f>
        <v>1</v>
      </c>
      <c r="J10">
        <f>'State Calculations'!J10</f>
        <v>1</v>
      </c>
      <c r="K10">
        <f>'State Calculations'!K10</f>
        <v>1</v>
      </c>
      <c r="L10">
        <f>'State Calculations'!L10</f>
        <v>1</v>
      </c>
      <c r="M10">
        <f>'State Calculations'!M10</f>
        <v>1</v>
      </c>
      <c r="N10">
        <f>'State Calculations'!N10</f>
        <v>1</v>
      </c>
      <c r="O10">
        <f>'State Calculations'!O10</f>
        <v>1</v>
      </c>
      <c r="P10">
        <f>'State Calculations'!P10</f>
        <v>1</v>
      </c>
      <c r="Q10">
        <f>'State Calculations'!Q10</f>
        <v>1</v>
      </c>
      <c r="R10">
        <f>'State Calculations'!R10</f>
        <v>1</v>
      </c>
      <c r="S10">
        <f>'State Calculations'!S10</f>
        <v>1</v>
      </c>
      <c r="T10">
        <f>'State Calculations'!T10</f>
        <v>1</v>
      </c>
      <c r="U10">
        <f>'State Calculations'!U10</f>
        <v>1</v>
      </c>
      <c r="V10">
        <f>'State Calculations'!V10</f>
        <v>1</v>
      </c>
      <c r="W10">
        <f>'State Calculations'!W10</f>
        <v>1</v>
      </c>
      <c r="X10">
        <f>'State Calculations'!X10</f>
        <v>1</v>
      </c>
      <c r="Y10">
        <f>'State Calculations'!Y10</f>
        <v>1</v>
      </c>
      <c r="Z10">
        <f>'State Calculations'!Z10</f>
        <v>1</v>
      </c>
      <c r="AA10">
        <f>'State Calculations'!AA10</f>
        <v>1</v>
      </c>
      <c r="AB10">
        <f>'State Calculations'!AB10</f>
        <v>1</v>
      </c>
      <c r="AC10">
        <f>'State Calculations'!AC10</f>
        <v>1</v>
      </c>
      <c r="AD10">
        <f>'State Calculations'!AD10</f>
        <v>1</v>
      </c>
      <c r="AE10">
        <f>'State Calculations'!AE10</f>
        <v>1</v>
      </c>
    </row>
    <row r="11" spans="1:31" x14ac:dyDescent="0.45">
      <c r="A11" t="str">
        <f>'State Calculations'!A11</f>
        <v>chemicals 20</v>
      </c>
      <c r="B11">
        <f>'State Calculations'!B11</f>
        <v>1</v>
      </c>
      <c r="C11">
        <f>'State Calculations'!C11</f>
        <v>1</v>
      </c>
      <c r="D11">
        <f>'State Calculations'!D11</f>
        <v>1</v>
      </c>
      <c r="E11">
        <f>'State Calculations'!E11</f>
        <v>1</v>
      </c>
      <c r="F11">
        <f>'State Calculations'!F11</f>
        <v>1</v>
      </c>
      <c r="G11">
        <f>'State Calculations'!G11</f>
        <v>1</v>
      </c>
      <c r="H11">
        <f>'State Calculations'!H11</f>
        <v>1</v>
      </c>
      <c r="I11">
        <f>'State Calculations'!I11</f>
        <v>1</v>
      </c>
      <c r="J11">
        <f>'State Calculations'!J11</f>
        <v>1</v>
      </c>
      <c r="K11">
        <f>'State Calculations'!K11</f>
        <v>1</v>
      </c>
      <c r="L11">
        <f>'State Calculations'!L11</f>
        <v>1</v>
      </c>
      <c r="M11">
        <f>'State Calculations'!M11</f>
        <v>1</v>
      </c>
      <c r="N11">
        <f>'State Calculations'!N11</f>
        <v>1</v>
      </c>
      <c r="O11">
        <f>'State Calculations'!O11</f>
        <v>1</v>
      </c>
      <c r="P11">
        <f>'State Calculations'!P11</f>
        <v>1</v>
      </c>
      <c r="Q11">
        <f>'State Calculations'!Q11</f>
        <v>1</v>
      </c>
      <c r="R11">
        <f>'State Calculations'!R11</f>
        <v>1</v>
      </c>
      <c r="S11">
        <f>'State Calculations'!S11</f>
        <v>1</v>
      </c>
      <c r="T11">
        <f>'State Calculations'!T11</f>
        <v>1</v>
      </c>
      <c r="U11">
        <f>'State Calculations'!U11</f>
        <v>1</v>
      </c>
      <c r="V11">
        <f>'State Calculations'!V11</f>
        <v>1</v>
      </c>
      <c r="W11">
        <f>'State Calculations'!W11</f>
        <v>1</v>
      </c>
      <c r="X11">
        <f>'State Calculations'!X11</f>
        <v>1</v>
      </c>
      <c r="Y11">
        <f>'State Calculations'!Y11</f>
        <v>1</v>
      </c>
      <c r="Z11">
        <f>'State Calculations'!Z11</f>
        <v>1</v>
      </c>
      <c r="AA11">
        <f>'State Calculations'!AA11</f>
        <v>1</v>
      </c>
      <c r="AB11">
        <f>'State Calculations'!AB11</f>
        <v>1</v>
      </c>
      <c r="AC11">
        <f>'State Calculations'!AC11</f>
        <v>1</v>
      </c>
      <c r="AD11">
        <f>'State Calculations'!AD11</f>
        <v>1</v>
      </c>
      <c r="AE11">
        <f>'State Calculations'!AE11</f>
        <v>1</v>
      </c>
    </row>
    <row r="12" spans="1:31" x14ac:dyDescent="0.45">
      <c r="A12" t="str">
        <f>'State Calculations'!A12</f>
        <v>rubber and plastic products 22</v>
      </c>
      <c r="B12">
        <f>'State Calculations'!B12</f>
        <v>1</v>
      </c>
      <c r="C12">
        <f>'State Calculations'!C12</f>
        <v>1</v>
      </c>
      <c r="D12">
        <f>'State Calculations'!D12</f>
        <v>1</v>
      </c>
      <c r="E12">
        <f>'State Calculations'!E12</f>
        <v>1</v>
      </c>
      <c r="F12">
        <f>'State Calculations'!F12</f>
        <v>1</v>
      </c>
      <c r="G12">
        <f>'State Calculations'!G12</f>
        <v>1</v>
      </c>
      <c r="H12">
        <f>'State Calculations'!H12</f>
        <v>1</v>
      </c>
      <c r="I12">
        <f>'State Calculations'!I12</f>
        <v>1</v>
      </c>
      <c r="J12">
        <f>'State Calculations'!J12</f>
        <v>1</v>
      </c>
      <c r="K12">
        <f>'State Calculations'!K12</f>
        <v>1</v>
      </c>
      <c r="L12">
        <f>'State Calculations'!L12</f>
        <v>1</v>
      </c>
      <c r="M12">
        <f>'State Calculations'!M12</f>
        <v>1</v>
      </c>
      <c r="N12">
        <f>'State Calculations'!N12</f>
        <v>1</v>
      </c>
      <c r="O12">
        <f>'State Calculations'!O12</f>
        <v>1</v>
      </c>
      <c r="P12">
        <f>'State Calculations'!P12</f>
        <v>1</v>
      </c>
      <c r="Q12">
        <f>'State Calculations'!Q12</f>
        <v>1</v>
      </c>
      <c r="R12">
        <f>'State Calculations'!R12</f>
        <v>1</v>
      </c>
      <c r="S12">
        <f>'State Calculations'!S12</f>
        <v>1</v>
      </c>
      <c r="T12">
        <f>'State Calculations'!T12</f>
        <v>1</v>
      </c>
      <c r="U12">
        <f>'State Calculations'!U12</f>
        <v>1</v>
      </c>
      <c r="V12">
        <f>'State Calculations'!V12</f>
        <v>1</v>
      </c>
      <c r="W12">
        <f>'State Calculations'!W12</f>
        <v>1</v>
      </c>
      <c r="X12">
        <f>'State Calculations'!X12</f>
        <v>1</v>
      </c>
      <c r="Y12">
        <f>'State Calculations'!Y12</f>
        <v>1</v>
      </c>
      <c r="Z12">
        <f>'State Calculations'!Z12</f>
        <v>1</v>
      </c>
      <c r="AA12">
        <f>'State Calculations'!AA12</f>
        <v>1</v>
      </c>
      <c r="AB12">
        <f>'State Calculations'!AB12</f>
        <v>1</v>
      </c>
      <c r="AC12">
        <f>'State Calculations'!AC12</f>
        <v>1</v>
      </c>
      <c r="AD12">
        <f>'State Calculations'!AD12</f>
        <v>1</v>
      </c>
      <c r="AE12">
        <f>'State Calculations'!AE12</f>
        <v>1</v>
      </c>
    </row>
    <row r="13" spans="1:31" x14ac:dyDescent="0.45">
      <c r="A13" t="str">
        <f>'State Calculations'!A13</f>
        <v>glass and glass products 231</v>
      </c>
      <c r="B13">
        <f>'State Calculations'!B13</f>
        <v>1</v>
      </c>
      <c r="C13">
        <f>'State Calculations'!C13</f>
        <v>1</v>
      </c>
      <c r="D13">
        <f>'State Calculations'!D13</f>
        <v>1</v>
      </c>
      <c r="E13">
        <f>'State Calculations'!E13</f>
        <v>1</v>
      </c>
      <c r="F13">
        <f>'State Calculations'!F13</f>
        <v>1</v>
      </c>
      <c r="G13">
        <f>'State Calculations'!G13</f>
        <v>1</v>
      </c>
      <c r="H13">
        <f>'State Calculations'!H13</f>
        <v>1</v>
      </c>
      <c r="I13">
        <f>'State Calculations'!I13</f>
        <v>1</v>
      </c>
      <c r="J13">
        <f>'State Calculations'!J13</f>
        <v>1</v>
      </c>
      <c r="K13">
        <f>'State Calculations'!K13</f>
        <v>1</v>
      </c>
      <c r="L13">
        <f>'State Calculations'!L13</f>
        <v>1</v>
      </c>
      <c r="M13">
        <f>'State Calculations'!M13</f>
        <v>1</v>
      </c>
      <c r="N13">
        <f>'State Calculations'!N13</f>
        <v>1</v>
      </c>
      <c r="O13">
        <f>'State Calculations'!O13</f>
        <v>1</v>
      </c>
      <c r="P13">
        <f>'State Calculations'!P13</f>
        <v>1</v>
      </c>
      <c r="Q13">
        <f>'State Calculations'!Q13</f>
        <v>1</v>
      </c>
      <c r="R13">
        <f>'State Calculations'!R13</f>
        <v>1</v>
      </c>
      <c r="S13">
        <f>'State Calculations'!S13</f>
        <v>1</v>
      </c>
      <c r="T13">
        <f>'State Calculations'!T13</f>
        <v>1</v>
      </c>
      <c r="U13">
        <f>'State Calculations'!U13</f>
        <v>1</v>
      </c>
      <c r="V13">
        <f>'State Calculations'!V13</f>
        <v>1</v>
      </c>
      <c r="W13">
        <f>'State Calculations'!W13</f>
        <v>1</v>
      </c>
      <c r="X13">
        <f>'State Calculations'!X13</f>
        <v>1</v>
      </c>
      <c r="Y13">
        <f>'State Calculations'!Y13</f>
        <v>1</v>
      </c>
      <c r="Z13">
        <f>'State Calculations'!Z13</f>
        <v>1</v>
      </c>
      <c r="AA13">
        <f>'State Calculations'!AA13</f>
        <v>1</v>
      </c>
      <c r="AB13">
        <f>'State Calculations'!AB13</f>
        <v>1</v>
      </c>
      <c r="AC13">
        <f>'State Calculations'!AC13</f>
        <v>1</v>
      </c>
      <c r="AD13">
        <f>'State Calculations'!AD13</f>
        <v>1</v>
      </c>
      <c r="AE13">
        <f>'State Calculations'!AE13</f>
        <v>1</v>
      </c>
    </row>
    <row r="14" spans="1:31" x14ac:dyDescent="0.45">
      <c r="A14" t="str">
        <f>'State Calculations'!A14</f>
        <v>cement and other nonmetallic minerals 239</v>
      </c>
      <c r="B14">
        <f>'State Calculations'!B14</f>
        <v>1</v>
      </c>
      <c r="C14">
        <f>'State Calculations'!C14</f>
        <v>1</v>
      </c>
      <c r="D14">
        <f>'State Calculations'!D14</f>
        <v>1</v>
      </c>
      <c r="E14">
        <f>'State Calculations'!E14</f>
        <v>1</v>
      </c>
      <c r="F14">
        <f>'State Calculations'!F14</f>
        <v>1</v>
      </c>
      <c r="G14">
        <f>'State Calculations'!G14</f>
        <v>1</v>
      </c>
      <c r="H14">
        <f>'State Calculations'!H14</f>
        <v>1</v>
      </c>
      <c r="I14">
        <f>'State Calculations'!I14</f>
        <v>1</v>
      </c>
      <c r="J14">
        <f>'State Calculations'!J14</f>
        <v>1</v>
      </c>
      <c r="K14">
        <f>'State Calculations'!K14</f>
        <v>1</v>
      </c>
      <c r="L14">
        <f>'State Calculations'!L14</f>
        <v>1</v>
      </c>
      <c r="M14">
        <f>'State Calculations'!M14</f>
        <v>1</v>
      </c>
      <c r="N14">
        <f>'State Calculations'!N14</f>
        <v>1</v>
      </c>
      <c r="O14">
        <f>'State Calculations'!O14</f>
        <v>1</v>
      </c>
      <c r="P14">
        <f>'State Calculations'!P14</f>
        <v>1</v>
      </c>
      <c r="Q14">
        <f>'State Calculations'!Q14</f>
        <v>1</v>
      </c>
      <c r="R14">
        <f>'State Calculations'!R14</f>
        <v>1</v>
      </c>
      <c r="S14">
        <f>'State Calculations'!S14</f>
        <v>1</v>
      </c>
      <c r="T14">
        <f>'State Calculations'!T14</f>
        <v>1</v>
      </c>
      <c r="U14">
        <f>'State Calculations'!U14</f>
        <v>1</v>
      </c>
      <c r="V14">
        <f>'State Calculations'!V14</f>
        <v>1</v>
      </c>
      <c r="W14">
        <f>'State Calculations'!W14</f>
        <v>1</v>
      </c>
      <c r="X14">
        <f>'State Calculations'!X14</f>
        <v>1</v>
      </c>
      <c r="Y14">
        <f>'State Calculations'!Y14</f>
        <v>1</v>
      </c>
      <c r="Z14">
        <f>'State Calculations'!Z14</f>
        <v>1</v>
      </c>
      <c r="AA14">
        <f>'State Calculations'!AA14</f>
        <v>1</v>
      </c>
      <c r="AB14">
        <f>'State Calculations'!AB14</f>
        <v>1</v>
      </c>
      <c r="AC14">
        <f>'State Calculations'!AC14</f>
        <v>1</v>
      </c>
      <c r="AD14">
        <f>'State Calculations'!AD14</f>
        <v>1</v>
      </c>
      <c r="AE14">
        <f>'State Calculations'!AE14</f>
        <v>1</v>
      </c>
    </row>
    <row r="15" spans="1:31" x14ac:dyDescent="0.45">
      <c r="A15" t="str">
        <f>'State Calculations'!A15</f>
        <v>iron and steel 241</v>
      </c>
      <c r="B15">
        <f>'State Calculations'!B15</f>
        <v>1</v>
      </c>
      <c r="C15">
        <f>'State Calculations'!C15</f>
        <v>1</v>
      </c>
      <c r="D15">
        <f>'State Calculations'!D15</f>
        <v>1</v>
      </c>
      <c r="E15">
        <f>'State Calculations'!E15</f>
        <v>1</v>
      </c>
      <c r="F15">
        <f>'State Calculations'!F15</f>
        <v>1</v>
      </c>
      <c r="G15">
        <f>'State Calculations'!G15</f>
        <v>1</v>
      </c>
      <c r="H15">
        <f>'State Calculations'!H15</f>
        <v>1</v>
      </c>
      <c r="I15">
        <f>'State Calculations'!I15</f>
        <v>1</v>
      </c>
      <c r="J15">
        <f>'State Calculations'!J15</f>
        <v>1</v>
      </c>
      <c r="K15">
        <f>'State Calculations'!K15</f>
        <v>1</v>
      </c>
      <c r="L15">
        <f>'State Calculations'!L15</f>
        <v>1</v>
      </c>
      <c r="M15">
        <f>'State Calculations'!M15</f>
        <v>1</v>
      </c>
      <c r="N15">
        <f>'State Calculations'!N15</f>
        <v>1</v>
      </c>
      <c r="O15">
        <f>'State Calculations'!O15</f>
        <v>1</v>
      </c>
      <c r="P15">
        <f>'State Calculations'!P15</f>
        <v>1</v>
      </c>
      <c r="Q15">
        <f>'State Calculations'!Q15</f>
        <v>1</v>
      </c>
      <c r="R15">
        <f>'State Calculations'!R15</f>
        <v>1</v>
      </c>
      <c r="S15">
        <f>'State Calculations'!S15</f>
        <v>1</v>
      </c>
      <c r="T15">
        <f>'State Calculations'!T15</f>
        <v>1</v>
      </c>
      <c r="U15">
        <f>'State Calculations'!U15</f>
        <v>1</v>
      </c>
      <c r="V15">
        <f>'State Calculations'!V15</f>
        <v>1</v>
      </c>
      <c r="W15">
        <f>'State Calculations'!W15</f>
        <v>1</v>
      </c>
      <c r="X15">
        <f>'State Calculations'!X15</f>
        <v>1</v>
      </c>
      <c r="Y15">
        <f>'State Calculations'!Y15</f>
        <v>1</v>
      </c>
      <c r="Z15">
        <f>'State Calculations'!Z15</f>
        <v>1</v>
      </c>
      <c r="AA15">
        <f>'State Calculations'!AA15</f>
        <v>1</v>
      </c>
      <c r="AB15">
        <f>'State Calculations'!AB15</f>
        <v>1</v>
      </c>
      <c r="AC15">
        <f>'State Calculations'!AC15</f>
        <v>1</v>
      </c>
      <c r="AD15">
        <f>'State Calculations'!AD15</f>
        <v>1</v>
      </c>
      <c r="AE15">
        <f>'State Calculations'!AE15</f>
        <v>1</v>
      </c>
    </row>
    <row r="16" spans="1:31" x14ac:dyDescent="0.45">
      <c r="A16" t="str">
        <f>'State Calculations'!A16</f>
        <v>other metals 242</v>
      </c>
      <c r="B16">
        <f>'State Calculations'!B16</f>
        <v>1</v>
      </c>
      <c r="C16">
        <f>'State Calculations'!C16</f>
        <v>1</v>
      </c>
      <c r="D16">
        <f>'State Calculations'!D16</f>
        <v>1</v>
      </c>
      <c r="E16">
        <f>'State Calculations'!E16</f>
        <v>1</v>
      </c>
      <c r="F16">
        <f>'State Calculations'!F16</f>
        <v>1</v>
      </c>
      <c r="G16">
        <f>'State Calculations'!G16</f>
        <v>1</v>
      </c>
      <c r="H16">
        <f>'State Calculations'!H16</f>
        <v>1</v>
      </c>
      <c r="I16">
        <f>'State Calculations'!I16</f>
        <v>1</v>
      </c>
      <c r="J16">
        <f>'State Calculations'!J16</f>
        <v>1</v>
      </c>
      <c r="K16">
        <f>'State Calculations'!K16</f>
        <v>1</v>
      </c>
      <c r="L16">
        <f>'State Calculations'!L16</f>
        <v>1</v>
      </c>
      <c r="M16">
        <f>'State Calculations'!M16</f>
        <v>1</v>
      </c>
      <c r="N16">
        <f>'State Calculations'!N16</f>
        <v>1</v>
      </c>
      <c r="O16">
        <f>'State Calculations'!O16</f>
        <v>1</v>
      </c>
      <c r="P16">
        <f>'State Calculations'!P16</f>
        <v>1</v>
      </c>
      <c r="Q16">
        <f>'State Calculations'!Q16</f>
        <v>1</v>
      </c>
      <c r="R16">
        <f>'State Calculations'!R16</f>
        <v>1</v>
      </c>
      <c r="S16">
        <f>'State Calculations'!S16</f>
        <v>1</v>
      </c>
      <c r="T16">
        <f>'State Calculations'!T16</f>
        <v>1</v>
      </c>
      <c r="U16">
        <f>'State Calculations'!U16</f>
        <v>1</v>
      </c>
      <c r="V16">
        <f>'State Calculations'!V16</f>
        <v>1</v>
      </c>
      <c r="W16">
        <f>'State Calculations'!W16</f>
        <v>1</v>
      </c>
      <c r="X16">
        <f>'State Calculations'!X16</f>
        <v>1</v>
      </c>
      <c r="Y16">
        <f>'State Calculations'!Y16</f>
        <v>1</v>
      </c>
      <c r="Z16">
        <f>'State Calculations'!Z16</f>
        <v>1</v>
      </c>
      <c r="AA16">
        <f>'State Calculations'!AA16</f>
        <v>1</v>
      </c>
      <c r="AB16">
        <f>'State Calculations'!AB16</f>
        <v>1</v>
      </c>
      <c r="AC16">
        <f>'State Calculations'!AC16</f>
        <v>1</v>
      </c>
      <c r="AD16">
        <f>'State Calculations'!AD16</f>
        <v>1</v>
      </c>
      <c r="AE16">
        <f>'State Calculations'!AE16</f>
        <v>1</v>
      </c>
    </row>
    <row r="17" spans="1:31" x14ac:dyDescent="0.45">
      <c r="A17" t="str">
        <f>'State Calculations'!A17</f>
        <v>metal products except machinery and vehicles 25</v>
      </c>
      <c r="B17">
        <f>'State Calculations'!B17</f>
        <v>1</v>
      </c>
      <c r="C17">
        <f>'State Calculations'!C17</f>
        <v>1</v>
      </c>
      <c r="D17">
        <f>'State Calculations'!D17</f>
        <v>1</v>
      </c>
      <c r="E17">
        <f>'State Calculations'!E17</f>
        <v>1</v>
      </c>
      <c r="F17">
        <f>'State Calculations'!F17</f>
        <v>1</v>
      </c>
      <c r="G17">
        <f>'State Calculations'!G17</f>
        <v>1</v>
      </c>
      <c r="H17">
        <f>'State Calculations'!H17</f>
        <v>1</v>
      </c>
      <c r="I17">
        <f>'State Calculations'!I17</f>
        <v>1</v>
      </c>
      <c r="J17">
        <f>'State Calculations'!J17</f>
        <v>1</v>
      </c>
      <c r="K17">
        <f>'State Calculations'!K17</f>
        <v>1</v>
      </c>
      <c r="L17">
        <f>'State Calculations'!L17</f>
        <v>1</v>
      </c>
      <c r="M17">
        <f>'State Calculations'!M17</f>
        <v>1</v>
      </c>
      <c r="N17">
        <f>'State Calculations'!N17</f>
        <v>1</v>
      </c>
      <c r="O17">
        <f>'State Calculations'!O17</f>
        <v>1</v>
      </c>
      <c r="P17">
        <f>'State Calculations'!P17</f>
        <v>1</v>
      </c>
      <c r="Q17">
        <f>'State Calculations'!Q17</f>
        <v>1</v>
      </c>
      <c r="R17">
        <f>'State Calculations'!R17</f>
        <v>1</v>
      </c>
      <c r="S17">
        <f>'State Calculations'!S17</f>
        <v>1</v>
      </c>
      <c r="T17">
        <f>'State Calculations'!T17</f>
        <v>1</v>
      </c>
      <c r="U17">
        <f>'State Calculations'!U17</f>
        <v>1</v>
      </c>
      <c r="V17">
        <f>'State Calculations'!V17</f>
        <v>1</v>
      </c>
      <c r="W17">
        <f>'State Calculations'!W17</f>
        <v>1</v>
      </c>
      <c r="X17">
        <f>'State Calculations'!X17</f>
        <v>1</v>
      </c>
      <c r="Y17">
        <f>'State Calculations'!Y17</f>
        <v>1</v>
      </c>
      <c r="Z17">
        <f>'State Calculations'!Z17</f>
        <v>1</v>
      </c>
      <c r="AA17">
        <f>'State Calculations'!AA17</f>
        <v>1</v>
      </c>
      <c r="AB17">
        <f>'State Calculations'!AB17</f>
        <v>1</v>
      </c>
      <c r="AC17">
        <f>'State Calculations'!AC17</f>
        <v>1</v>
      </c>
      <c r="AD17">
        <f>'State Calculations'!AD17</f>
        <v>1</v>
      </c>
      <c r="AE17">
        <f>'State Calculations'!AE17</f>
        <v>1</v>
      </c>
    </row>
    <row r="18" spans="1:31" x14ac:dyDescent="0.45">
      <c r="A18" t="str">
        <f>'State Calculations'!A18</f>
        <v>computers and electronics 26</v>
      </c>
      <c r="B18">
        <f>'State Calculations'!B18</f>
        <v>1</v>
      </c>
      <c r="C18">
        <f>'State Calculations'!C18</f>
        <v>1</v>
      </c>
      <c r="D18">
        <f>'State Calculations'!D18</f>
        <v>1</v>
      </c>
      <c r="E18">
        <f>'State Calculations'!E18</f>
        <v>1</v>
      </c>
      <c r="F18">
        <f>'State Calculations'!F18</f>
        <v>1</v>
      </c>
      <c r="G18">
        <f>'State Calculations'!G18</f>
        <v>1</v>
      </c>
      <c r="H18">
        <f>'State Calculations'!H18</f>
        <v>1</v>
      </c>
      <c r="I18">
        <f>'State Calculations'!I18</f>
        <v>1</v>
      </c>
      <c r="J18">
        <f>'State Calculations'!J18</f>
        <v>1</v>
      </c>
      <c r="K18">
        <f>'State Calculations'!K18</f>
        <v>1</v>
      </c>
      <c r="L18">
        <f>'State Calculations'!L18</f>
        <v>1</v>
      </c>
      <c r="M18">
        <f>'State Calculations'!M18</f>
        <v>1</v>
      </c>
      <c r="N18">
        <f>'State Calculations'!N18</f>
        <v>1</v>
      </c>
      <c r="O18">
        <f>'State Calculations'!O18</f>
        <v>1</v>
      </c>
      <c r="P18">
        <f>'State Calculations'!P18</f>
        <v>1</v>
      </c>
      <c r="Q18">
        <f>'State Calculations'!Q18</f>
        <v>1</v>
      </c>
      <c r="R18">
        <f>'State Calculations'!R18</f>
        <v>1</v>
      </c>
      <c r="S18">
        <f>'State Calculations'!S18</f>
        <v>1</v>
      </c>
      <c r="T18">
        <f>'State Calculations'!T18</f>
        <v>1</v>
      </c>
      <c r="U18">
        <f>'State Calculations'!U18</f>
        <v>1</v>
      </c>
      <c r="V18">
        <f>'State Calculations'!V18</f>
        <v>1</v>
      </c>
      <c r="W18">
        <f>'State Calculations'!W18</f>
        <v>1</v>
      </c>
      <c r="X18">
        <f>'State Calculations'!X18</f>
        <v>1</v>
      </c>
      <c r="Y18">
        <f>'State Calculations'!Y18</f>
        <v>1</v>
      </c>
      <c r="Z18">
        <f>'State Calculations'!Z18</f>
        <v>1</v>
      </c>
      <c r="AA18">
        <f>'State Calculations'!AA18</f>
        <v>1</v>
      </c>
      <c r="AB18">
        <f>'State Calculations'!AB18</f>
        <v>1</v>
      </c>
      <c r="AC18">
        <f>'State Calculations'!AC18</f>
        <v>1</v>
      </c>
      <c r="AD18">
        <f>'State Calculations'!AD18</f>
        <v>1</v>
      </c>
      <c r="AE18">
        <f>'State Calculations'!AE18</f>
        <v>1</v>
      </c>
    </row>
    <row r="19" spans="1:31" x14ac:dyDescent="0.45">
      <c r="A19" t="str">
        <f>'State Calculations'!A19</f>
        <v>appliances and electrical equipment 27</v>
      </c>
      <c r="B19">
        <f>'State Calculations'!B19</f>
        <v>1</v>
      </c>
      <c r="C19">
        <f>'State Calculations'!C19</f>
        <v>1</v>
      </c>
      <c r="D19">
        <f>'State Calculations'!D19</f>
        <v>1</v>
      </c>
      <c r="E19">
        <f>'State Calculations'!E19</f>
        <v>1</v>
      </c>
      <c r="F19">
        <f>'State Calculations'!F19</f>
        <v>1</v>
      </c>
      <c r="G19">
        <f>'State Calculations'!G19</f>
        <v>1</v>
      </c>
      <c r="H19">
        <f>'State Calculations'!H19</f>
        <v>1</v>
      </c>
      <c r="I19">
        <f>'State Calculations'!I19</f>
        <v>1</v>
      </c>
      <c r="J19">
        <f>'State Calculations'!J19</f>
        <v>1</v>
      </c>
      <c r="K19">
        <f>'State Calculations'!K19</f>
        <v>1</v>
      </c>
      <c r="L19">
        <f>'State Calculations'!L19</f>
        <v>1</v>
      </c>
      <c r="M19">
        <f>'State Calculations'!M19</f>
        <v>1</v>
      </c>
      <c r="N19">
        <f>'State Calculations'!N19</f>
        <v>1</v>
      </c>
      <c r="O19">
        <f>'State Calculations'!O19</f>
        <v>1</v>
      </c>
      <c r="P19">
        <f>'State Calculations'!P19</f>
        <v>1</v>
      </c>
      <c r="Q19">
        <f>'State Calculations'!Q19</f>
        <v>1</v>
      </c>
      <c r="R19">
        <f>'State Calculations'!R19</f>
        <v>1</v>
      </c>
      <c r="S19">
        <f>'State Calculations'!S19</f>
        <v>1</v>
      </c>
      <c r="T19">
        <f>'State Calculations'!T19</f>
        <v>1</v>
      </c>
      <c r="U19">
        <f>'State Calculations'!U19</f>
        <v>1</v>
      </c>
      <c r="V19">
        <f>'State Calculations'!V19</f>
        <v>1</v>
      </c>
      <c r="W19">
        <f>'State Calculations'!W19</f>
        <v>1</v>
      </c>
      <c r="X19">
        <f>'State Calculations'!X19</f>
        <v>1</v>
      </c>
      <c r="Y19">
        <f>'State Calculations'!Y19</f>
        <v>1</v>
      </c>
      <c r="Z19">
        <f>'State Calculations'!Z19</f>
        <v>1</v>
      </c>
      <c r="AA19">
        <f>'State Calculations'!AA19</f>
        <v>1</v>
      </c>
      <c r="AB19">
        <f>'State Calculations'!AB19</f>
        <v>1</v>
      </c>
      <c r="AC19">
        <f>'State Calculations'!AC19</f>
        <v>1</v>
      </c>
      <c r="AD19">
        <f>'State Calculations'!AD19</f>
        <v>1</v>
      </c>
      <c r="AE19">
        <f>'State Calculations'!AE19</f>
        <v>1</v>
      </c>
    </row>
    <row r="20" spans="1:31" x14ac:dyDescent="0.45">
      <c r="A20" t="str">
        <f>'State Calculations'!A20</f>
        <v>other machinery 28</v>
      </c>
      <c r="B20">
        <f>'State Calculations'!B20</f>
        <v>1</v>
      </c>
      <c r="C20">
        <f>'State Calculations'!C20</f>
        <v>1</v>
      </c>
      <c r="D20">
        <f>'State Calculations'!D20</f>
        <v>1</v>
      </c>
      <c r="E20">
        <f>'State Calculations'!E20</f>
        <v>1</v>
      </c>
      <c r="F20">
        <f>'State Calculations'!F20</f>
        <v>1</v>
      </c>
      <c r="G20">
        <f>'State Calculations'!G20</f>
        <v>1</v>
      </c>
      <c r="H20">
        <f>'State Calculations'!H20</f>
        <v>1</v>
      </c>
      <c r="I20">
        <f>'State Calculations'!I20</f>
        <v>1</v>
      </c>
      <c r="J20">
        <f>'State Calculations'!J20</f>
        <v>1</v>
      </c>
      <c r="K20">
        <f>'State Calculations'!K20</f>
        <v>1</v>
      </c>
      <c r="L20">
        <f>'State Calculations'!L20</f>
        <v>1</v>
      </c>
      <c r="M20">
        <f>'State Calculations'!M20</f>
        <v>1</v>
      </c>
      <c r="N20">
        <f>'State Calculations'!N20</f>
        <v>1</v>
      </c>
      <c r="O20">
        <f>'State Calculations'!O20</f>
        <v>1</v>
      </c>
      <c r="P20">
        <f>'State Calculations'!P20</f>
        <v>1</v>
      </c>
      <c r="Q20">
        <f>'State Calculations'!Q20</f>
        <v>1</v>
      </c>
      <c r="R20">
        <f>'State Calculations'!R20</f>
        <v>1</v>
      </c>
      <c r="S20">
        <f>'State Calculations'!S20</f>
        <v>1</v>
      </c>
      <c r="T20">
        <f>'State Calculations'!T20</f>
        <v>1</v>
      </c>
      <c r="U20">
        <f>'State Calculations'!U20</f>
        <v>1</v>
      </c>
      <c r="V20">
        <f>'State Calculations'!V20</f>
        <v>1</v>
      </c>
      <c r="W20">
        <f>'State Calculations'!W20</f>
        <v>1</v>
      </c>
      <c r="X20">
        <f>'State Calculations'!X20</f>
        <v>1</v>
      </c>
      <c r="Y20">
        <f>'State Calculations'!Y20</f>
        <v>1</v>
      </c>
      <c r="Z20">
        <f>'State Calculations'!Z20</f>
        <v>1</v>
      </c>
      <c r="AA20">
        <f>'State Calculations'!AA20</f>
        <v>1</v>
      </c>
      <c r="AB20">
        <f>'State Calculations'!AB20</f>
        <v>1</v>
      </c>
      <c r="AC20">
        <f>'State Calculations'!AC20</f>
        <v>1</v>
      </c>
      <c r="AD20">
        <f>'State Calculations'!AD20</f>
        <v>1</v>
      </c>
      <c r="AE20">
        <f>'State Calculations'!AE20</f>
        <v>1</v>
      </c>
    </row>
    <row r="21" spans="1:31" x14ac:dyDescent="0.45">
      <c r="A21" t="str">
        <f>'State Calculations'!A21</f>
        <v>road vehicles 29</v>
      </c>
      <c r="B21">
        <f>'State Calculations'!B21</f>
        <v>1</v>
      </c>
      <c r="C21">
        <f>'State Calculations'!C21</f>
        <v>1</v>
      </c>
      <c r="D21">
        <f>'State Calculations'!D21</f>
        <v>1</v>
      </c>
      <c r="E21">
        <f>'State Calculations'!E21</f>
        <v>1</v>
      </c>
      <c r="F21">
        <f>'State Calculations'!F21</f>
        <v>1</v>
      </c>
      <c r="G21">
        <f>'State Calculations'!G21</f>
        <v>1</v>
      </c>
      <c r="H21">
        <f>'State Calculations'!H21</f>
        <v>1</v>
      </c>
      <c r="I21">
        <f>'State Calculations'!I21</f>
        <v>1</v>
      </c>
      <c r="J21">
        <f>'State Calculations'!J21</f>
        <v>1</v>
      </c>
      <c r="K21">
        <f>'State Calculations'!K21</f>
        <v>1</v>
      </c>
      <c r="L21">
        <f>'State Calculations'!L21</f>
        <v>1</v>
      </c>
      <c r="M21">
        <f>'State Calculations'!M21</f>
        <v>1</v>
      </c>
      <c r="N21">
        <f>'State Calculations'!N21</f>
        <v>1</v>
      </c>
      <c r="O21">
        <f>'State Calculations'!O21</f>
        <v>1</v>
      </c>
      <c r="P21">
        <f>'State Calculations'!P21</f>
        <v>1</v>
      </c>
      <c r="Q21">
        <f>'State Calculations'!Q21</f>
        <v>1</v>
      </c>
      <c r="R21">
        <f>'State Calculations'!R21</f>
        <v>1</v>
      </c>
      <c r="S21">
        <f>'State Calculations'!S21</f>
        <v>1</v>
      </c>
      <c r="T21">
        <f>'State Calculations'!T21</f>
        <v>1</v>
      </c>
      <c r="U21">
        <f>'State Calculations'!U21</f>
        <v>1</v>
      </c>
      <c r="V21">
        <f>'State Calculations'!V21</f>
        <v>1</v>
      </c>
      <c r="W21">
        <f>'State Calculations'!W21</f>
        <v>1</v>
      </c>
      <c r="X21">
        <f>'State Calculations'!X21</f>
        <v>1</v>
      </c>
      <c r="Y21">
        <f>'State Calculations'!Y21</f>
        <v>1</v>
      </c>
      <c r="Z21">
        <f>'State Calculations'!Z21</f>
        <v>1</v>
      </c>
      <c r="AA21">
        <f>'State Calculations'!AA21</f>
        <v>1</v>
      </c>
      <c r="AB21">
        <f>'State Calculations'!AB21</f>
        <v>1</v>
      </c>
      <c r="AC21">
        <f>'State Calculations'!AC21</f>
        <v>1</v>
      </c>
      <c r="AD21">
        <f>'State Calculations'!AD21</f>
        <v>1</v>
      </c>
      <c r="AE21">
        <f>'State Calculations'!AE21</f>
        <v>1</v>
      </c>
    </row>
    <row r="22" spans="1:31" x14ac:dyDescent="0.45">
      <c r="A22" t="str">
        <f>'State Calculations'!A22</f>
        <v>nonroad vehicles 30</v>
      </c>
      <c r="B22">
        <f>'State Calculations'!B22</f>
        <v>1</v>
      </c>
      <c r="C22">
        <f>'State Calculations'!C22</f>
        <v>1</v>
      </c>
      <c r="D22">
        <f>'State Calculations'!D22</f>
        <v>1</v>
      </c>
      <c r="E22">
        <f>'State Calculations'!E22</f>
        <v>1</v>
      </c>
      <c r="F22">
        <f>'State Calculations'!F22</f>
        <v>1</v>
      </c>
      <c r="G22">
        <f>'State Calculations'!G22</f>
        <v>1</v>
      </c>
      <c r="H22">
        <f>'State Calculations'!H22</f>
        <v>1</v>
      </c>
      <c r="I22">
        <f>'State Calculations'!I22</f>
        <v>1</v>
      </c>
      <c r="J22">
        <f>'State Calculations'!J22</f>
        <v>1</v>
      </c>
      <c r="K22">
        <f>'State Calculations'!K22</f>
        <v>1</v>
      </c>
      <c r="L22">
        <f>'State Calculations'!L22</f>
        <v>1</v>
      </c>
      <c r="M22">
        <f>'State Calculations'!M22</f>
        <v>1</v>
      </c>
      <c r="N22">
        <f>'State Calculations'!N22</f>
        <v>1</v>
      </c>
      <c r="O22">
        <f>'State Calculations'!O22</f>
        <v>1</v>
      </c>
      <c r="P22">
        <f>'State Calculations'!P22</f>
        <v>1</v>
      </c>
      <c r="Q22">
        <f>'State Calculations'!Q22</f>
        <v>1</v>
      </c>
      <c r="R22">
        <f>'State Calculations'!R22</f>
        <v>1</v>
      </c>
      <c r="S22">
        <f>'State Calculations'!S22</f>
        <v>1</v>
      </c>
      <c r="T22">
        <f>'State Calculations'!T22</f>
        <v>1</v>
      </c>
      <c r="U22">
        <f>'State Calculations'!U22</f>
        <v>1</v>
      </c>
      <c r="V22">
        <f>'State Calculations'!V22</f>
        <v>1</v>
      </c>
      <c r="W22">
        <f>'State Calculations'!W22</f>
        <v>1</v>
      </c>
      <c r="X22">
        <f>'State Calculations'!X22</f>
        <v>1</v>
      </c>
      <c r="Y22">
        <f>'State Calculations'!Y22</f>
        <v>1</v>
      </c>
      <c r="Z22">
        <f>'State Calculations'!Z22</f>
        <v>1</v>
      </c>
      <c r="AA22">
        <f>'State Calculations'!AA22</f>
        <v>1</v>
      </c>
      <c r="AB22">
        <f>'State Calculations'!AB22</f>
        <v>1</v>
      </c>
      <c r="AC22">
        <f>'State Calculations'!AC22</f>
        <v>1</v>
      </c>
      <c r="AD22">
        <f>'State Calculations'!AD22</f>
        <v>1</v>
      </c>
      <c r="AE22">
        <f>'State Calculations'!AE22</f>
        <v>1</v>
      </c>
    </row>
    <row r="23" spans="1:31" x14ac:dyDescent="0.45">
      <c r="A23" t="str">
        <f>'State Calculations'!A23</f>
        <v>other manufacturing 31T33</v>
      </c>
      <c r="B23">
        <f>'State Calculations'!B23</f>
        <v>1</v>
      </c>
      <c r="C23">
        <f>'State Calculations'!C23</f>
        <v>1</v>
      </c>
      <c r="D23">
        <f>'State Calculations'!D23</f>
        <v>1</v>
      </c>
      <c r="E23">
        <f>'State Calculations'!E23</f>
        <v>1</v>
      </c>
      <c r="F23">
        <f>'State Calculations'!F23</f>
        <v>1</v>
      </c>
      <c r="G23">
        <f>'State Calculations'!G23</f>
        <v>1</v>
      </c>
      <c r="H23">
        <f>'State Calculations'!H23</f>
        <v>1</v>
      </c>
      <c r="I23">
        <f>'State Calculations'!I23</f>
        <v>1</v>
      </c>
      <c r="J23">
        <f>'State Calculations'!J23</f>
        <v>1</v>
      </c>
      <c r="K23">
        <f>'State Calculations'!K23</f>
        <v>1</v>
      </c>
      <c r="L23">
        <f>'State Calculations'!L23</f>
        <v>1</v>
      </c>
      <c r="M23">
        <f>'State Calculations'!M23</f>
        <v>1</v>
      </c>
      <c r="N23">
        <f>'State Calculations'!N23</f>
        <v>1</v>
      </c>
      <c r="O23">
        <f>'State Calculations'!O23</f>
        <v>1</v>
      </c>
      <c r="P23">
        <f>'State Calculations'!P23</f>
        <v>1</v>
      </c>
      <c r="Q23">
        <f>'State Calculations'!Q23</f>
        <v>1</v>
      </c>
      <c r="R23">
        <f>'State Calculations'!R23</f>
        <v>1</v>
      </c>
      <c r="S23">
        <f>'State Calculations'!S23</f>
        <v>1</v>
      </c>
      <c r="T23">
        <f>'State Calculations'!T23</f>
        <v>1</v>
      </c>
      <c r="U23">
        <f>'State Calculations'!U23</f>
        <v>1</v>
      </c>
      <c r="V23">
        <f>'State Calculations'!V23</f>
        <v>1</v>
      </c>
      <c r="W23">
        <f>'State Calculations'!W23</f>
        <v>1</v>
      </c>
      <c r="X23">
        <f>'State Calculations'!X23</f>
        <v>1</v>
      </c>
      <c r="Y23">
        <f>'State Calculations'!Y23</f>
        <v>1</v>
      </c>
      <c r="Z23">
        <f>'State Calculations'!Z23</f>
        <v>1</v>
      </c>
      <c r="AA23">
        <f>'State Calculations'!AA23</f>
        <v>1</v>
      </c>
      <c r="AB23">
        <f>'State Calculations'!AB23</f>
        <v>1</v>
      </c>
      <c r="AC23">
        <f>'State Calculations'!AC23</f>
        <v>1</v>
      </c>
      <c r="AD23">
        <f>'State Calculations'!AD23</f>
        <v>1</v>
      </c>
      <c r="AE23">
        <f>'State Calculations'!AE23</f>
        <v>1</v>
      </c>
    </row>
    <row r="24" spans="1:31" x14ac:dyDescent="0.45">
      <c r="A24" t="str">
        <f>'State Calculations'!A24</f>
        <v>energy pipelines and gas processing 352T353</v>
      </c>
      <c r="B24">
        <f>'State Calculations'!B24</f>
        <v>1</v>
      </c>
      <c r="C24">
        <f>'State Calculations'!C24</f>
        <v>1</v>
      </c>
      <c r="D24">
        <f>'State Calculations'!D24</f>
        <v>1</v>
      </c>
      <c r="E24">
        <f>'State Calculations'!E24</f>
        <v>1</v>
      </c>
      <c r="F24">
        <f>'State Calculations'!F24</f>
        <v>1</v>
      </c>
      <c r="G24">
        <f>'State Calculations'!G24</f>
        <v>1</v>
      </c>
      <c r="H24">
        <f>'State Calculations'!H24</f>
        <v>1</v>
      </c>
      <c r="I24">
        <f>'State Calculations'!I24</f>
        <v>1</v>
      </c>
      <c r="J24">
        <f>'State Calculations'!J24</f>
        <v>1</v>
      </c>
      <c r="K24">
        <f>'State Calculations'!K24</f>
        <v>1</v>
      </c>
      <c r="L24">
        <f>'State Calculations'!L24</f>
        <v>1</v>
      </c>
      <c r="M24">
        <f>'State Calculations'!M24</f>
        <v>1</v>
      </c>
      <c r="N24">
        <f>'State Calculations'!N24</f>
        <v>1</v>
      </c>
      <c r="O24">
        <f>'State Calculations'!O24</f>
        <v>1</v>
      </c>
      <c r="P24">
        <f>'State Calculations'!P24</f>
        <v>1</v>
      </c>
      <c r="Q24">
        <f>'State Calculations'!Q24</f>
        <v>1</v>
      </c>
      <c r="R24">
        <f>'State Calculations'!R24</f>
        <v>1</v>
      </c>
      <c r="S24">
        <f>'State Calculations'!S24</f>
        <v>1</v>
      </c>
      <c r="T24">
        <f>'State Calculations'!T24</f>
        <v>1</v>
      </c>
      <c r="U24">
        <f>'State Calculations'!U24</f>
        <v>1</v>
      </c>
      <c r="V24">
        <f>'State Calculations'!V24</f>
        <v>1</v>
      </c>
      <c r="W24">
        <f>'State Calculations'!W24</f>
        <v>1</v>
      </c>
      <c r="X24">
        <f>'State Calculations'!X24</f>
        <v>1</v>
      </c>
      <c r="Y24">
        <f>'State Calculations'!Y24</f>
        <v>1</v>
      </c>
      <c r="Z24">
        <f>'State Calculations'!Z24</f>
        <v>1</v>
      </c>
      <c r="AA24">
        <f>'State Calculations'!AA24</f>
        <v>1</v>
      </c>
      <c r="AB24">
        <f>'State Calculations'!AB24</f>
        <v>1</v>
      </c>
      <c r="AC24">
        <f>'State Calculations'!AC24</f>
        <v>1</v>
      </c>
      <c r="AD24">
        <f>'State Calculations'!AD24</f>
        <v>1</v>
      </c>
      <c r="AE24">
        <f>'State Calculations'!AE24</f>
        <v>1</v>
      </c>
    </row>
    <row r="25" spans="1:31" x14ac:dyDescent="0.45">
      <c r="A25" t="str">
        <f>'State Calculations'!A25</f>
        <v>water and waste 36T39</v>
      </c>
      <c r="B25">
        <f>'State Calculations'!B25</f>
        <v>0</v>
      </c>
      <c r="C25">
        <f>'State Calculations'!C25</f>
        <v>0</v>
      </c>
      <c r="D25">
        <f>'State Calculations'!D25</f>
        <v>0</v>
      </c>
      <c r="E25">
        <f>'State Calculations'!E25</f>
        <v>0</v>
      </c>
      <c r="F25">
        <f>'State Calculations'!F25</f>
        <v>0</v>
      </c>
      <c r="G25">
        <f>'State Calculations'!G25</f>
        <v>0</v>
      </c>
      <c r="H25">
        <f>'State Calculations'!H25</f>
        <v>0</v>
      </c>
      <c r="I25">
        <f>'State Calculations'!I25</f>
        <v>0</v>
      </c>
      <c r="J25">
        <f>'State Calculations'!J25</f>
        <v>0</v>
      </c>
      <c r="K25">
        <f>'State Calculations'!K25</f>
        <v>0</v>
      </c>
      <c r="L25">
        <f>'State Calculations'!L25</f>
        <v>0</v>
      </c>
      <c r="M25">
        <f>'State Calculations'!M25</f>
        <v>0</v>
      </c>
      <c r="N25">
        <f>'State Calculations'!N25</f>
        <v>0</v>
      </c>
      <c r="O25">
        <f>'State Calculations'!O25</f>
        <v>0</v>
      </c>
      <c r="P25">
        <f>'State Calculations'!P25</f>
        <v>0</v>
      </c>
      <c r="Q25">
        <f>'State Calculations'!Q25</f>
        <v>0</v>
      </c>
      <c r="R25">
        <f>'State Calculations'!R25</f>
        <v>0</v>
      </c>
      <c r="S25">
        <f>'State Calculations'!S25</f>
        <v>0</v>
      </c>
      <c r="T25">
        <f>'State Calculations'!T25</f>
        <v>0</v>
      </c>
      <c r="U25">
        <f>'State Calculations'!U25</f>
        <v>0</v>
      </c>
      <c r="V25">
        <f>'State Calculations'!V25</f>
        <v>0</v>
      </c>
      <c r="W25">
        <f>'State Calculations'!W25</f>
        <v>0</v>
      </c>
      <c r="X25">
        <f>'State Calculations'!X25</f>
        <v>0</v>
      </c>
      <c r="Y25">
        <f>'State Calculations'!Y25</f>
        <v>0</v>
      </c>
      <c r="Z25">
        <f>'State Calculations'!Z25</f>
        <v>0</v>
      </c>
      <c r="AA25">
        <f>'State Calculations'!AA25</f>
        <v>0</v>
      </c>
      <c r="AB25">
        <f>'State Calculations'!AB25</f>
        <v>0</v>
      </c>
      <c r="AC25">
        <f>'State Calculations'!AC25</f>
        <v>0</v>
      </c>
      <c r="AD25">
        <f>'State Calculations'!AD25</f>
        <v>0</v>
      </c>
      <c r="AE25">
        <f>'State Calculations'!AE25</f>
        <v>0</v>
      </c>
    </row>
    <row r="26" spans="1:31" x14ac:dyDescent="0.45">
      <c r="A26" t="str">
        <f>'State Calculations'!A26</f>
        <v>construction 41T43</v>
      </c>
      <c r="B26">
        <f>'State Calculations'!B26</f>
        <v>1</v>
      </c>
      <c r="C26">
        <f>'State Calculations'!C26</f>
        <v>1</v>
      </c>
      <c r="D26">
        <f>'State Calculations'!D26</f>
        <v>1</v>
      </c>
      <c r="E26">
        <f>'State Calculations'!E26</f>
        <v>1</v>
      </c>
      <c r="F26">
        <f>'State Calculations'!F26</f>
        <v>1</v>
      </c>
      <c r="G26">
        <f>'State Calculations'!G26</f>
        <v>1</v>
      </c>
      <c r="H26">
        <f>'State Calculations'!H26</f>
        <v>1</v>
      </c>
      <c r="I26">
        <f>'State Calculations'!I26</f>
        <v>1</v>
      </c>
      <c r="J26">
        <f>'State Calculations'!J26</f>
        <v>1</v>
      </c>
      <c r="K26">
        <f>'State Calculations'!K26</f>
        <v>1</v>
      </c>
      <c r="L26">
        <f>'State Calculations'!L26</f>
        <v>1</v>
      </c>
      <c r="M26">
        <f>'State Calculations'!M26</f>
        <v>1</v>
      </c>
      <c r="N26">
        <f>'State Calculations'!N26</f>
        <v>1</v>
      </c>
      <c r="O26">
        <f>'State Calculations'!O26</f>
        <v>1</v>
      </c>
      <c r="P26">
        <f>'State Calculations'!P26</f>
        <v>1</v>
      </c>
      <c r="Q26">
        <f>'State Calculations'!Q26</f>
        <v>1</v>
      </c>
      <c r="R26">
        <f>'State Calculations'!R26</f>
        <v>1</v>
      </c>
      <c r="S26">
        <f>'State Calculations'!S26</f>
        <v>1</v>
      </c>
      <c r="T26">
        <f>'State Calculations'!T26</f>
        <v>1</v>
      </c>
      <c r="U26">
        <f>'State Calculations'!U26</f>
        <v>1</v>
      </c>
      <c r="V26">
        <f>'State Calculations'!V26</f>
        <v>1</v>
      </c>
      <c r="W26">
        <f>'State Calculations'!W26</f>
        <v>1</v>
      </c>
      <c r="X26">
        <f>'State Calculations'!X26</f>
        <v>1</v>
      </c>
      <c r="Y26">
        <f>'State Calculations'!Y26</f>
        <v>1</v>
      </c>
      <c r="Z26">
        <f>'State Calculations'!Z26</f>
        <v>1</v>
      </c>
      <c r="AA26">
        <f>'State Calculations'!AA26</f>
        <v>1</v>
      </c>
      <c r="AB26">
        <f>'State Calculations'!AB26</f>
        <v>1</v>
      </c>
      <c r="AC26">
        <f>'State Calculations'!AC26</f>
        <v>1</v>
      </c>
      <c r="AD26">
        <f>'State Calculations'!AD26</f>
        <v>1</v>
      </c>
      <c r="AE26">
        <f>'State Calculations'!AE26</f>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Keys</vt:lpstr>
      <vt:lpstr>State Policies</vt:lpstr>
      <vt:lpstr>State Calculations</vt:lpstr>
      <vt:lpstr>BFoICStCT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2026-09-01T18:21:57Z</dcterms:created>
  <dcterms:modified xsi:type="dcterms:W3CDTF">2026-09-01T22:23:47Z</dcterms:modified>
</cp:coreProperties>
</file>