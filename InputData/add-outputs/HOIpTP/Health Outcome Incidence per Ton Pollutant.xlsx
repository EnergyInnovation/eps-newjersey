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J\add-outputs\HOIpTP\"/>
    </mc:Choice>
  </mc:AlternateContent>
  <xr:revisionPtr revIDLastSave="0" documentId="8_{AF6E5036-B774-486B-8B18-1E9105C33DFD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B15" i="19"/>
  <c r="X15" i="19" s="1"/>
  <c r="B14" i="19"/>
  <c r="AA14" i="19" s="1"/>
  <c r="Y13" i="19"/>
  <c r="B13" i="19"/>
  <c r="J13" i="19" s="1"/>
  <c r="U12" i="19"/>
  <c r="Q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K8" i="19"/>
  <c r="B8" i="19"/>
  <c r="L8" i="19" s="1"/>
  <c r="U7" i="19"/>
  <c r="L7" i="19"/>
  <c r="B7" i="19"/>
  <c r="AA7" i="19" s="1"/>
  <c r="J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AA3" i="19"/>
  <c r="Z3" i="19"/>
  <c r="V3" i="19"/>
  <c r="Q3" i="19"/>
  <c r="J3" i="19"/>
  <c r="B3" i="19"/>
  <c r="AB2" i="19"/>
  <c r="W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V17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Z15" i="18"/>
  <c r="Q15" i="18"/>
  <c r="D15" i="18"/>
  <c r="B15" i="18"/>
  <c r="C15" i="18" s="1"/>
  <c r="AA14" i="18"/>
  <c r="U14" i="18"/>
  <c r="R14" i="18"/>
  <c r="H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V8" i="18"/>
  <c r="R8" i="18"/>
  <c r="Q8" i="18"/>
  <c r="N8" i="18"/>
  <c r="F8" i="18"/>
  <c r="B8" i="18"/>
  <c r="X8" i="18" s="1"/>
  <c r="AB7" i="18"/>
  <c r="AA7" i="18"/>
  <c r="H7" i="18"/>
  <c r="D7" i="18"/>
  <c r="C7" i="18"/>
  <c r="B7" i="18"/>
  <c r="G7" i="18" s="1"/>
  <c r="AA6" i="18"/>
  <c r="X6" i="18"/>
  <c r="P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W3" i="18"/>
  <c r="P3" i="18"/>
  <c r="N3" i="18"/>
  <c r="I3" i="18"/>
  <c r="B3" i="18"/>
  <c r="J3" i="18" s="1"/>
  <c r="P2" i="18"/>
  <c r="B2" i="18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B17" i="17"/>
  <c r="E17" i="17" s="1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X13" i="17"/>
  <c r="W13" i="17"/>
  <c r="S13" i="17"/>
  <c r="R13" i="17"/>
  <c r="Q13" i="17"/>
  <c r="D13" i="17"/>
  <c r="C13" i="17"/>
  <c r="B13" i="17"/>
  <c r="U13" i="17" s="1"/>
  <c r="Z12" i="17"/>
  <c r="Y12" i="17"/>
  <c r="T12" i="17"/>
  <c r="S12" i="17"/>
  <c r="R12" i="17"/>
  <c r="P12" i="17"/>
  <c r="O12" i="17"/>
  <c r="M12" i="17"/>
  <c r="J12" i="17"/>
  <c r="H12" i="17"/>
  <c r="G12" i="17"/>
  <c r="F12" i="17"/>
  <c r="D12" i="17"/>
  <c r="C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T8" i="17"/>
  <c r="S8" i="17"/>
  <c r="P8" i="17"/>
  <c r="F8" i="17"/>
  <c r="D8" i="17"/>
  <c r="B8" i="17"/>
  <c r="AB8" i="17" s="1"/>
  <c r="Z7" i="17"/>
  <c r="B7" i="17"/>
  <c r="H7" i="17" s="1"/>
  <c r="C6" i="17"/>
  <c r="B6" i="17"/>
  <c r="M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E3" i="17"/>
  <c r="B3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Y17" i="16"/>
  <c r="R17" i="16"/>
  <c r="B17" i="16"/>
  <c r="B16" i="16"/>
  <c r="X15" i="16"/>
  <c r="B15" i="16"/>
  <c r="AA15" i="16" s="1"/>
  <c r="B14" i="16"/>
  <c r="G14" i="16" s="1"/>
  <c r="X13" i="16"/>
  <c r="W13" i="16"/>
  <c r="J13" i="16"/>
  <c r="D13" i="16"/>
  <c r="B13" i="16"/>
  <c r="Y12" i="16"/>
  <c r="I12" i="16"/>
  <c r="C12" i="16"/>
  <c r="B12" i="16"/>
  <c r="AB12" i="16" s="1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Y7" i="16"/>
  <c r="T7" i="16"/>
  <c r="S7" i="16"/>
  <c r="O7" i="16"/>
  <c r="L7" i="16"/>
  <c r="H7" i="16"/>
  <c r="G7" i="16"/>
  <c r="C7" i="16"/>
  <c r="B7" i="16"/>
  <c r="T6" i="16"/>
  <c r="E6" i="16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X3" i="16"/>
  <c r="R3" i="16"/>
  <c r="O3" i="16"/>
  <c r="B3" i="16"/>
  <c r="Z3" i="16" s="1"/>
  <c r="T2" i="16"/>
  <c r="D2" i="16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U15" i="15"/>
  <c r="T15" i="15"/>
  <c r="S15" i="15"/>
  <c r="K15" i="15"/>
  <c r="I15" i="15"/>
  <c r="G15" i="15"/>
  <c r="E15" i="15"/>
  <c r="B15" i="15"/>
  <c r="C15" i="15" s="1"/>
  <c r="AB14" i="15"/>
  <c r="O14" i="15"/>
  <c r="N14" i="15"/>
  <c r="E14" i="15"/>
  <c r="D14" i="15"/>
  <c r="B14" i="15"/>
  <c r="M14" i="15" s="1"/>
  <c r="AB13" i="15"/>
  <c r="W13" i="15"/>
  <c r="V13" i="15"/>
  <c r="S13" i="15"/>
  <c r="R13" i="15"/>
  <c r="Q13" i="15"/>
  <c r="O13" i="15"/>
  <c r="N13" i="15"/>
  <c r="H13" i="15"/>
  <c r="D13" i="15"/>
  <c r="B13" i="15"/>
  <c r="X12" i="15"/>
  <c r="W12" i="15"/>
  <c r="T12" i="15"/>
  <c r="S12" i="15"/>
  <c r="R12" i="15"/>
  <c r="Q12" i="15"/>
  <c r="P12" i="15"/>
  <c r="N12" i="15"/>
  <c r="K12" i="15"/>
  <c r="J12" i="15"/>
  <c r="I12" i="15"/>
  <c r="G12" i="15"/>
  <c r="D12" i="15"/>
  <c r="C12" i="15"/>
  <c r="B12" i="15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A8" i="15"/>
  <c r="Z8" i="15"/>
  <c r="Y8" i="15"/>
  <c r="X8" i="15"/>
  <c r="M8" i="15"/>
  <c r="J8" i="15"/>
  <c r="B8" i="15"/>
  <c r="AB7" i="15"/>
  <c r="W7" i="15"/>
  <c r="V7" i="15"/>
  <c r="S7" i="15"/>
  <c r="R7" i="15"/>
  <c r="P7" i="15"/>
  <c r="O7" i="15"/>
  <c r="N7" i="15"/>
  <c r="B7" i="15"/>
  <c r="Z7" i="15" s="1"/>
  <c r="B6" i="15"/>
  <c r="P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AA3" i="15"/>
  <c r="Z3" i="15"/>
  <c r="W3" i="15"/>
  <c r="U3" i="15"/>
  <c r="Q3" i="15"/>
  <c r="N3" i="15"/>
  <c r="M3" i="15"/>
  <c r="L3" i="15"/>
  <c r="K3" i="15"/>
  <c r="I3" i="15"/>
  <c r="E3" i="15"/>
  <c r="D3" i="15"/>
  <c r="C3" i="15"/>
  <c r="B3" i="15"/>
  <c r="P3" i="15" s="1"/>
  <c r="AB2" i="15"/>
  <c r="AA2" i="15"/>
  <c r="Z2" i="15"/>
  <c r="Y2" i="15"/>
  <c r="S2" i="15"/>
  <c r="R2" i="15"/>
  <c r="P2" i="15"/>
  <c r="O2" i="15"/>
  <c r="N2" i="15"/>
  <c r="J2" i="15"/>
  <c r="E2" i="15"/>
  <c r="C2" i="15"/>
  <c r="B2" i="15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AB15" i="14"/>
  <c r="Z15" i="14"/>
  <c r="Y15" i="14"/>
  <c r="W15" i="14"/>
  <c r="V15" i="14"/>
  <c r="U15" i="14"/>
  <c r="B15" i="14"/>
  <c r="E15" i="14" s="1"/>
  <c r="AB14" i="14"/>
  <c r="S14" i="14"/>
  <c r="R14" i="14"/>
  <c r="B14" i="14"/>
  <c r="Y14" i="14" s="1"/>
  <c r="X13" i="14"/>
  <c r="Q13" i="14"/>
  <c r="N13" i="14"/>
  <c r="K13" i="14"/>
  <c r="G13" i="14"/>
  <c r="B13" i="14"/>
  <c r="F12" i="14"/>
  <c r="E12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AB7" i="14"/>
  <c r="Y7" i="14"/>
  <c r="V7" i="14"/>
  <c r="S7" i="14"/>
  <c r="R7" i="14"/>
  <c r="P7" i="14"/>
  <c r="O7" i="14"/>
  <c r="N7" i="14"/>
  <c r="M7" i="14"/>
  <c r="L7" i="14"/>
  <c r="H7" i="14"/>
  <c r="C7" i="14"/>
  <c r="B7" i="14"/>
  <c r="AA6" i="14"/>
  <c r="Z6" i="14"/>
  <c r="X6" i="14"/>
  <c r="S6" i="14"/>
  <c r="R6" i="14"/>
  <c r="Q6" i="14"/>
  <c r="P6" i="14"/>
  <c r="O6" i="14"/>
  <c r="N6" i="14"/>
  <c r="M6" i="14"/>
  <c r="L6" i="14"/>
  <c r="K6" i="14"/>
  <c r="H6" i="14"/>
  <c r="G6" i="14"/>
  <c r="E6" i="14"/>
  <c r="B6" i="14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AB3" i="14"/>
  <c r="Z3" i="14"/>
  <c r="Y3" i="14"/>
  <c r="W3" i="14"/>
  <c r="V3" i="14"/>
  <c r="T3" i="14"/>
  <c r="S3" i="14"/>
  <c r="P3" i="14"/>
  <c r="L3" i="14"/>
  <c r="F3" i="14"/>
  <c r="B3" i="14"/>
  <c r="AB2" i="14"/>
  <c r="AA2" i="14"/>
  <c r="Z2" i="14"/>
  <c r="X2" i="14"/>
  <c r="V2" i="14"/>
  <c r="R2" i="14"/>
  <c r="P2" i="14"/>
  <c r="O2" i="14"/>
  <c r="M2" i="14"/>
  <c r="L2" i="14"/>
  <c r="G2" i="14"/>
  <c r="F2" i="14"/>
  <c r="B2" i="14"/>
  <c r="Q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B17" i="13"/>
  <c r="E17" i="13" s="1"/>
  <c r="U16" i="13"/>
  <c r="T16" i="13"/>
  <c r="H16" i="13"/>
  <c r="G16" i="13"/>
  <c r="B16" i="13"/>
  <c r="AA16" i="13" s="1"/>
  <c r="L15" i="13"/>
  <c r="K15" i="13"/>
  <c r="J15" i="13"/>
  <c r="I15" i="13"/>
  <c r="H15" i="13"/>
  <c r="G15" i="13"/>
  <c r="D15" i="13"/>
  <c r="B15" i="13"/>
  <c r="AA14" i="13"/>
  <c r="Y14" i="13"/>
  <c r="W14" i="13"/>
  <c r="V14" i="13"/>
  <c r="T14" i="13"/>
  <c r="S14" i="13"/>
  <c r="Q14" i="13"/>
  <c r="P14" i="13"/>
  <c r="N14" i="13"/>
  <c r="M14" i="13"/>
  <c r="L14" i="13"/>
  <c r="K14" i="13"/>
  <c r="J14" i="13"/>
  <c r="H14" i="13"/>
  <c r="F14" i="13"/>
  <c r="B14" i="13"/>
  <c r="U14" i="13" s="1"/>
  <c r="Z13" i="13"/>
  <c r="Y13" i="13"/>
  <c r="X13" i="13"/>
  <c r="V13" i="13"/>
  <c r="U13" i="13"/>
  <c r="T13" i="13"/>
  <c r="Q13" i="13"/>
  <c r="K13" i="13"/>
  <c r="B13" i="13"/>
  <c r="X12" i="13"/>
  <c r="W12" i="13"/>
  <c r="U12" i="13"/>
  <c r="T12" i="13"/>
  <c r="S12" i="13"/>
  <c r="R12" i="13"/>
  <c r="O12" i="13"/>
  <c r="M12" i="13"/>
  <c r="L12" i="13"/>
  <c r="J12" i="13"/>
  <c r="I12" i="13"/>
  <c r="H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B7" i="13"/>
  <c r="AA6" i="13"/>
  <c r="Z6" i="13"/>
  <c r="O6" i="13"/>
  <c r="M6" i="13"/>
  <c r="J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W3" i="13"/>
  <c r="V3" i="13"/>
  <c r="N3" i="13"/>
  <c r="M3" i="13"/>
  <c r="K3" i="13"/>
  <c r="J3" i="13"/>
  <c r="I3" i="13"/>
  <c r="F3" i="13"/>
  <c r="E3" i="13"/>
  <c r="D3" i="13"/>
  <c r="C3" i="13"/>
  <c r="B3" i="13"/>
  <c r="AA3" i="13" s="1"/>
  <c r="AB2" i="13"/>
  <c r="Z2" i="13"/>
  <c r="Y2" i="13"/>
  <c r="X2" i="13"/>
  <c r="V2" i="13"/>
  <c r="U2" i="13"/>
  <c r="R2" i="13"/>
  <c r="Q2" i="13"/>
  <c r="P2" i="13"/>
  <c r="O2" i="13"/>
  <c r="M2" i="13"/>
  <c r="L2" i="13"/>
  <c r="I2" i="13"/>
  <c r="H2" i="13"/>
  <c r="G2" i="13"/>
  <c r="F2" i="13"/>
  <c r="E2" i="13"/>
  <c r="D2" i="13"/>
  <c r="C2" i="13"/>
  <c r="B2" i="13"/>
  <c r="S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B17" i="12"/>
  <c r="T17" i="12" s="1"/>
  <c r="AB16" i="12"/>
  <c r="AA16" i="12"/>
  <c r="Z16" i="12"/>
  <c r="J16" i="12"/>
  <c r="C16" i="12"/>
  <c r="B16" i="12"/>
  <c r="Z15" i="12"/>
  <c r="Y15" i="12"/>
  <c r="V15" i="12"/>
  <c r="T15" i="12"/>
  <c r="S15" i="12"/>
  <c r="R15" i="12"/>
  <c r="Q15" i="12"/>
  <c r="P15" i="12"/>
  <c r="O15" i="12"/>
  <c r="I15" i="12"/>
  <c r="D15" i="12"/>
  <c r="B15" i="12"/>
  <c r="AB15" i="12" s="1"/>
  <c r="X14" i="12"/>
  <c r="W14" i="12"/>
  <c r="V14" i="12"/>
  <c r="R14" i="12"/>
  <c r="Q14" i="12"/>
  <c r="L14" i="12"/>
  <c r="K14" i="12"/>
  <c r="B14" i="12"/>
  <c r="Y14" i="12" s="1"/>
  <c r="B13" i="12"/>
  <c r="B12" i="12"/>
  <c r="AB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J8" i="12"/>
  <c r="I8" i="12"/>
  <c r="H8" i="12"/>
  <c r="G8" i="12"/>
  <c r="F8" i="12"/>
  <c r="D8" i="12"/>
  <c r="C8" i="12"/>
  <c r="B8" i="12"/>
  <c r="AB7" i="12"/>
  <c r="B7" i="12"/>
  <c r="G7" i="12" s="1"/>
  <c r="B6" i="12"/>
  <c r="F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AA3" i="12"/>
  <c r="Z3" i="12"/>
  <c r="Y3" i="12"/>
  <c r="U3" i="12"/>
  <c r="T3" i="12"/>
  <c r="P3" i="12"/>
  <c r="N3" i="12"/>
  <c r="K3" i="12"/>
  <c r="F3" i="12"/>
  <c r="B3" i="12"/>
  <c r="G3" i="12" s="1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P17" i="11"/>
  <c r="O17" i="11"/>
  <c r="J17" i="11"/>
  <c r="B17" i="11"/>
  <c r="D17" i="11" s="1"/>
  <c r="AB16" i="11"/>
  <c r="Y16" i="11"/>
  <c r="W16" i="11"/>
  <c r="V16" i="11"/>
  <c r="D16" i="11"/>
  <c r="B16" i="11"/>
  <c r="AA16" i="11" s="1"/>
  <c r="R15" i="11"/>
  <c r="B15" i="11"/>
  <c r="W15" i="11" s="1"/>
  <c r="AA14" i="11"/>
  <c r="X14" i="11"/>
  <c r="W14" i="11"/>
  <c r="V14" i="11"/>
  <c r="U14" i="11"/>
  <c r="T14" i="11"/>
  <c r="R14" i="11"/>
  <c r="Q14" i="11"/>
  <c r="P14" i="11"/>
  <c r="B14" i="11"/>
  <c r="C14" i="11" s="1"/>
  <c r="AB13" i="11"/>
  <c r="AA13" i="11"/>
  <c r="Z13" i="11"/>
  <c r="Y13" i="11"/>
  <c r="X13" i="11"/>
  <c r="V13" i="11"/>
  <c r="U13" i="11"/>
  <c r="R13" i="11"/>
  <c r="Q13" i="11"/>
  <c r="M13" i="11"/>
  <c r="L13" i="11"/>
  <c r="K13" i="11"/>
  <c r="J13" i="11"/>
  <c r="B13" i="11"/>
  <c r="B12" i="11"/>
  <c r="Y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X8" i="11"/>
  <c r="C8" i="11"/>
  <c r="B8" i="11"/>
  <c r="AA7" i="11"/>
  <c r="Z7" i="11"/>
  <c r="X7" i="11"/>
  <c r="W7" i="11"/>
  <c r="V7" i="11"/>
  <c r="U7" i="11"/>
  <c r="T7" i="11"/>
  <c r="S7" i="11"/>
  <c r="P7" i="11"/>
  <c r="I7" i="11"/>
  <c r="D7" i="11"/>
  <c r="C7" i="11"/>
  <c r="B7" i="11"/>
  <c r="X6" i="11"/>
  <c r="U6" i="11"/>
  <c r="T6" i="11"/>
  <c r="R6" i="11"/>
  <c r="Q6" i="11"/>
  <c r="P6" i="11"/>
  <c r="L6" i="11"/>
  <c r="K6" i="11"/>
  <c r="I6" i="11"/>
  <c r="H6" i="11"/>
  <c r="G6" i="11"/>
  <c r="E6" i="11"/>
  <c r="C6" i="11"/>
  <c r="B6" i="1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U3" i="11"/>
  <c r="S3" i="11"/>
  <c r="R3" i="11"/>
  <c r="Q3" i="11"/>
  <c r="P3" i="11"/>
  <c r="L3" i="11"/>
  <c r="K3" i="11"/>
  <c r="I3" i="11"/>
  <c r="H3" i="11"/>
  <c r="E3" i="11"/>
  <c r="B3" i="11"/>
  <c r="I2" i="11"/>
  <c r="B2" i="11"/>
  <c r="Q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B15" i="10"/>
  <c r="AA15" i="10"/>
  <c r="Y15" i="10"/>
  <c r="W15" i="10"/>
  <c r="B15" i="10"/>
  <c r="G15" i="10" s="1"/>
  <c r="Z14" i="10"/>
  <c r="Y14" i="10"/>
  <c r="W14" i="10"/>
  <c r="B14" i="10"/>
  <c r="N14" i="10" s="1"/>
  <c r="AA13" i="10"/>
  <c r="Z13" i="10"/>
  <c r="Y13" i="10"/>
  <c r="P13" i="10"/>
  <c r="M13" i="10"/>
  <c r="H13" i="10"/>
  <c r="F13" i="10"/>
  <c r="D13" i="10"/>
  <c r="B13" i="10"/>
  <c r="Z12" i="10"/>
  <c r="B12" i="10"/>
  <c r="AB12" i="10" s="1"/>
  <c r="C11" i="10"/>
  <c r="B11" i="10"/>
  <c r="B10" i="10"/>
  <c r="B9" i="10"/>
  <c r="B8" i="10"/>
  <c r="AB8" i="10" s="1"/>
  <c r="X7" i="10"/>
  <c r="B7" i="10"/>
  <c r="AA6" i="10"/>
  <c r="O6" i="10"/>
  <c r="H6" i="10"/>
  <c r="C6" i="10"/>
  <c r="B6" i="10"/>
  <c r="Y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J3" i="10"/>
  <c r="B3" i="10"/>
  <c r="G2" i="10"/>
  <c r="F2" i="10"/>
  <c r="E2" i="10"/>
  <c r="D2" i="10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W17" i="9"/>
  <c r="U17" i="9"/>
  <c r="T17" i="9"/>
  <c r="S17" i="9"/>
  <c r="R17" i="9"/>
  <c r="Q17" i="9"/>
  <c r="P17" i="9"/>
  <c r="O17" i="9"/>
  <c r="M17" i="9"/>
  <c r="B17" i="9"/>
  <c r="Z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Z15" i="9"/>
  <c r="B15" i="9"/>
  <c r="Z14" i="9"/>
  <c r="Y14" i="9"/>
  <c r="W14" i="9"/>
  <c r="V14" i="9"/>
  <c r="U14" i="9"/>
  <c r="T14" i="9"/>
  <c r="S14" i="9"/>
  <c r="R14" i="9"/>
  <c r="Q14" i="9"/>
  <c r="P14" i="9"/>
  <c r="O14" i="9"/>
  <c r="N14" i="9"/>
  <c r="K14" i="9"/>
  <c r="G14" i="9"/>
  <c r="B14" i="9"/>
  <c r="W13" i="9"/>
  <c r="S13" i="9"/>
  <c r="Q13" i="9"/>
  <c r="M13" i="9"/>
  <c r="D13" i="9"/>
  <c r="C13" i="9"/>
  <c r="B13" i="9"/>
  <c r="X13" i="9" s="1"/>
  <c r="AB12" i="9"/>
  <c r="C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B8" i="9"/>
  <c r="I8" i="9" s="1"/>
  <c r="AB7" i="9"/>
  <c r="AA7" i="9"/>
  <c r="X7" i="9"/>
  <c r="W7" i="9"/>
  <c r="U7" i="9"/>
  <c r="B7" i="9"/>
  <c r="J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B3" i="9"/>
  <c r="AA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AA15" i="8"/>
  <c r="Y15" i="8"/>
  <c r="U15" i="8"/>
  <c r="P15" i="8"/>
  <c r="O15" i="8"/>
  <c r="M15" i="8"/>
  <c r="L15" i="8"/>
  <c r="J15" i="8"/>
  <c r="B15" i="8"/>
  <c r="G15" i="8" s="1"/>
  <c r="Y14" i="8"/>
  <c r="W14" i="8"/>
  <c r="V14" i="8"/>
  <c r="U14" i="8"/>
  <c r="T14" i="8"/>
  <c r="S14" i="8"/>
  <c r="R14" i="8"/>
  <c r="Q14" i="8"/>
  <c r="O14" i="8"/>
  <c r="N14" i="8"/>
  <c r="L14" i="8"/>
  <c r="K14" i="8"/>
  <c r="J14" i="8"/>
  <c r="G14" i="8"/>
  <c r="D14" i="8"/>
  <c r="B14" i="8"/>
  <c r="Z14" i="8" s="1"/>
  <c r="AA13" i="8"/>
  <c r="X13" i="8"/>
  <c r="W13" i="8"/>
  <c r="V13" i="8"/>
  <c r="U13" i="8"/>
  <c r="T13" i="8"/>
  <c r="R13" i="8"/>
  <c r="Q13" i="8"/>
  <c r="O13" i="8"/>
  <c r="N13" i="8"/>
  <c r="M13" i="8"/>
  <c r="L13" i="8"/>
  <c r="K13" i="8"/>
  <c r="H13" i="8"/>
  <c r="E13" i="8"/>
  <c r="B13" i="8"/>
  <c r="AB13" i="8" s="1"/>
  <c r="Z12" i="8"/>
  <c r="Y12" i="8"/>
  <c r="X12" i="8"/>
  <c r="V12" i="8"/>
  <c r="U12" i="8"/>
  <c r="S12" i="8"/>
  <c r="R12" i="8"/>
  <c r="Q12" i="8"/>
  <c r="O12" i="8"/>
  <c r="N12" i="8"/>
  <c r="H12" i="8"/>
  <c r="E12" i="8"/>
  <c r="B12" i="8"/>
  <c r="AB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H8" i="8"/>
  <c r="B8" i="8"/>
  <c r="Z7" i="8"/>
  <c r="Y7" i="8"/>
  <c r="U7" i="8"/>
  <c r="T7" i="8"/>
  <c r="S7" i="8"/>
  <c r="Q7" i="8"/>
  <c r="P7" i="8"/>
  <c r="O7" i="8"/>
  <c r="M7" i="8"/>
  <c r="K7" i="8"/>
  <c r="B7" i="8"/>
  <c r="W7" i="8" s="1"/>
  <c r="F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Z3" i="8"/>
  <c r="W3" i="8"/>
  <c r="V3" i="8"/>
  <c r="S3" i="8"/>
  <c r="R3" i="8"/>
  <c r="Q3" i="8"/>
  <c r="P3" i="8"/>
  <c r="O3" i="8"/>
  <c r="N3" i="8"/>
  <c r="M3" i="8"/>
  <c r="L3" i="8"/>
  <c r="K3" i="8"/>
  <c r="I3" i="8"/>
  <c r="H3" i="8"/>
  <c r="G3" i="8"/>
  <c r="E3" i="8"/>
  <c r="D3" i="8"/>
  <c r="C3" i="8"/>
  <c r="B3" i="8"/>
  <c r="J3" i="8" s="1"/>
  <c r="AA2" i="8"/>
  <c r="Z2" i="8"/>
  <c r="W2" i="8"/>
  <c r="V2" i="8"/>
  <c r="U2" i="8"/>
  <c r="T2" i="8"/>
  <c r="S2" i="8"/>
  <c r="R2" i="8"/>
  <c r="D2" i="8"/>
  <c r="C2" i="8"/>
  <c r="B2" i="8"/>
  <c r="O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Z17" i="7"/>
  <c r="V17" i="7"/>
  <c r="B17" i="7"/>
  <c r="H17" i="7" s="1"/>
  <c r="N16" i="7"/>
  <c r="M16" i="7"/>
  <c r="L16" i="7"/>
  <c r="J16" i="7"/>
  <c r="H16" i="7"/>
  <c r="G16" i="7"/>
  <c r="B16" i="7"/>
  <c r="AA16" i="7" s="1"/>
  <c r="V15" i="7"/>
  <c r="Q15" i="7"/>
  <c r="P15" i="7"/>
  <c r="N15" i="7"/>
  <c r="M15" i="7"/>
  <c r="L15" i="7"/>
  <c r="K15" i="7"/>
  <c r="J15" i="7"/>
  <c r="I15" i="7"/>
  <c r="H15" i="7"/>
  <c r="G15" i="7"/>
  <c r="F15" i="7"/>
  <c r="E15" i="7"/>
  <c r="B15" i="7"/>
  <c r="AA15" i="7" s="1"/>
  <c r="I14" i="7"/>
  <c r="H14" i="7"/>
  <c r="F14" i="7"/>
  <c r="B14" i="7"/>
  <c r="B13" i="7"/>
  <c r="J13" i="7" s="1"/>
  <c r="AB12" i="7"/>
  <c r="Y12" i="7"/>
  <c r="W12" i="7"/>
  <c r="B12" i="7"/>
  <c r="K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Z8" i="7"/>
  <c r="Y8" i="7"/>
  <c r="W8" i="7"/>
  <c r="V8" i="7"/>
  <c r="U8" i="7"/>
  <c r="T8" i="7"/>
  <c r="R8" i="7"/>
  <c r="Q8" i="7"/>
  <c r="P8" i="7"/>
  <c r="B8" i="7"/>
  <c r="K8" i="7" s="1"/>
  <c r="AA7" i="7"/>
  <c r="Z7" i="7"/>
  <c r="Y7" i="7"/>
  <c r="W7" i="7"/>
  <c r="V7" i="7"/>
  <c r="U7" i="7"/>
  <c r="S7" i="7"/>
  <c r="R7" i="7"/>
  <c r="Q7" i="7"/>
  <c r="B7" i="7"/>
  <c r="AB6" i="7"/>
  <c r="Z6" i="7"/>
  <c r="X6" i="7"/>
  <c r="W6" i="7"/>
  <c r="V6" i="7"/>
  <c r="U6" i="7"/>
  <c r="S6" i="7"/>
  <c r="R6" i="7"/>
  <c r="Q6" i="7"/>
  <c r="N6" i="7"/>
  <c r="H6" i="7"/>
  <c r="B6" i="7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B3" i="7"/>
  <c r="S3" i="7" s="1"/>
  <c r="Z2" i="7"/>
  <c r="S2" i="7"/>
  <c r="R2" i="7"/>
  <c r="Q2" i="7"/>
  <c r="P2" i="7"/>
  <c r="O2" i="7"/>
  <c r="N2" i="7"/>
  <c r="B2" i="7"/>
  <c r="G2" i="7" s="1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A17" i="6"/>
  <c r="Z17" i="6"/>
  <c r="X17" i="6"/>
  <c r="W17" i="6"/>
  <c r="V17" i="6"/>
  <c r="U17" i="6"/>
  <c r="T17" i="6"/>
  <c r="S17" i="6"/>
  <c r="R17" i="6"/>
  <c r="Q17" i="6"/>
  <c r="P17" i="6"/>
  <c r="O17" i="6"/>
  <c r="M17" i="6"/>
  <c r="J17" i="6"/>
  <c r="E17" i="6"/>
  <c r="C17" i="6"/>
  <c r="B17" i="6"/>
  <c r="E16" i="6"/>
  <c r="D16" i="6"/>
  <c r="C16" i="6"/>
  <c r="B16" i="6"/>
  <c r="Y15" i="6"/>
  <c r="W15" i="6"/>
  <c r="V15" i="6"/>
  <c r="U15" i="6"/>
  <c r="S15" i="6"/>
  <c r="B15" i="6"/>
  <c r="K15" i="6" s="1"/>
  <c r="AB14" i="6"/>
  <c r="AA14" i="6"/>
  <c r="Y14" i="6"/>
  <c r="X14" i="6"/>
  <c r="T14" i="6"/>
  <c r="B14" i="6"/>
  <c r="W14" i="6" s="1"/>
  <c r="Y13" i="6"/>
  <c r="V13" i="6"/>
  <c r="T13" i="6"/>
  <c r="S13" i="6"/>
  <c r="R13" i="6"/>
  <c r="Q13" i="6"/>
  <c r="M13" i="6"/>
  <c r="H13" i="6"/>
  <c r="B13" i="6"/>
  <c r="AB12" i="6"/>
  <c r="Y12" i="6"/>
  <c r="W12" i="6"/>
  <c r="V12" i="6"/>
  <c r="U12" i="6"/>
  <c r="T12" i="6"/>
  <c r="S12" i="6"/>
  <c r="R12" i="6"/>
  <c r="P12" i="6"/>
  <c r="O12" i="6"/>
  <c r="N12" i="6"/>
  <c r="L12" i="6"/>
  <c r="K12" i="6"/>
  <c r="D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B8" i="6"/>
  <c r="AB8" i="6" s="1"/>
  <c r="B7" i="6"/>
  <c r="J7" i="6" s="1"/>
  <c r="AB6" i="6"/>
  <c r="AA6" i="6"/>
  <c r="P6" i="6"/>
  <c r="O6" i="6"/>
  <c r="N6" i="6"/>
  <c r="L6" i="6"/>
  <c r="K6" i="6"/>
  <c r="J6" i="6"/>
  <c r="I6" i="6"/>
  <c r="E6" i="6"/>
  <c r="B6" i="6"/>
  <c r="M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B3" i="6"/>
  <c r="V3" i="6" s="1"/>
  <c r="AB2" i="6"/>
  <c r="AA2" i="6"/>
  <c r="T2" i="6"/>
  <c r="B2" i="6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B17" i="5"/>
  <c r="J17" i="5" s="1"/>
  <c r="B16" i="5"/>
  <c r="AB15" i="5"/>
  <c r="Y15" i="5"/>
  <c r="U15" i="5"/>
  <c r="T15" i="5"/>
  <c r="S15" i="5"/>
  <c r="R15" i="5"/>
  <c r="Q15" i="5"/>
  <c r="P15" i="5"/>
  <c r="O15" i="5"/>
  <c r="N15" i="5"/>
  <c r="M15" i="5"/>
  <c r="L15" i="5"/>
  <c r="K15" i="5"/>
  <c r="J15" i="5"/>
  <c r="H15" i="5"/>
  <c r="G15" i="5"/>
  <c r="F15" i="5"/>
  <c r="E15" i="5"/>
  <c r="D15" i="5"/>
  <c r="B15" i="5"/>
  <c r="W15" i="5" s="1"/>
  <c r="AB14" i="5"/>
  <c r="Y14" i="5"/>
  <c r="B14" i="5"/>
  <c r="D14" i="5" s="1"/>
  <c r="H13" i="5"/>
  <c r="G13" i="5"/>
  <c r="F13" i="5"/>
  <c r="B13" i="5"/>
  <c r="B12" i="5"/>
  <c r="H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B7" i="5"/>
  <c r="D7" i="5" s="1"/>
  <c r="Z6" i="5"/>
  <c r="X6" i="5"/>
  <c r="W6" i="5"/>
  <c r="R6" i="5"/>
  <c r="M6" i="5"/>
  <c r="K6" i="5"/>
  <c r="J6" i="5"/>
  <c r="I6" i="5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B3" i="5"/>
  <c r="W3" i="5" s="1"/>
  <c r="F2" i="5"/>
  <c r="E2" i="5"/>
  <c r="D2" i="5"/>
  <c r="C2" i="5"/>
  <c r="B2" i="5"/>
  <c r="B2" i="1"/>
  <c r="AB13" i="5" l="1"/>
  <c r="J13" i="5"/>
  <c r="Z14" i="7"/>
  <c r="R14" i="7"/>
  <c r="AB8" i="9"/>
  <c r="W2" i="10"/>
  <c r="V2" i="10"/>
  <c r="N2" i="10"/>
  <c r="U14" i="10"/>
  <c r="U15" i="10"/>
  <c r="X15" i="13"/>
  <c r="F15" i="13"/>
  <c r="E15" i="13"/>
  <c r="Q15" i="13"/>
  <c r="N15" i="13"/>
  <c r="AB13" i="14"/>
  <c r="S13" i="14"/>
  <c r="R13" i="14"/>
  <c r="P15" i="14"/>
  <c r="L7" i="15"/>
  <c r="Z2" i="17"/>
  <c r="W2" i="17"/>
  <c r="J2" i="17"/>
  <c r="I2" i="17"/>
  <c r="G2" i="17"/>
  <c r="F2" i="17"/>
  <c r="X7" i="17"/>
  <c r="D13" i="5"/>
  <c r="C2" i="6"/>
  <c r="Z2" i="6"/>
  <c r="T15" i="6"/>
  <c r="X12" i="7"/>
  <c r="D14" i="7"/>
  <c r="C2" i="10"/>
  <c r="V14" i="10"/>
  <c r="V15" i="10"/>
  <c r="U8" i="12"/>
  <c r="Q8" i="12"/>
  <c r="C15" i="13"/>
  <c r="E13" i="14"/>
  <c r="S15" i="14"/>
  <c r="M7" i="15"/>
  <c r="L2" i="17"/>
  <c r="Y7" i="17"/>
  <c r="Y7" i="13"/>
  <c r="L7" i="13"/>
  <c r="Z7" i="13"/>
  <c r="G12" i="11"/>
  <c r="AA15" i="6"/>
  <c r="U14" i="6"/>
  <c r="R14" i="6"/>
  <c r="W6" i="12"/>
  <c r="D14" i="6"/>
  <c r="G7" i="7"/>
  <c r="I7" i="7"/>
  <c r="AB7" i="7"/>
  <c r="AA8" i="7"/>
  <c r="F12" i="7"/>
  <c r="O14" i="7"/>
  <c r="E17" i="7"/>
  <c r="F3" i="9"/>
  <c r="C7" i="9"/>
  <c r="G8" i="9"/>
  <c r="Y13" i="9"/>
  <c r="X17" i="9"/>
  <c r="L2" i="10"/>
  <c r="G14" i="10"/>
  <c r="F15" i="10"/>
  <c r="Q7" i="11"/>
  <c r="R7" i="11"/>
  <c r="N7" i="11"/>
  <c r="AB7" i="11"/>
  <c r="K12" i="11"/>
  <c r="AB14" i="11"/>
  <c r="D7" i="12"/>
  <c r="M8" i="12"/>
  <c r="AB14" i="12"/>
  <c r="F7" i="13"/>
  <c r="M15" i="13"/>
  <c r="Q6" i="15"/>
  <c r="Y7" i="15"/>
  <c r="F14" i="16"/>
  <c r="Z13" i="7"/>
  <c r="N13" i="7"/>
  <c r="J12" i="11"/>
  <c r="K13" i="7"/>
  <c r="G3" i="9"/>
  <c r="D7" i="9"/>
  <c r="X12" i="9"/>
  <c r="S12" i="9"/>
  <c r="Z13" i="9"/>
  <c r="AA17" i="9"/>
  <c r="M2" i="10"/>
  <c r="I14" i="10"/>
  <c r="AB8" i="11"/>
  <c r="S8" i="11"/>
  <c r="P8" i="11"/>
  <c r="L12" i="11"/>
  <c r="E7" i="12"/>
  <c r="P8" i="12"/>
  <c r="X15" i="12"/>
  <c r="AA15" i="12"/>
  <c r="C15" i="12"/>
  <c r="W15" i="12"/>
  <c r="G7" i="13"/>
  <c r="O15" i="13"/>
  <c r="R6" i="15"/>
  <c r="Z6" i="16"/>
  <c r="V6" i="16"/>
  <c r="S6" i="16"/>
  <c r="Q6" i="16"/>
  <c r="O6" i="16"/>
  <c r="L6" i="16"/>
  <c r="K6" i="16"/>
  <c r="I6" i="16"/>
  <c r="G6" i="16"/>
  <c r="F6" i="16"/>
  <c r="L17" i="5"/>
  <c r="J14" i="7"/>
  <c r="X15" i="10"/>
  <c r="D15" i="10"/>
  <c r="Z15" i="10"/>
  <c r="Q8" i="10"/>
  <c r="Z8" i="10"/>
  <c r="AB17" i="17"/>
  <c r="AA17" i="17"/>
  <c r="Z17" i="17"/>
  <c r="W17" i="17"/>
  <c r="U17" i="17"/>
  <c r="Q17" i="17"/>
  <c r="O17" i="17"/>
  <c r="M17" i="17"/>
  <c r="L17" i="17"/>
  <c r="W8" i="9"/>
  <c r="X8" i="9"/>
  <c r="S8" i="9"/>
  <c r="O17" i="5"/>
  <c r="C3" i="6"/>
  <c r="Z15" i="6"/>
  <c r="F13" i="7"/>
  <c r="H2" i="10"/>
  <c r="C14" i="10"/>
  <c r="C15" i="6"/>
  <c r="H3" i="7"/>
  <c r="T17" i="5"/>
  <c r="O3" i="6"/>
  <c r="J3" i="7"/>
  <c r="D7" i="7"/>
  <c r="M13" i="7"/>
  <c r="S14" i="7"/>
  <c r="G17" i="7"/>
  <c r="K8" i="9"/>
  <c r="P15" i="13"/>
  <c r="T3" i="5"/>
  <c r="V7" i="5"/>
  <c r="P3" i="6"/>
  <c r="G8" i="6"/>
  <c r="K3" i="7"/>
  <c r="E7" i="7"/>
  <c r="D8" i="7"/>
  <c r="J12" i="7"/>
  <c r="O13" i="7"/>
  <c r="T14" i="7"/>
  <c r="F2" i="8"/>
  <c r="AA12" i="8"/>
  <c r="O3" i="9"/>
  <c r="G7" i="9"/>
  <c r="L8" i="9"/>
  <c r="D12" i="9"/>
  <c r="X14" i="9"/>
  <c r="H14" i="9"/>
  <c r="AB14" i="9"/>
  <c r="E14" i="9"/>
  <c r="AA14" i="9"/>
  <c r="U2" i="10"/>
  <c r="K14" i="10"/>
  <c r="I15" i="10"/>
  <c r="E7" i="11"/>
  <c r="D8" i="11"/>
  <c r="O12" i="11"/>
  <c r="S8" i="12"/>
  <c r="E15" i="12"/>
  <c r="I7" i="13"/>
  <c r="W13" i="13"/>
  <c r="P13" i="13"/>
  <c r="M13" i="13"/>
  <c r="R15" i="13"/>
  <c r="J3" i="14"/>
  <c r="I3" i="14"/>
  <c r="X3" i="14"/>
  <c r="U3" i="14"/>
  <c r="C15" i="14"/>
  <c r="U6" i="15"/>
  <c r="G8" i="15"/>
  <c r="E8" i="15"/>
  <c r="D8" i="15"/>
  <c r="AB8" i="15"/>
  <c r="W8" i="15"/>
  <c r="T8" i="15"/>
  <c r="N8" i="15"/>
  <c r="H6" i="16"/>
  <c r="E6" i="17"/>
  <c r="W2" i="18"/>
  <c r="Z2" i="18"/>
  <c r="Y2" i="18"/>
  <c r="X2" i="18"/>
  <c r="S2" i="18"/>
  <c r="R2" i="18"/>
  <c r="O2" i="18"/>
  <c r="N2" i="18"/>
  <c r="M2" i="18"/>
  <c r="L2" i="18"/>
  <c r="G2" i="18"/>
  <c r="F2" i="18"/>
  <c r="K17" i="5"/>
  <c r="G8" i="10"/>
  <c r="R17" i="17"/>
  <c r="K13" i="5"/>
  <c r="AB17" i="7"/>
  <c r="D17" i="7"/>
  <c r="D14" i="10"/>
  <c r="I12" i="11"/>
  <c r="D7" i="13"/>
  <c r="F17" i="13"/>
  <c r="Y17" i="17"/>
  <c r="R13" i="5"/>
  <c r="AB15" i="6"/>
  <c r="P7" i="12"/>
  <c r="I7" i="12"/>
  <c r="X13" i="5"/>
  <c r="C8" i="6"/>
  <c r="E14" i="6"/>
  <c r="F15" i="6"/>
  <c r="C7" i="7"/>
  <c r="G12" i="7"/>
  <c r="Q14" i="7"/>
  <c r="C8" i="7"/>
  <c r="S14" i="11"/>
  <c r="K14" i="11"/>
  <c r="H14" i="11"/>
  <c r="F7" i="12"/>
  <c r="S6" i="15"/>
  <c r="U17" i="5"/>
  <c r="I14" i="6"/>
  <c r="H15" i="6"/>
  <c r="R15" i="7"/>
  <c r="U3" i="5"/>
  <c r="X7" i="5"/>
  <c r="O14" i="5"/>
  <c r="V17" i="5"/>
  <c r="Q3" i="6"/>
  <c r="H8" i="6"/>
  <c r="J14" i="6"/>
  <c r="I15" i="6"/>
  <c r="N17" i="6"/>
  <c r="H17" i="6"/>
  <c r="AB17" i="6"/>
  <c r="L3" i="7"/>
  <c r="F7" i="7"/>
  <c r="E8" i="7"/>
  <c r="L12" i="7"/>
  <c r="Q13" i="7"/>
  <c r="U14" i="7"/>
  <c r="S15" i="7"/>
  <c r="I17" i="7"/>
  <c r="G2" i="8"/>
  <c r="S3" i="9"/>
  <c r="I7" i="9"/>
  <c r="M8" i="9"/>
  <c r="E12" i="9"/>
  <c r="C14" i="9"/>
  <c r="AA15" i="9"/>
  <c r="M15" i="9"/>
  <c r="X2" i="10"/>
  <c r="L14" i="10"/>
  <c r="K15" i="10"/>
  <c r="F7" i="11"/>
  <c r="E8" i="11"/>
  <c r="P12" i="11"/>
  <c r="E14" i="11"/>
  <c r="J7" i="12"/>
  <c r="V8" i="12"/>
  <c r="F15" i="12"/>
  <c r="M7" i="13"/>
  <c r="F13" i="13"/>
  <c r="S15" i="13"/>
  <c r="C3" i="14"/>
  <c r="X2" i="15"/>
  <c r="K2" i="15"/>
  <c r="I2" i="15"/>
  <c r="H2" i="15"/>
  <c r="V2" i="15"/>
  <c r="U2" i="15"/>
  <c r="Q2" i="15"/>
  <c r="V6" i="15"/>
  <c r="C8" i="15"/>
  <c r="J6" i="16"/>
  <c r="G6" i="17"/>
  <c r="D2" i="18"/>
  <c r="D17" i="5"/>
  <c r="E13" i="7"/>
  <c r="O6" i="15"/>
  <c r="I13" i="7"/>
  <c r="C17" i="7"/>
  <c r="F14" i="10"/>
  <c r="I7" i="5"/>
  <c r="R17" i="5"/>
  <c r="AB8" i="7"/>
  <c r="E8" i="6"/>
  <c r="G15" i="6"/>
  <c r="H12" i="7"/>
  <c r="F7" i="9"/>
  <c r="AA13" i="9"/>
  <c r="R8" i="12"/>
  <c r="X15" i="14"/>
  <c r="T15" i="14"/>
  <c r="R15" i="14"/>
  <c r="Q15" i="14"/>
  <c r="H15" i="14"/>
  <c r="G15" i="14"/>
  <c r="AA15" i="14"/>
  <c r="D15" i="14"/>
  <c r="AB13" i="6"/>
  <c r="P13" i="6"/>
  <c r="K14" i="6"/>
  <c r="J15" i="6"/>
  <c r="M3" i="7"/>
  <c r="H7" i="7"/>
  <c r="G8" i="7"/>
  <c r="M12" i="7"/>
  <c r="R13" i="7"/>
  <c r="V14" i="7"/>
  <c r="T15" i="7"/>
  <c r="J17" i="7"/>
  <c r="H2" i="8"/>
  <c r="S13" i="8"/>
  <c r="P13" i="8"/>
  <c r="X14" i="8"/>
  <c r="P14" i="8"/>
  <c r="M14" i="8"/>
  <c r="AA14" i="8"/>
  <c r="Y3" i="9"/>
  <c r="N8" i="9"/>
  <c r="H12" i="9"/>
  <c r="D14" i="9"/>
  <c r="K15" i="9"/>
  <c r="Y2" i="10"/>
  <c r="M14" i="10"/>
  <c r="L15" i="10"/>
  <c r="G7" i="11"/>
  <c r="I8" i="11"/>
  <c r="T12" i="11"/>
  <c r="F14" i="11"/>
  <c r="K7" i="12"/>
  <c r="W8" i="12"/>
  <c r="G15" i="12"/>
  <c r="N7" i="13"/>
  <c r="G13" i="13"/>
  <c r="T15" i="13"/>
  <c r="D3" i="14"/>
  <c r="F15" i="14"/>
  <c r="AA6" i="15"/>
  <c r="F8" i="15"/>
  <c r="P13" i="15"/>
  <c r="M13" i="15"/>
  <c r="K13" i="15"/>
  <c r="J13" i="15"/>
  <c r="F13" i="15"/>
  <c r="AA13" i="15"/>
  <c r="Z13" i="15"/>
  <c r="T13" i="15"/>
  <c r="M6" i="16"/>
  <c r="J17" i="16"/>
  <c r="G17" i="16"/>
  <c r="D17" i="16"/>
  <c r="C17" i="16"/>
  <c r="AB17" i="16"/>
  <c r="L6" i="17"/>
  <c r="J2" i="18"/>
  <c r="C8" i="10"/>
  <c r="C17" i="13"/>
  <c r="P17" i="5"/>
  <c r="F3" i="6"/>
  <c r="J2" i="10"/>
  <c r="C15" i="10"/>
  <c r="Y7" i="9"/>
  <c r="V7" i="9"/>
  <c r="S7" i="9"/>
  <c r="K2" i="10"/>
  <c r="E7" i="13"/>
  <c r="AB14" i="16"/>
  <c r="Y14" i="16"/>
  <c r="J14" i="16"/>
  <c r="C14" i="16"/>
  <c r="H15" i="10"/>
  <c r="H7" i="13"/>
  <c r="V3" i="5"/>
  <c r="Y7" i="5"/>
  <c r="V14" i="5"/>
  <c r="W17" i="5"/>
  <c r="S3" i="6"/>
  <c r="I8" i="6"/>
  <c r="Z7" i="5"/>
  <c r="W14" i="5"/>
  <c r="X17" i="5"/>
  <c r="U3" i="6"/>
  <c r="J8" i="6"/>
  <c r="G13" i="6"/>
  <c r="L14" i="6"/>
  <c r="D17" i="6"/>
  <c r="N3" i="7"/>
  <c r="AA6" i="7"/>
  <c r="F6" i="7"/>
  <c r="J7" i="7"/>
  <c r="H8" i="7"/>
  <c r="N12" i="7"/>
  <c r="S13" i="7"/>
  <c r="X14" i="7"/>
  <c r="U15" i="7"/>
  <c r="K17" i="7"/>
  <c r="I2" i="8"/>
  <c r="E6" i="8"/>
  <c r="C13" i="8"/>
  <c r="C14" i="8"/>
  <c r="AB14" i="8"/>
  <c r="Z3" i="9"/>
  <c r="L7" i="9"/>
  <c r="O8" i="9"/>
  <c r="J12" i="9"/>
  <c r="F14" i="9"/>
  <c r="Y15" i="9"/>
  <c r="Z2" i="10"/>
  <c r="E6" i="10"/>
  <c r="G12" i="10"/>
  <c r="M15" i="10"/>
  <c r="G2" i="11"/>
  <c r="H7" i="11"/>
  <c r="J8" i="11"/>
  <c r="U12" i="11"/>
  <c r="G14" i="11"/>
  <c r="S7" i="12"/>
  <c r="X8" i="12"/>
  <c r="H15" i="12"/>
  <c r="R7" i="13"/>
  <c r="H13" i="13"/>
  <c r="V15" i="13"/>
  <c r="E3" i="14"/>
  <c r="Z7" i="14"/>
  <c r="X7" i="14"/>
  <c r="W7" i="14"/>
  <c r="J7" i="14"/>
  <c r="G7" i="14"/>
  <c r="I15" i="14"/>
  <c r="D2" i="15"/>
  <c r="AB6" i="15"/>
  <c r="H8" i="15"/>
  <c r="C13" i="15"/>
  <c r="AB2" i="16"/>
  <c r="Y2" i="16"/>
  <c r="W2" i="16"/>
  <c r="U2" i="16"/>
  <c r="P2" i="16"/>
  <c r="N6" i="16"/>
  <c r="H17" i="16"/>
  <c r="Q6" i="17"/>
  <c r="K2" i="18"/>
  <c r="X14" i="10"/>
  <c r="H14" i="10"/>
  <c r="AB14" i="10"/>
  <c r="E14" i="10"/>
  <c r="F12" i="11"/>
  <c r="X15" i="6"/>
  <c r="P15" i="6"/>
  <c r="C12" i="7"/>
  <c r="H13" i="7"/>
  <c r="M14" i="7"/>
  <c r="E12" i="7"/>
  <c r="F8" i="9"/>
  <c r="N3" i="5"/>
  <c r="M3" i="6"/>
  <c r="F17" i="7"/>
  <c r="U7" i="5"/>
  <c r="P2" i="10"/>
  <c r="J14" i="10"/>
  <c r="M12" i="11"/>
  <c r="AA7" i="5"/>
  <c r="Y17" i="5"/>
  <c r="L15" i="6"/>
  <c r="O14" i="10"/>
  <c r="N15" i="10"/>
  <c r="K8" i="11"/>
  <c r="X12" i="11"/>
  <c r="I14" i="11"/>
  <c r="V7" i="12"/>
  <c r="Y8" i="12"/>
  <c r="X7" i="15"/>
  <c r="K7" i="15"/>
  <c r="I7" i="15"/>
  <c r="H7" i="15"/>
  <c r="AA7" i="15"/>
  <c r="D7" i="15"/>
  <c r="U7" i="15"/>
  <c r="T7" i="15"/>
  <c r="Q7" i="15"/>
  <c r="AB7" i="5"/>
  <c r="Z14" i="5"/>
  <c r="V15" i="5"/>
  <c r="W3" i="6"/>
  <c r="I13" i="6"/>
  <c r="N14" i="6"/>
  <c r="M15" i="6"/>
  <c r="F17" i="6"/>
  <c r="I6" i="7"/>
  <c r="L7" i="7"/>
  <c r="J8" i="7"/>
  <c r="P12" i="7"/>
  <c r="V13" i="7"/>
  <c r="AA14" i="7"/>
  <c r="W15" i="7"/>
  <c r="M17" i="7"/>
  <c r="L2" i="8"/>
  <c r="O6" i="8"/>
  <c r="F13" i="8"/>
  <c r="E14" i="8"/>
  <c r="E15" i="8"/>
  <c r="AB3" i="9"/>
  <c r="N7" i="9"/>
  <c r="Q8" i="9"/>
  <c r="U12" i="9"/>
  <c r="I14" i="9"/>
  <c r="E17" i="9"/>
  <c r="J6" i="10"/>
  <c r="AA12" i="10"/>
  <c r="P14" i="10"/>
  <c r="O15" i="10"/>
  <c r="N2" i="11"/>
  <c r="AA6" i="11"/>
  <c r="O6" i="11"/>
  <c r="J6" i="11"/>
  <c r="J7" i="11"/>
  <c r="N8" i="11"/>
  <c r="Z12" i="11"/>
  <c r="J14" i="11"/>
  <c r="I3" i="12"/>
  <c r="W7" i="12"/>
  <c r="Z8" i="12"/>
  <c r="C12" i="12"/>
  <c r="J15" i="12"/>
  <c r="G17" i="12"/>
  <c r="U7" i="13"/>
  <c r="N13" i="13"/>
  <c r="Y15" i="13"/>
  <c r="G3" i="14"/>
  <c r="D7" i="14"/>
  <c r="K15" i="14"/>
  <c r="F2" i="15"/>
  <c r="C7" i="15"/>
  <c r="K8" i="15"/>
  <c r="E13" i="15"/>
  <c r="K2" i="16"/>
  <c r="W6" i="16"/>
  <c r="U17" i="16"/>
  <c r="U2" i="18"/>
  <c r="C12" i="11"/>
  <c r="E12" i="11"/>
  <c r="I6" i="15"/>
  <c r="I13" i="5"/>
  <c r="J6" i="15"/>
  <c r="L14" i="7"/>
  <c r="X3" i="7"/>
  <c r="P3" i="7"/>
  <c r="M3" i="5"/>
  <c r="Q17" i="5"/>
  <c r="F3" i="7"/>
  <c r="E15" i="10"/>
  <c r="L3" i="6"/>
  <c r="G3" i="7"/>
  <c r="S17" i="5"/>
  <c r="S3" i="5"/>
  <c r="Y2" i="7"/>
  <c r="H2" i="7"/>
  <c r="S7" i="13"/>
  <c r="W15" i="13"/>
  <c r="J15" i="14"/>
  <c r="V7" i="17"/>
  <c r="T7" i="17"/>
  <c r="S7" i="17"/>
  <c r="R7" i="17"/>
  <c r="K7" i="17"/>
  <c r="J7" i="17"/>
  <c r="G7" i="17"/>
  <c r="F7" i="17"/>
  <c r="E7" i="17"/>
  <c r="D7" i="17"/>
  <c r="AA14" i="5"/>
  <c r="X3" i="6"/>
  <c r="K13" i="6"/>
  <c r="O14" i="6"/>
  <c r="N15" i="6"/>
  <c r="G17" i="6"/>
  <c r="I2" i="7"/>
  <c r="T3" i="7"/>
  <c r="K6" i="7"/>
  <c r="M7" i="7"/>
  <c r="R12" i="7"/>
  <c r="W13" i="7"/>
  <c r="AB14" i="7"/>
  <c r="Y15" i="7"/>
  <c r="Q17" i="7"/>
  <c r="M2" i="8"/>
  <c r="P6" i="8"/>
  <c r="G13" i="8"/>
  <c r="F14" i="8"/>
  <c r="F15" i="8"/>
  <c r="P7" i="9"/>
  <c r="R8" i="9"/>
  <c r="W12" i="9"/>
  <c r="J14" i="9"/>
  <c r="F17" i="9"/>
  <c r="L6" i="10"/>
  <c r="Q14" i="10"/>
  <c r="P15" i="10"/>
  <c r="K7" i="11"/>
  <c r="O8" i="11"/>
  <c r="AB12" i="11"/>
  <c r="L14" i="11"/>
  <c r="J3" i="12"/>
  <c r="X7" i="12"/>
  <c r="AA8" i="12"/>
  <c r="H12" i="12"/>
  <c r="K15" i="12"/>
  <c r="O17" i="12"/>
  <c r="W7" i="13"/>
  <c r="O13" i="13"/>
  <c r="Z15" i="13"/>
  <c r="K3" i="14"/>
  <c r="E7" i="14"/>
  <c r="L15" i="14"/>
  <c r="G2" i="15"/>
  <c r="E7" i="15"/>
  <c r="L8" i="15"/>
  <c r="G13" i="15"/>
  <c r="Q2" i="16"/>
  <c r="Z7" i="16"/>
  <c r="AB7" i="16"/>
  <c r="X7" i="16"/>
  <c r="V7" i="16"/>
  <c r="U7" i="16"/>
  <c r="R7" i="16"/>
  <c r="P7" i="16"/>
  <c r="M7" i="16"/>
  <c r="J7" i="16"/>
  <c r="I7" i="16"/>
  <c r="F7" i="16"/>
  <c r="V17" i="16"/>
  <c r="O7" i="17"/>
  <c r="V2" i="18"/>
  <c r="X17" i="18"/>
  <c r="U17" i="18"/>
  <c r="T17" i="18"/>
  <c r="S17" i="18"/>
  <c r="R17" i="18"/>
  <c r="Q17" i="18"/>
  <c r="P17" i="18"/>
  <c r="O17" i="18"/>
  <c r="L17" i="18"/>
  <c r="J17" i="18"/>
  <c r="G17" i="18"/>
  <c r="E17" i="18"/>
  <c r="D17" i="18"/>
  <c r="C17" i="18"/>
  <c r="AB17" i="18"/>
  <c r="AA17" i="18"/>
  <c r="Y17" i="18"/>
  <c r="W17" i="18"/>
  <c r="C8" i="9"/>
  <c r="C7" i="13"/>
  <c r="M13" i="5"/>
  <c r="C14" i="6"/>
  <c r="N8" i="10"/>
  <c r="X8" i="7"/>
  <c r="F8" i="7"/>
  <c r="H14" i="6"/>
  <c r="U8" i="6"/>
  <c r="K7" i="7"/>
  <c r="I8" i="7"/>
  <c r="O12" i="7"/>
  <c r="T13" i="7"/>
  <c r="Y14" i="7"/>
  <c r="L17" i="7"/>
  <c r="K2" i="8"/>
  <c r="Y3" i="6"/>
  <c r="K2" i="7"/>
  <c r="U3" i="7"/>
  <c r="N7" i="7"/>
  <c r="L8" i="7"/>
  <c r="S12" i="7"/>
  <c r="X13" i="7"/>
  <c r="W12" i="8"/>
  <c r="T12" i="8"/>
  <c r="Q7" i="9"/>
  <c r="T8" i="9"/>
  <c r="Y12" i="9"/>
  <c r="R14" i="10"/>
  <c r="Q15" i="10"/>
  <c r="L7" i="11"/>
  <c r="Q8" i="11"/>
  <c r="M14" i="11"/>
  <c r="L15" i="12"/>
  <c r="AB6" i="13"/>
  <c r="P6" i="13"/>
  <c r="K6" i="13"/>
  <c r="X7" i="13"/>
  <c r="AA15" i="13"/>
  <c r="M15" i="14"/>
  <c r="F7" i="15"/>
  <c r="P7" i="17"/>
  <c r="Z3" i="18"/>
  <c r="D3" i="18"/>
  <c r="Y3" i="18"/>
  <c r="V3" i="18"/>
  <c r="S3" i="18"/>
  <c r="R3" i="18"/>
  <c r="Q3" i="18"/>
  <c r="M3" i="18"/>
  <c r="K3" i="18"/>
  <c r="I17" i="18"/>
  <c r="G6" i="15"/>
  <c r="N6" i="15"/>
  <c r="L6" i="15"/>
  <c r="K6" i="15"/>
  <c r="D6" i="15"/>
  <c r="X6" i="15"/>
  <c r="W6" i="15"/>
  <c r="T6" i="15"/>
  <c r="E6" i="15"/>
  <c r="AA14" i="10"/>
  <c r="M6" i="15"/>
  <c r="E8" i="9"/>
  <c r="K8" i="10"/>
  <c r="K3" i="6"/>
  <c r="C3" i="9"/>
  <c r="Q3" i="5"/>
  <c r="N7" i="5"/>
  <c r="Y13" i="5"/>
  <c r="F14" i="6"/>
  <c r="Z13" i="5"/>
  <c r="K3" i="9"/>
  <c r="M14" i="6"/>
  <c r="Z15" i="8"/>
  <c r="N15" i="8"/>
  <c r="K15" i="8"/>
  <c r="M7" i="9"/>
  <c r="P8" i="9"/>
  <c r="O12" i="9"/>
  <c r="O15" i="6"/>
  <c r="M3" i="11"/>
  <c r="J3" i="11"/>
  <c r="Y7" i="12"/>
  <c r="Z12" i="12"/>
  <c r="X15" i="5"/>
  <c r="I15" i="5"/>
  <c r="Z15" i="5"/>
  <c r="AA3" i="6"/>
  <c r="N13" i="6"/>
  <c r="Q14" i="6"/>
  <c r="Q15" i="6"/>
  <c r="K17" i="6"/>
  <c r="L2" i="7"/>
  <c r="V3" i="7"/>
  <c r="O6" i="7"/>
  <c r="O7" i="7"/>
  <c r="M8" i="7"/>
  <c r="T12" i="7"/>
  <c r="AA13" i="7"/>
  <c r="C15" i="7"/>
  <c r="T17" i="7"/>
  <c r="P2" i="8"/>
  <c r="G7" i="8"/>
  <c r="C12" i="8"/>
  <c r="I13" i="8"/>
  <c r="H14" i="8"/>
  <c r="H15" i="8"/>
  <c r="R7" i="9"/>
  <c r="U8" i="9"/>
  <c r="Z12" i="9"/>
  <c r="L14" i="9"/>
  <c r="J17" i="9"/>
  <c r="R6" i="10"/>
  <c r="S14" i="10"/>
  <c r="R15" i="10"/>
  <c r="C3" i="11"/>
  <c r="M7" i="11"/>
  <c r="R8" i="11"/>
  <c r="N14" i="11"/>
  <c r="C17" i="11"/>
  <c r="L3" i="12"/>
  <c r="Z7" i="12"/>
  <c r="AA12" i="12"/>
  <c r="M15" i="12"/>
  <c r="G6" i="13"/>
  <c r="AA7" i="13"/>
  <c r="R13" i="13"/>
  <c r="AB15" i="13"/>
  <c r="M3" i="14"/>
  <c r="I7" i="14"/>
  <c r="N15" i="14"/>
  <c r="L2" i="15"/>
  <c r="G7" i="15"/>
  <c r="O8" i="15"/>
  <c r="I13" i="15"/>
  <c r="X2" i="16"/>
  <c r="D7" i="16"/>
  <c r="Z17" i="16"/>
  <c r="U7" i="17"/>
  <c r="E3" i="18"/>
  <c r="M17" i="18"/>
  <c r="I8" i="10"/>
  <c r="X17" i="17"/>
  <c r="L3" i="5"/>
  <c r="D15" i="6"/>
  <c r="N14" i="7"/>
  <c r="E15" i="6"/>
  <c r="D8" i="6"/>
  <c r="O3" i="7"/>
  <c r="AA2" i="10"/>
  <c r="P14" i="6"/>
  <c r="X15" i="7"/>
  <c r="O15" i="7"/>
  <c r="Z15" i="7"/>
  <c r="S17" i="7"/>
  <c r="N2" i="8"/>
  <c r="G17" i="9"/>
  <c r="G12" i="5"/>
  <c r="E6" i="5"/>
  <c r="C15" i="5"/>
  <c r="AA15" i="5"/>
  <c r="X12" i="6"/>
  <c r="J12" i="6"/>
  <c r="O13" i="6"/>
  <c r="S14" i="6"/>
  <c r="R15" i="6"/>
  <c r="L17" i="6"/>
  <c r="M2" i="7"/>
  <c r="Z3" i="7"/>
  <c r="P6" i="7"/>
  <c r="P7" i="7"/>
  <c r="N8" i="7"/>
  <c r="V12" i="7"/>
  <c r="AB13" i="7"/>
  <c r="D15" i="7"/>
  <c r="AB15" i="7"/>
  <c r="U17" i="7"/>
  <c r="Q2" i="8"/>
  <c r="J7" i="8"/>
  <c r="D12" i="8"/>
  <c r="J13" i="8"/>
  <c r="I14" i="8"/>
  <c r="I15" i="8"/>
  <c r="T7" i="9"/>
  <c r="Y8" i="9"/>
  <c r="AA12" i="9"/>
  <c r="M14" i="9"/>
  <c r="K17" i="9"/>
  <c r="T14" i="10"/>
  <c r="T15" i="10"/>
  <c r="D3" i="11"/>
  <c r="O7" i="11"/>
  <c r="T8" i="11"/>
  <c r="O14" i="11"/>
  <c r="M3" i="12"/>
  <c r="AA7" i="12"/>
  <c r="N15" i="12"/>
  <c r="H6" i="13"/>
  <c r="AB7" i="13"/>
  <c r="AB12" i="13"/>
  <c r="V12" i="13"/>
  <c r="D12" i="13"/>
  <c r="S13" i="13"/>
  <c r="N3" i="14"/>
  <c r="U6" i="14"/>
  <c r="W6" i="14"/>
  <c r="T6" i="14"/>
  <c r="J6" i="14"/>
  <c r="F6" i="14"/>
  <c r="K7" i="14"/>
  <c r="O15" i="14"/>
  <c r="M2" i="15"/>
  <c r="J7" i="15"/>
  <c r="R8" i="15"/>
  <c r="U12" i="15"/>
  <c r="O12" i="15"/>
  <c r="M12" i="15"/>
  <c r="L12" i="15"/>
  <c r="H12" i="15"/>
  <c r="AA12" i="15"/>
  <c r="Z12" i="15"/>
  <c r="V12" i="15"/>
  <c r="L13" i="15"/>
  <c r="AA2" i="16"/>
  <c r="E7" i="16"/>
  <c r="W7" i="17"/>
  <c r="H3" i="18"/>
  <c r="N17" i="18"/>
  <c r="O3" i="19"/>
  <c r="I3" i="19"/>
  <c r="H3" i="19"/>
  <c r="G3" i="19"/>
  <c r="F3" i="19"/>
  <c r="E3" i="19"/>
  <c r="D3" i="19"/>
  <c r="AB3" i="19"/>
  <c r="C3" i="19"/>
  <c r="Y3" i="19"/>
  <c r="W3" i="19"/>
  <c r="U3" i="19"/>
  <c r="T3" i="19"/>
  <c r="S3" i="19"/>
  <c r="R3" i="19"/>
  <c r="P3" i="19"/>
  <c r="N3" i="19"/>
  <c r="M3" i="19"/>
  <c r="K3" i="19"/>
  <c r="AB8" i="18"/>
  <c r="Y12" i="18"/>
  <c r="E15" i="18"/>
  <c r="H2" i="19"/>
  <c r="N6" i="19"/>
  <c r="M8" i="19"/>
  <c r="C12" i="19"/>
  <c r="K13" i="19"/>
  <c r="T14" i="19"/>
  <c r="Q12" i="17"/>
  <c r="C8" i="18"/>
  <c r="Z12" i="18"/>
  <c r="J15" i="18"/>
  <c r="M2" i="19"/>
  <c r="O6" i="19"/>
  <c r="N8" i="19"/>
  <c r="E12" i="19"/>
  <c r="L13" i="19"/>
  <c r="U14" i="19"/>
  <c r="J2" i="13"/>
  <c r="L3" i="13"/>
  <c r="O14" i="13"/>
  <c r="U2" i="14"/>
  <c r="T3" i="15"/>
  <c r="V15" i="15"/>
  <c r="C8" i="17"/>
  <c r="D8" i="18"/>
  <c r="K15" i="18"/>
  <c r="N2" i="19"/>
  <c r="R6" i="19"/>
  <c r="O8" i="19"/>
  <c r="F12" i="19"/>
  <c r="M13" i="19"/>
  <c r="V14" i="19"/>
  <c r="E8" i="18"/>
  <c r="M15" i="18"/>
  <c r="O2" i="19"/>
  <c r="W6" i="19"/>
  <c r="P8" i="19"/>
  <c r="G12" i="19"/>
  <c r="O13" i="19"/>
  <c r="AB14" i="19"/>
  <c r="Q8" i="19"/>
  <c r="H12" i="19"/>
  <c r="P13" i="19"/>
  <c r="N2" i="13"/>
  <c r="P3" i="13"/>
  <c r="R14" i="13"/>
  <c r="Y2" i="14"/>
  <c r="X3" i="15"/>
  <c r="AA15" i="15"/>
  <c r="H8" i="17"/>
  <c r="U12" i="17"/>
  <c r="H15" i="17"/>
  <c r="I6" i="18"/>
  <c r="G8" i="18"/>
  <c r="H13" i="18"/>
  <c r="S15" i="18"/>
  <c r="R2" i="19"/>
  <c r="C7" i="19"/>
  <c r="R8" i="19"/>
  <c r="I12" i="19"/>
  <c r="Q13" i="19"/>
  <c r="C15" i="19"/>
  <c r="Y3" i="15"/>
  <c r="J8" i="17"/>
  <c r="V12" i="17"/>
  <c r="I15" i="17"/>
  <c r="J6" i="18"/>
  <c r="J8" i="18"/>
  <c r="P13" i="18"/>
  <c r="W15" i="18"/>
  <c r="S2" i="19"/>
  <c r="F7" i="19"/>
  <c r="S8" i="19"/>
  <c r="J12" i="19"/>
  <c r="T13" i="19"/>
  <c r="E15" i="19"/>
  <c r="N8" i="17"/>
  <c r="W12" i="17"/>
  <c r="N15" i="17"/>
  <c r="K6" i="18"/>
  <c r="K8" i="18"/>
  <c r="X15" i="18"/>
  <c r="U2" i="19"/>
  <c r="G7" i="19"/>
  <c r="T8" i="19"/>
  <c r="L12" i="19"/>
  <c r="V13" i="19"/>
  <c r="F15" i="19"/>
  <c r="K15" i="16"/>
  <c r="O8" i="17"/>
  <c r="O6" i="18"/>
  <c r="M8" i="18"/>
  <c r="Y15" i="18"/>
  <c r="V2" i="19"/>
  <c r="H7" i="19"/>
  <c r="V8" i="19"/>
  <c r="P12" i="19"/>
  <c r="W13" i="19"/>
  <c r="G15" i="19"/>
  <c r="Y15" i="16"/>
  <c r="Q8" i="17"/>
  <c r="AB12" i="17"/>
  <c r="Q6" i="18"/>
  <c r="O8" i="18"/>
  <c r="L14" i="18"/>
  <c r="AA15" i="18"/>
  <c r="X2" i="19"/>
  <c r="M7" i="19"/>
  <c r="Y8" i="19"/>
  <c r="R12" i="19"/>
  <c r="Z13" i="19"/>
  <c r="L15" i="19"/>
  <c r="C17" i="19"/>
  <c r="C3" i="16"/>
  <c r="R8" i="17"/>
  <c r="W6" i="18"/>
  <c r="P8" i="18"/>
  <c r="Q14" i="18"/>
  <c r="AB15" i="18"/>
  <c r="Z2" i="19"/>
  <c r="R7" i="19"/>
  <c r="Z8" i="19"/>
  <c r="T12" i="19"/>
  <c r="AA13" i="19"/>
  <c r="M15" i="19"/>
  <c r="E17" i="19"/>
  <c r="O15" i="19"/>
  <c r="F17" i="19"/>
  <c r="AB8" i="19"/>
  <c r="V12" i="19"/>
  <c r="F14" i="19"/>
  <c r="P15" i="19"/>
  <c r="G17" i="19"/>
  <c r="S3" i="16"/>
  <c r="K12" i="16"/>
  <c r="U8" i="17"/>
  <c r="E12" i="17"/>
  <c r="N13" i="17"/>
  <c r="S8" i="18"/>
  <c r="V14" i="18"/>
  <c r="C8" i="19"/>
  <c r="Y12" i="19"/>
  <c r="G14" i="19"/>
  <c r="Q15" i="19"/>
  <c r="M17" i="19"/>
  <c r="F3" i="15"/>
  <c r="L17" i="15"/>
  <c r="T3" i="16"/>
  <c r="W12" i="16"/>
  <c r="V8" i="17"/>
  <c r="T8" i="18"/>
  <c r="X14" i="18"/>
  <c r="D8" i="19"/>
  <c r="AA12" i="19"/>
  <c r="H14" i="19"/>
  <c r="W15" i="19"/>
  <c r="O17" i="19"/>
  <c r="E14" i="13"/>
  <c r="E2" i="14"/>
  <c r="G3" i="15"/>
  <c r="W17" i="15"/>
  <c r="W3" i="16"/>
  <c r="X12" i="16"/>
  <c r="W8" i="17"/>
  <c r="U8" i="18"/>
  <c r="Y14" i="18"/>
  <c r="E8" i="19"/>
  <c r="AB12" i="19"/>
  <c r="J14" i="19"/>
  <c r="Y15" i="19"/>
  <c r="Q17" i="19"/>
  <c r="F8" i="19"/>
  <c r="K14" i="19"/>
  <c r="AA15" i="19"/>
  <c r="R17" i="19"/>
  <c r="J3" i="15"/>
  <c r="AA8" i="17"/>
  <c r="I12" i="17"/>
  <c r="W8" i="18"/>
  <c r="E6" i="19"/>
  <c r="G8" i="19"/>
  <c r="C13" i="19"/>
  <c r="L14" i="19"/>
  <c r="AB15" i="19"/>
  <c r="V17" i="19"/>
  <c r="G6" i="19"/>
  <c r="H8" i="19"/>
  <c r="D13" i="19"/>
  <c r="O14" i="19"/>
  <c r="Y17" i="19"/>
  <c r="C2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<sst xmlns="http://schemas.openxmlformats.org/spreadsheetml/2006/main" count="3113" uniqueCount="587">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</sst>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123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NJ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7.1283395821353457E-2</v>
      </c>
      <c r="C2" s="7">
        <f>$B2 * IFERROR(VLOOKUP("transport|PM25|Premature mortality", US_national_yearly!$D:$AM, 11, FALSE) / VLOOKUP("transport|PM25|Premature mortality", US_national_yearly!$D:$AM, 10, FALSE), 1)</f>
        <v>7.2167153712964713E-2</v>
      </c>
      <c r="D2" s="7">
        <f>$B2 * IFERROR(VLOOKUP("transport|PM25|Premature mortality", US_national_yearly!$D:$AM, 12, FALSE) / VLOOKUP("transport|PM25|Premature mortality", US_national_yearly!$D:$AM, 10, FALSE), 1)</f>
        <v>7.3050911604575969E-2</v>
      </c>
      <c r="E2" s="7">
        <f>$B2 * IFERROR(VLOOKUP("transport|PM25|Premature mortality", US_national_yearly!$D:$AM, 13, FALSE) / VLOOKUP("transport|PM25|Premature mortality", US_national_yearly!$D:$AM, 10, FALSE), 1)</f>
        <v>7.3934669496187211E-2</v>
      </c>
      <c r="F2" s="7">
        <f>$B2 * IFERROR(VLOOKUP("transport|PM25|Premature mortality", US_national_yearly!$D:$AM, 14, FALSE) / VLOOKUP("transport|PM25|Premature mortality", US_national_yearly!$D:$AM, 10, FALSE), 1)</f>
        <v>7.4818427387798453E-2</v>
      </c>
      <c r="G2" s="7">
        <f>$B2 * IFERROR(VLOOKUP("transport|PM25|Premature mortality", US_national_yearly!$D:$AM, 15, FALSE) / VLOOKUP("transport|PM25|Premature mortality", US_national_yearly!$D:$AM, 10, FALSE), 1)</f>
        <v>7.6539539216567115E-2</v>
      </c>
      <c r="H2" s="7">
        <f>$B2 * IFERROR(VLOOKUP("transport|PM25|Premature mortality", US_national_yearly!$D:$AM, 16, FALSE) / VLOOKUP("transport|PM25|Premature mortality", US_national_yearly!$D:$AM, 10, FALSE), 1)</f>
        <v>7.8260651045335791E-2</v>
      </c>
      <c r="I2" s="7">
        <f>$B2 * IFERROR(VLOOKUP("transport|PM25|Premature mortality", US_national_yearly!$D:$AM, 17, FALSE) / VLOOKUP("transport|PM25|Premature mortality", US_national_yearly!$D:$AM, 10, FALSE), 1)</f>
        <v>7.9391149744906575E-2</v>
      </c>
      <c r="J2" s="7">
        <f>$B2 * IFERROR(VLOOKUP("transport|PM25|Premature mortality", US_national_yearly!$D:$AM, 18, FALSE) / VLOOKUP("transport|PM25|Premature mortality", US_national_yearly!$D:$AM, 10, FALSE), 1)</f>
        <v>8.0521648444477387E-2</v>
      </c>
      <c r="K2" s="7">
        <f>$B2 * IFERROR(VLOOKUP("transport|PM25|Premature mortality", US_national_yearly!$D:$AM, 19, FALSE) / VLOOKUP("transport|PM25|Premature mortality", US_national_yearly!$D:$AM, 10, FALSE), 1)</f>
        <v>8.1652147144048184E-2</v>
      </c>
      <c r="L2" s="7">
        <f>$B2 * IFERROR(VLOOKUP("transport|PM25|Premature mortality", US_national_yearly!$D:$AM, 20, FALSE) / VLOOKUP("transport|PM25|Premature mortality", US_national_yearly!$D:$AM, 10, FALSE), 1)</f>
        <v>8.278264584361901E-2</v>
      </c>
      <c r="M2" s="7">
        <f>$B2 * IFERROR(VLOOKUP("transport|PM25|Premature mortality", US_national_yearly!$D:$AM, 21, FALSE) / VLOOKUP("transport|PM25|Premature mortality", US_national_yearly!$D:$AM, 10, FALSE), 1)</f>
        <v>8.3913144543189808E-2</v>
      </c>
      <c r="N2" s="7">
        <f>$B2 * IFERROR(VLOOKUP("transport|PM25|Premature mortality", US_national_yearly!$D:$AM, 22, FALSE) / VLOOKUP("transport|PM25|Premature mortality", US_national_yearly!$D:$AM, 10, FALSE), 1)</f>
        <v>8.4790904833902739E-2</v>
      </c>
      <c r="O2" s="7">
        <f>$B2 * IFERROR(VLOOKUP("transport|PM25|Premature mortality", US_national_yearly!$D:$AM, 23, FALSE) / VLOOKUP("transport|PM25|Premature mortality", US_national_yearly!$D:$AM, 10, FALSE), 1)</f>
        <v>8.5668665124615684E-2</v>
      </c>
      <c r="P2" s="7">
        <f>$B2 * IFERROR(VLOOKUP("transport|PM25|Premature mortality", US_national_yearly!$D:$AM, 24, FALSE) / VLOOKUP("transport|PM25|Premature mortality", US_national_yearly!$D:$AM, 10, FALSE), 1)</f>
        <v>8.6546425415328629E-2</v>
      </c>
      <c r="Q2" s="7">
        <f>$B2 * IFERROR(VLOOKUP("transport|PM25|Premature mortality", US_national_yearly!$D:$AM, 25, FALSE) / VLOOKUP("transport|PM25|Premature mortality", US_national_yearly!$D:$AM, 10, FALSE), 1)</f>
        <v>8.742418570604156E-2</v>
      </c>
      <c r="R2" s="7">
        <f>$B2 * IFERROR(VLOOKUP("transport|PM25|Premature mortality", US_national_yearly!$D:$AM, 26, FALSE) / VLOOKUP("transport|PM25|Premature mortality", US_national_yearly!$D:$AM, 10, FALSE), 1)</f>
        <v>8.8301945996754519E-2</v>
      </c>
      <c r="S2" s="7">
        <f>$B2 * IFERROR(VLOOKUP("transport|PM25|Premature mortality", US_national_yearly!$D:$AM, 27, FALSE) / VLOOKUP("transport|PM25|Premature mortality", US_national_yearly!$D:$AM, 10, FALSE), 1)</f>
        <v>8.8766957319646761E-2</v>
      </c>
      <c r="T2" s="7">
        <f>$B2 * IFERROR(VLOOKUP("transport|PM25|Premature mortality", US_national_yearly!$D:$AM, 28, FALSE) / VLOOKUP("transport|PM25|Premature mortality", US_national_yearly!$D:$AM, 10, FALSE), 1)</f>
        <v>8.9231968642539003E-2</v>
      </c>
      <c r="U2" s="7">
        <f>$B2 * IFERROR(VLOOKUP("transport|PM25|Premature mortality", US_national_yearly!$D:$AM, 29, FALSE) / VLOOKUP("transport|PM25|Premature mortality", US_national_yearly!$D:$AM, 10, FALSE), 1)</f>
        <v>8.9696979965431231E-2</v>
      </c>
      <c r="V2" s="7">
        <f>$B2 * IFERROR(VLOOKUP("transport|PM25|Premature mortality", US_national_yearly!$D:$AM, 30, FALSE) / VLOOKUP("transport|PM25|Premature mortality", US_national_yearly!$D:$AM, 10, FALSE), 1)</f>
        <v>9.0161991288323459E-2</v>
      </c>
      <c r="W2" s="7">
        <f>$B2 * IFERROR(VLOOKUP("transport|PM25|Premature mortality", US_national_yearly!$D:$AM, 31, FALSE) / VLOOKUP("transport|PM25|Premature mortality", US_national_yearly!$D:$AM, 10, FALSE), 1)</f>
        <v>9.0627002611215687E-2</v>
      </c>
      <c r="X2" s="7">
        <f>$B2 * IFERROR(VLOOKUP("transport|PM25|Premature mortality", US_national_yearly!$D:$AM, 32, FALSE) / VLOOKUP("transport|PM25|Premature mortality", US_national_yearly!$D:$AM, 10, FALSE), 1)</f>
        <v>9.0708313438135166E-2</v>
      </c>
      <c r="Y2" s="7">
        <f>$B2 * IFERROR(VLOOKUP("transport|PM25|Premature mortality", US_national_yearly!$D:$AM, 33, FALSE) / VLOOKUP("transport|PM25|Premature mortality", US_national_yearly!$D:$AM, 10, FALSE), 1)</f>
        <v>9.0789624265054658E-2</v>
      </c>
      <c r="Z2" s="7">
        <f>$B2 * IFERROR(VLOOKUP("transport|PM25|Premature mortality", US_national_yearly!$D:$AM, 34, FALSE) / VLOOKUP("transport|PM25|Premature mortality", US_national_yearly!$D:$AM, 10, FALSE), 1)</f>
        <v>9.0870935091974137E-2</v>
      </c>
      <c r="AA2" s="7">
        <f>$B2 * IFERROR(VLOOKUP("transport|PM25|Premature mortality", US_national_yearly!$D:$AM, 35, FALSE) / VLOOKUP("transport|PM25|Premature mortality", US_national_yearly!$D:$AM, 10, FALSE), 1)</f>
        <v>9.0952245918893629E-2</v>
      </c>
      <c r="AB2" s="7">
        <f>$B2 * IFERROR(VLOOKUP("transport|PM25|Premature mortality", US_national_yearly!$D:$AM, 36, FALSE) / VLOOKUP("transport|PM25|Premature mortality", US_national_yearly!$D:$AM, 10, FALSE), 1)</f>
        <v>9.1033556745813107E-2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1.3295970998600696E-4</v>
      </c>
      <c r="C3" s="7">
        <f>$B3 * IFERROR(VLOOKUP("transport|PM25|Infant mortality", US_national_yearly!$D:$AM, 11, FALSE) / VLOOKUP("transport|PM25|Infant mortality", US_national_yearly!$D:$AM, 10, FALSE), 1)</f>
        <v>1.3180042264152912E-4</v>
      </c>
      <c r="D3" s="7">
        <f>$B3 * IFERROR(VLOOKUP("transport|PM25|Infant mortality", US_national_yearly!$D:$AM, 12, FALSE) / VLOOKUP("transport|PM25|Infant mortality", US_national_yearly!$D:$AM, 10, FALSE), 1)</f>
        <v>1.3064113529705128E-4</v>
      </c>
      <c r="E3" s="7">
        <f>$B3 * IFERROR(VLOOKUP("transport|PM25|Infant mortality", US_national_yearly!$D:$AM, 13, FALSE) / VLOOKUP("transport|PM25|Infant mortality", US_national_yearly!$D:$AM, 10, FALSE), 1)</f>
        <v>1.2948184795257348E-4</v>
      </c>
      <c r="F3" s="7">
        <f>$B3 * IFERROR(VLOOKUP("transport|PM25|Infant mortality", US_national_yearly!$D:$AM, 14, FALSE) / VLOOKUP("transport|PM25|Infant mortality", US_national_yearly!$D:$AM, 10, FALSE), 1)</f>
        <v>1.2832256060809561E-4</v>
      </c>
      <c r="G3" s="7">
        <f>$B3 * IFERROR(VLOOKUP("transport|PM25|Infant mortality", US_national_yearly!$D:$AM, 15, FALSE) / VLOOKUP("transport|PM25|Infant mortality", US_national_yearly!$D:$AM, 10, FALSE), 1)</f>
        <v>8.5341367029160219E-5</v>
      </c>
      <c r="H3" s="7">
        <f>$B3 * IFERROR(VLOOKUP("transport|PM25|Infant mortality", US_national_yearly!$D:$AM, 16, FALSE) / VLOOKUP("transport|PM25|Infant mortality", US_national_yearly!$D:$AM, 10, FALSE), 1)</f>
        <v>4.2360173450224785E-5</v>
      </c>
      <c r="I3" s="7">
        <f>$B3 * IFERROR(VLOOKUP("transport|PM25|Infant mortality", US_national_yearly!$D:$AM, 17, FALSE) / VLOOKUP("transport|PM25|Infant mortality", US_national_yearly!$D:$AM, 10, FALSE), 1)</f>
        <v>4.2083279743961201E-5</v>
      </c>
      <c r="J3" s="7">
        <f>$B3 * IFERROR(VLOOKUP("transport|PM25|Infant mortality", US_national_yearly!$D:$AM, 18, FALSE) / VLOOKUP("transport|PM25|Infant mortality", US_national_yearly!$D:$AM, 10, FALSE), 1)</f>
        <v>4.180638603769761E-5</v>
      </c>
      <c r="K3" s="7">
        <f>$B3 * IFERROR(VLOOKUP("transport|PM25|Infant mortality", US_national_yearly!$D:$AM, 19, FALSE) / VLOOKUP("transport|PM25|Infant mortality", US_national_yearly!$D:$AM, 10, FALSE), 1)</f>
        <v>4.1529492331434025E-5</v>
      </c>
      <c r="L3" s="7">
        <f>$B3 * IFERROR(VLOOKUP("transport|PM25|Infant mortality", US_national_yearly!$D:$AM, 20, FALSE) / VLOOKUP("transport|PM25|Infant mortality", US_national_yearly!$D:$AM, 10, FALSE), 1)</f>
        <v>4.1252598625170441E-5</v>
      </c>
      <c r="M3" s="7">
        <f>$B3 * IFERROR(VLOOKUP("transport|PM25|Infant mortality", US_national_yearly!$D:$AM, 21, FALSE) / VLOOKUP("transport|PM25|Infant mortality", US_national_yearly!$D:$AM, 10, FALSE), 1)</f>
        <v>4.0975704918906856E-5</v>
      </c>
      <c r="N3" s="7">
        <f>$B3 * IFERROR(VLOOKUP("transport|PM25|Infant mortality", US_national_yearly!$D:$AM, 22, FALSE) / VLOOKUP("transport|PM25|Infant mortality", US_national_yearly!$D:$AM, 10, FALSE), 1)</f>
        <v>4.0801785016246124E-5</v>
      </c>
      <c r="O3" s="7">
        <f>$B3 * IFERROR(VLOOKUP("transport|PM25|Infant mortality", US_national_yearly!$D:$AM, 23, FALSE) / VLOOKUP("transport|PM25|Infant mortality", US_national_yearly!$D:$AM, 10, FALSE), 1)</f>
        <v>4.0627865113585399E-5</v>
      </c>
      <c r="P3" s="7">
        <f>$B3 * IFERROR(VLOOKUP("transport|PM25|Infant mortality", US_national_yearly!$D:$AM, 24, FALSE) / VLOOKUP("transport|PM25|Infant mortality", US_national_yearly!$D:$AM, 10, FALSE), 1)</f>
        <v>4.045394521092466E-5</v>
      </c>
      <c r="Q3" s="7">
        <f>$B3 * IFERROR(VLOOKUP("transport|PM25|Infant mortality", US_national_yearly!$D:$AM, 25, FALSE) / VLOOKUP("transport|PM25|Infant mortality", US_national_yearly!$D:$AM, 10, FALSE), 1)</f>
        <v>4.0280025308263935E-5</v>
      </c>
      <c r="R3" s="7">
        <f>$B3 * IFERROR(VLOOKUP("transport|PM25|Infant mortality", US_national_yearly!$D:$AM, 26, FALSE) / VLOOKUP("transport|PM25|Infant mortality", US_national_yearly!$D:$AM, 10, FALSE), 1)</f>
        <v>4.0106105405603203E-5</v>
      </c>
      <c r="S3" s="7">
        <f>$B3 * IFERROR(VLOOKUP("transport|PM25|Infant mortality", US_national_yearly!$D:$AM, 27, FALSE) / VLOOKUP("transport|PM25|Infant mortality", US_national_yearly!$D:$AM, 10, FALSE), 1)</f>
        <v>3.9889310690866152E-5</v>
      </c>
      <c r="T3" s="7">
        <f>$B3 * IFERROR(VLOOKUP("transport|PM25|Infant mortality", US_national_yearly!$D:$AM, 28, FALSE) / VLOOKUP("transport|PM25|Infant mortality", US_national_yearly!$D:$AM, 10, FALSE), 1)</f>
        <v>3.9672515976129101E-5</v>
      </c>
      <c r="U3" s="7">
        <f>$B3 * IFERROR(VLOOKUP("transport|PM25|Infant mortality", US_national_yearly!$D:$AM, 29, FALSE) / VLOOKUP("transport|PM25|Infant mortality", US_national_yearly!$D:$AM, 10, FALSE), 1)</f>
        <v>3.9455721261392057E-5</v>
      </c>
      <c r="V3" s="7">
        <f>$B3 * IFERROR(VLOOKUP("transport|PM25|Infant mortality", US_national_yearly!$D:$AM, 30, FALSE) / VLOOKUP("transport|PM25|Infant mortality", US_national_yearly!$D:$AM, 10, FALSE), 1)</f>
        <v>3.9238926546655012E-5</v>
      </c>
      <c r="W3" s="7">
        <f>$B3 * IFERROR(VLOOKUP("transport|PM25|Infant mortality", US_national_yearly!$D:$AM, 31, FALSE) / VLOOKUP("transport|PM25|Infant mortality", US_national_yearly!$D:$AM, 10, FALSE), 1)</f>
        <v>3.9022131831917954E-5</v>
      </c>
      <c r="X3" s="7">
        <f>$B3 * IFERROR(VLOOKUP("transport|PM25|Infant mortality", US_national_yearly!$D:$AM, 32, FALSE) / VLOOKUP("transport|PM25|Infant mortality", US_national_yearly!$D:$AM, 10, FALSE), 1)</f>
        <v>3.878839988119445E-5</v>
      </c>
      <c r="Y3" s="7">
        <f>$B3 * IFERROR(VLOOKUP("transport|PM25|Infant mortality", US_national_yearly!$D:$AM, 33, FALSE) / VLOOKUP("transport|PM25|Infant mortality", US_national_yearly!$D:$AM, 10, FALSE), 1)</f>
        <v>3.8554667930470926E-5</v>
      </c>
      <c r="Z3" s="7">
        <f>$B3 * IFERROR(VLOOKUP("transport|PM25|Infant mortality", US_national_yearly!$D:$AM, 34, FALSE) / VLOOKUP("transport|PM25|Infant mortality", US_national_yearly!$D:$AM, 10, FALSE), 1)</f>
        <v>3.8320935979747415E-5</v>
      </c>
      <c r="AA3" s="7">
        <f>$B3 * IFERROR(VLOOKUP("transport|PM25|Infant mortality", US_national_yearly!$D:$AM, 35, FALSE) / VLOOKUP("transport|PM25|Infant mortality", US_national_yearly!$D:$AM, 10, FALSE), 1)</f>
        <v>3.8087204029023897E-5</v>
      </c>
      <c r="AB3" s="7">
        <f>$B3 * IFERROR(VLOOKUP("transport|PM25|Infant mortality", US_national_yearly!$D:$AM, 36, FALSE) / VLOOKUP("transport|PM25|Infant mortality", US_national_yearly!$D:$AM, 10, FALSE), 1)</f>
        <v>3.7853472078300393E-5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0.19497561913208172</v>
      </c>
      <c r="C6" s="7">
        <f>$B6 * IFERROR(VLOOKUP("transport|PM25|Asthma symptoms cough", US_national_yearly!$D:$AM, 11, FALSE) / VLOOKUP("transport|PM25|Asthma symptoms cough", US_national_yearly!$D:$AM, 10, FALSE), 1)</f>
        <v>0.19497561913208172</v>
      </c>
      <c r="D6" s="7">
        <f>$B6 * IFERROR(VLOOKUP("transport|PM25|Asthma symptoms cough", US_national_yearly!$D:$AM, 12, FALSE) / VLOOKUP("transport|PM25|Asthma symptoms cough", US_national_yearly!$D:$AM, 10, FALSE), 1)</f>
        <v>0.19497561913208172</v>
      </c>
      <c r="E6" s="7">
        <f>$B6 * IFERROR(VLOOKUP("transport|PM25|Asthma symptoms cough", US_national_yearly!$D:$AM, 13, FALSE) / VLOOKUP("transport|PM25|Asthma symptoms cough", US_national_yearly!$D:$AM, 10, FALSE), 1)</f>
        <v>0.19497561913208172</v>
      </c>
      <c r="F6" s="7">
        <f>$B6 * IFERROR(VLOOKUP("transport|PM25|Asthma symptoms cough", US_national_yearly!$D:$AM, 14, FALSE) / VLOOKUP("transport|PM25|Asthma symptoms cough", US_national_yearly!$D:$AM, 10, FALSE), 1)</f>
        <v>0.19497561913208172</v>
      </c>
      <c r="G6" s="7">
        <f>$B6 * IFERROR(VLOOKUP("transport|PM25|Asthma symptoms cough", US_national_yearly!$D:$AM, 15, FALSE) / VLOOKUP("transport|PM25|Asthma symptoms cough", US_national_yearly!$D:$AM, 10, FALSE), 1)</f>
        <v>0.19497561913208172</v>
      </c>
      <c r="H6" s="7">
        <f>$B6 * IFERROR(VLOOKUP("transport|PM25|Asthma symptoms cough", US_national_yearly!$D:$AM, 16, FALSE) / VLOOKUP("transport|PM25|Asthma symptoms cough", US_national_yearly!$D:$AM, 10, FALSE), 1)</f>
        <v>0.19497561913208172</v>
      </c>
      <c r="I6" s="7">
        <f>$B6 * IFERROR(VLOOKUP("transport|PM25|Asthma symptoms cough", US_national_yearly!$D:$AM, 17, FALSE) / VLOOKUP("transport|PM25|Asthma symptoms cough", US_national_yearly!$D:$AM, 10, FALSE), 1)</f>
        <v>0.19497561913208172</v>
      </c>
      <c r="J6" s="7">
        <f>$B6 * IFERROR(VLOOKUP("transport|PM25|Asthma symptoms cough", US_national_yearly!$D:$AM, 18, FALSE) / VLOOKUP("transport|PM25|Asthma symptoms cough", US_national_yearly!$D:$AM, 10, FALSE), 1)</f>
        <v>0.19497561913208172</v>
      </c>
      <c r="K6" s="7">
        <f>$B6 * IFERROR(VLOOKUP("transport|PM25|Asthma symptoms cough", US_national_yearly!$D:$AM, 19, FALSE) / VLOOKUP("transport|PM25|Asthma symptoms cough", US_national_yearly!$D:$AM, 10, FALSE), 1)</f>
        <v>0.19497561913208172</v>
      </c>
      <c r="L6" s="7">
        <f>$B6 * IFERROR(VLOOKUP("transport|PM25|Asthma symptoms cough", US_national_yearly!$D:$AM, 20, FALSE) / VLOOKUP("transport|PM25|Asthma symptoms cough", US_national_yearly!$D:$AM, 10, FALSE), 1)</f>
        <v>0.19497561913208172</v>
      </c>
      <c r="M6" s="7">
        <f>$B6 * IFERROR(VLOOKUP("transport|PM25|Asthma symptoms cough", US_national_yearly!$D:$AM, 21, FALSE) / VLOOKUP("transport|PM25|Asthma symptoms cough", US_national_yearly!$D:$AM, 10, FALSE), 1)</f>
        <v>0.19497561913208172</v>
      </c>
      <c r="N6" s="7">
        <f>$B6 * IFERROR(VLOOKUP("transport|PM25|Asthma symptoms cough", US_national_yearly!$D:$AM, 22, FALSE) / VLOOKUP("transport|PM25|Asthma symptoms cough", US_national_yearly!$D:$AM, 10, FALSE), 1)</f>
        <v>0.19497561913208172</v>
      </c>
      <c r="O6" s="7">
        <f>$B6 * IFERROR(VLOOKUP("transport|PM25|Asthma symptoms cough", US_national_yearly!$D:$AM, 23, FALSE) / VLOOKUP("transport|PM25|Asthma symptoms cough", US_national_yearly!$D:$AM, 10, FALSE), 1)</f>
        <v>0.19497561913208172</v>
      </c>
      <c r="P6" s="7">
        <f>$B6 * IFERROR(VLOOKUP("transport|PM25|Asthma symptoms cough", US_national_yearly!$D:$AM, 24, FALSE) / VLOOKUP("transport|PM25|Asthma symptoms cough", US_national_yearly!$D:$AM, 10, FALSE), 1)</f>
        <v>0.19497561913208172</v>
      </c>
      <c r="Q6" s="7">
        <f>$B6 * IFERROR(VLOOKUP("transport|PM25|Asthma symptoms cough", US_national_yearly!$D:$AM, 25, FALSE) / VLOOKUP("transport|PM25|Asthma symptoms cough", US_national_yearly!$D:$AM, 10, FALSE), 1)</f>
        <v>0.19497561913208172</v>
      </c>
      <c r="R6" s="7">
        <f>$B6 * IFERROR(VLOOKUP("transport|PM25|Asthma symptoms cough", US_national_yearly!$D:$AM, 26, FALSE) / VLOOKUP("transport|PM25|Asthma symptoms cough", US_national_yearly!$D:$AM, 10, FALSE), 1)</f>
        <v>0.19497561913208172</v>
      </c>
      <c r="S6" s="7">
        <f>$B6 * IFERROR(VLOOKUP("transport|PM25|Asthma symptoms cough", US_national_yearly!$D:$AM, 27, FALSE) / VLOOKUP("transport|PM25|Asthma symptoms cough", US_national_yearly!$D:$AM, 10, FALSE), 1)</f>
        <v>0.19497561913208172</v>
      </c>
      <c r="T6" s="7">
        <f>$B6 * IFERROR(VLOOKUP("transport|PM25|Asthma symptoms cough", US_national_yearly!$D:$AM, 28, FALSE) / VLOOKUP("transport|PM25|Asthma symptoms cough", US_national_yearly!$D:$AM, 10, FALSE), 1)</f>
        <v>0.19497561913208172</v>
      </c>
      <c r="U6" s="7">
        <f>$B6 * IFERROR(VLOOKUP("transport|PM25|Asthma symptoms cough", US_national_yearly!$D:$AM, 29, FALSE) / VLOOKUP("transport|PM25|Asthma symptoms cough", US_national_yearly!$D:$AM, 10, FALSE), 1)</f>
        <v>0.19497561913208172</v>
      </c>
      <c r="V6" s="7">
        <f>$B6 * IFERROR(VLOOKUP("transport|PM25|Asthma symptoms cough", US_national_yearly!$D:$AM, 30, FALSE) / VLOOKUP("transport|PM25|Asthma symptoms cough", US_national_yearly!$D:$AM, 10, FALSE), 1)</f>
        <v>0.19497561913208172</v>
      </c>
      <c r="W6" s="7">
        <f>$B6 * IFERROR(VLOOKUP("transport|PM25|Asthma symptoms cough", US_national_yearly!$D:$AM, 31, FALSE) / VLOOKUP("transport|PM25|Asthma symptoms cough", US_national_yearly!$D:$AM, 10, FALSE), 1)</f>
        <v>0.19497561913208172</v>
      </c>
      <c r="X6" s="7">
        <f>$B6 * IFERROR(VLOOKUP("transport|PM25|Asthma symptoms cough", US_national_yearly!$D:$AM, 32, FALSE) / VLOOKUP("transport|PM25|Asthma symptoms cough", US_national_yearly!$D:$AM, 10, FALSE), 1)</f>
        <v>0.19497561913208172</v>
      </c>
      <c r="Y6" s="7">
        <f>$B6 * IFERROR(VLOOKUP("transport|PM25|Asthma symptoms cough", US_national_yearly!$D:$AM, 33, FALSE) / VLOOKUP("transport|PM25|Asthma symptoms cough", US_national_yearly!$D:$AM, 10, FALSE), 1)</f>
        <v>0.19497561913208172</v>
      </c>
      <c r="Z6" s="7">
        <f>$B6 * IFERROR(VLOOKUP("transport|PM25|Asthma symptoms cough", US_national_yearly!$D:$AM, 34, FALSE) / VLOOKUP("transport|PM25|Asthma symptoms cough", US_national_yearly!$D:$AM, 10, FALSE), 1)</f>
        <v>0.19497561913208172</v>
      </c>
      <c r="AA6" s="7">
        <f>$B6 * IFERROR(VLOOKUP("transport|PM25|Asthma symptoms cough", US_national_yearly!$D:$AM, 35, FALSE) / VLOOKUP("transport|PM25|Asthma symptoms cough", US_national_yearly!$D:$AM, 10, FALSE), 1)</f>
        <v>0.19497561913208172</v>
      </c>
      <c r="AB6" s="7">
        <f>$B6 * IFERROR(VLOOKUP("transport|PM25|Asthma symptoms cough", US_national_yearly!$D:$AM, 36, FALSE) / VLOOKUP("transport|PM25|Asthma symptoms cough", US_national_yearly!$D:$AM, 10, FALSE), 1)</f>
        <v>0.19497561913208172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0.26255197501468663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0.26255197501468663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0.26255197501468663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0.26255197501468663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0.26255197501468663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0.26255197501468663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0.26255197501468663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0.26255197501468663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0.26255197501468663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0.26255197501468663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0.26255197501468663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0.26255197501468663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0.26255197501468663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0.26255197501468663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0.26255197501468663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0.26255197501468663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0.26255197501468663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0.26255197501468663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0.26255197501468663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0.26255197501468663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0.26255197501468663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0.26255197501468663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0.26255197501468663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0.26255197501468663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0.26255197501468663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0.26255197501468663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0.26255197501468663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0.40117409369086676</v>
      </c>
      <c r="C8" s="7">
        <f>$B8 * IFERROR(VLOOKUP("transport|PM25|Asthma symptoms wheeze", US_national_yearly!$D:$AM, 11, FALSE) / VLOOKUP("transport|PM25|Asthma symptoms wheeze", US_national_yearly!$D:$AM, 10, FALSE), 1)</f>
        <v>0.40117409369086676</v>
      </c>
      <c r="D8" s="7">
        <f>$B8 * IFERROR(VLOOKUP("transport|PM25|Asthma symptoms wheeze", US_national_yearly!$D:$AM, 12, FALSE) / VLOOKUP("transport|PM25|Asthma symptoms wheeze", US_national_yearly!$D:$AM, 10, FALSE), 1)</f>
        <v>0.40117409369086676</v>
      </c>
      <c r="E8" s="7">
        <f>$B8 * IFERROR(VLOOKUP("transport|PM25|Asthma symptoms wheeze", US_national_yearly!$D:$AM, 13, FALSE) / VLOOKUP("transport|PM25|Asthma symptoms wheeze", US_national_yearly!$D:$AM, 10, FALSE), 1)</f>
        <v>0.40117409369086676</v>
      </c>
      <c r="F8" s="7">
        <f>$B8 * IFERROR(VLOOKUP("transport|PM25|Asthma symptoms wheeze", US_national_yearly!$D:$AM, 14, FALSE) / VLOOKUP("transport|PM25|Asthma symptoms wheeze", US_national_yearly!$D:$AM, 10, FALSE), 1)</f>
        <v>0.40117409369086676</v>
      </c>
      <c r="G8" s="7">
        <f>$B8 * IFERROR(VLOOKUP("transport|PM25|Asthma symptoms wheeze", US_national_yearly!$D:$AM, 15, FALSE) / VLOOKUP("transport|PM25|Asthma symptoms wheeze", US_national_yearly!$D:$AM, 10, FALSE), 1)</f>
        <v>0.40117409369086676</v>
      </c>
      <c r="H8" s="7">
        <f>$B8 * IFERROR(VLOOKUP("transport|PM25|Asthma symptoms wheeze", US_national_yearly!$D:$AM, 16, FALSE) / VLOOKUP("transport|PM25|Asthma symptoms wheeze", US_national_yearly!$D:$AM, 10, FALSE), 1)</f>
        <v>0.40117409369086676</v>
      </c>
      <c r="I8" s="7">
        <f>$B8 * IFERROR(VLOOKUP("transport|PM25|Asthma symptoms wheeze", US_national_yearly!$D:$AM, 17, FALSE) / VLOOKUP("transport|PM25|Asthma symptoms wheeze", US_national_yearly!$D:$AM, 10, FALSE), 1)</f>
        <v>0.40117409369086676</v>
      </c>
      <c r="J8" s="7">
        <f>$B8 * IFERROR(VLOOKUP("transport|PM25|Asthma symptoms wheeze", US_national_yearly!$D:$AM, 18, FALSE) / VLOOKUP("transport|PM25|Asthma symptoms wheeze", US_national_yearly!$D:$AM, 10, FALSE), 1)</f>
        <v>0.40117409369086676</v>
      </c>
      <c r="K8" s="7">
        <f>$B8 * IFERROR(VLOOKUP("transport|PM25|Asthma symptoms wheeze", US_national_yearly!$D:$AM, 19, FALSE) / VLOOKUP("transport|PM25|Asthma symptoms wheeze", US_national_yearly!$D:$AM, 10, FALSE), 1)</f>
        <v>0.40117409369086676</v>
      </c>
      <c r="L8" s="7">
        <f>$B8 * IFERROR(VLOOKUP("transport|PM25|Asthma symptoms wheeze", US_national_yearly!$D:$AM, 20, FALSE) / VLOOKUP("transport|PM25|Asthma symptoms wheeze", US_national_yearly!$D:$AM, 10, FALSE), 1)</f>
        <v>0.40117409369086676</v>
      </c>
      <c r="M8" s="7">
        <f>$B8 * IFERROR(VLOOKUP("transport|PM25|Asthma symptoms wheeze", US_national_yearly!$D:$AM, 21, FALSE) / VLOOKUP("transport|PM25|Asthma symptoms wheeze", US_national_yearly!$D:$AM, 10, FALSE), 1)</f>
        <v>0.40117409369086676</v>
      </c>
      <c r="N8" s="7">
        <f>$B8 * IFERROR(VLOOKUP("transport|PM25|Asthma symptoms wheeze", US_national_yearly!$D:$AM, 22, FALSE) / VLOOKUP("transport|PM25|Asthma symptoms wheeze", US_national_yearly!$D:$AM, 10, FALSE), 1)</f>
        <v>0.40117409369086676</v>
      </c>
      <c r="O8" s="7">
        <f>$B8 * IFERROR(VLOOKUP("transport|PM25|Asthma symptoms wheeze", US_national_yearly!$D:$AM, 23, FALSE) / VLOOKUP("transport|PM25|Asthma symptoms wheeze", US_national_yearly!$D:$AM, 10, FALSE), 1)</f>
        <v>0.40117409369086676</v>
      </c>
      <c r="P8" s="7">
        <f>$B8 * IFERROR(VLOOKUP("transport|PM25|Asthma symptoms wheeze", US_national_yearly!$D:$AM, 24, FALSE) / VLOOKUP("transport|PM25|Asthma symptoms wheeze", US_national_yearly!$D:$AM, 10, FALSE), 1)</f>
        <v>0.40117409369086676</v>
      </c>
      <c r="Q8" s="7">
        <f>$B8 * IFERROR(VLOOKUP("transport|PM25|Asthma symptoms wheeze", US_national_yearly!$D:$AM, 25, FALSE) / VLOOKUP("transport|PM25|Asthma symptoms wheeze", US_national_yearly!$D:$AM, 10, FALSE), 1)</f>
        <v>0.40117409369086676</v>
      </c>
      <c r="R8" s="7">
        <f>$B8 * IFERROR(VLOOKUP("transport|PM25|Asthma symptoms wheeze", US_national_yearly!$D:$AM, 26, FALSE) / VLOOKUP("transport|PM25|Asthma symptoms wheeze", US_national_yearly!$D:$AM, 10, FALSE), 1)</f>
        <v>0.40117409369086676</v>
      </c>
      <c r="S8" s="7">
        <f>$B8 * IFERROR(VLOOKUP("transport|PM25|Asthma symptoms wheeze", US_national_yearly!$D:$AM, 27, FALSE) / VLOOKUP("transport|PM25|Asthma symptoms wheeze", US_national_yearly!$D:$AM, 10, FALSE), 1)</f>
        <v>0.40117409369086676</v>
      </c>
      <c r="T8" s="7">
        <f>$B8 * IFERROR(VLOOKUP("transport|PM25|Asthma symptoms wheeze", US_national_yearly!$D:$AM, 28, FALSE) / VLOOKUP("transport|PM25|Asthma symptoms wheeze", US_national_yearly!$D:$AM, 10, FALSE), 1)</f>
        <v>0.40117409369086676</v>
      </c>
      <c r="U8" s="7">
        <f>$B8 * IFERROR(VLOOKUP("transport|PM25|Asthma symptoms wheeze", US_national_yearly!$D:$AM, 29, FALSE) / VLOOKUP("transport|PM25|Asthma symptoms wheeze", US_national_yearly!$D:$AM, 10, FALSE), 1)</f>
        <v>0.40117409369086676</v>
      </c>
      <c r="V8" s="7">
        <f>$B8 * IFERROR(VLOOKUP("transport|PM25|Asthma symptoms wheeze", US_national_yearly!$D:$AM, 30, FALSE) / VLOOKUP("transport|PM25|Asthma symptoms wheeze", US_national_yearly!$D:$AM, 10, FALSE), 1)</f>
        <v>0.40117409369086676</v>
      </c>
      <c r="W8" s="7">
        <f>$B8 * IFERROR(VLOOKUP("transport|PM25|Asthma symptoms wheeze", US_national_yearly!$D:$AM, 31, FALSE) / VLOOKUP("transport|PM25|Asthma symptoms wheeze", US_national_yearly!$D:$AM, 10, FALSE), 1)</f>
        <v>0.40117409369086676</v>
      </c>
      <c r="X8" s="7">
        <f>$B8 * IFERROR(VLOOKUP("transport|PM25|Asthma symptoms wheeze", US_national_yearly!$D:$AM, 32, FALSE) / VLOOKUP("transport|PM25|Asthma symptoms wheeze", US_national_yearly!$D:$AM, 10, FALSE), 1)</f>
        <v>0.40117409369086676</v>
      </c>
      <c r="Y8" s="7">
        <f>$B8 * IFERROR(VLOOKUP("transport|PM25|Asthma symptoms wheeze", US_national_yearly!$D:$AM, 33, FALSE) / VLOOKUP("transport|PM25|Asthma symptoms wheeze", US_national_yearly!$D:$AM, 10, FALSE), 1)</f>
        <v>0.40117409369086676</v>
      </c>
      <c r="Z8" s="7">
        <f>$B8 * IFERROR(VLOOKUP("transport|PM25|Asthma symptoms wheeze", US_national_yearly!$D:$AM, 34, FALSE) / VLOOKUP("transport|PM25|Asthma symptoms wheeze", US_national_yearly!$D:$AM, 10, FALSE), 1)</f>
        <v>0.40117409369086676</v>
      </c>
      <c r="AA8" s="7">
        <f>$B8 * IFERROR(VLOOKUP("transport|PM25|Asthma symptoms wheeze", US_national_yearly!$D:$AM, 35, FALSE) / VLOOKUP("transport|PM25|Asthma symptoms wheeze", US_national_yearly!$D:$AM, 10, FALSE), 1)</f>
        <v>0.40117409369086676</v>
      </c>
      <c r="AB8" s="7">
        <f>$B8 * IFERROR(VLOOKUP("transport|PM25|Asthma symptoms wheeze", US_national_yearly!$D:$AM, 36, FALSE) / VLOOKUP("transport|PM25|Asthma symptoms wheeze", US_national_yearly!$D:$AM, 10, FALSE), 1)</f>
        <v>0.40117409369086676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4.8476858701112712E-3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4.8754708516252562E-3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4.9032558331392395E-3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4.9310408146532245E-3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4.9588257961672077E-3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4.9888347613783572E-3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5.0188437265895067E-3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5.0475161527027803E-3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5.0761885788160564E-3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5.1048610049293308E-3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5.133533431042607E-3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5.1622058571558806E-3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5.1827848940912144E-3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5.2033639310265474E-3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5.2239429679618787E-3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5.2445220048972117E-3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5.2651010418325456E-3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5.284694996650849E-3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5.3042889514691525E-3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5.3238829062874551E-3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5.3434768611057577E-3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5.3630708159240603E-3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5.3819204504030899E-3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5.4007700848821179E-3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5.4196197193611467E-3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5.4384693538401738E-3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5.4573189883192026E-3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3.4366545356723253E-2</v>
      </c>
      <c r="C13" s="7">
        <f>$B13 * IFERROR(VLOOKUP("transport|PM25|Non-fatal heart attacks", US_national_yearly!$D:$AM, 11, FALSE) / VLOOKUP("transport|PM25|Non-fatal heart attacks", US_national_yearly!$D:$AM, 10, FALSE), 1)</f>
        <v>3.5365672028616929E-2</v>
      </c>
      <c r="D13" s="7">
        <f>$B13 * IFERROR(VLOOKUP("transport|PM25|Non-fatal heart attacks", US_national_yearly!$D:$AM, 12, FALSE) / VLOOKUP("transport|PM25|Non-fatal heart attacks", US_national_yearly!$D:$AM, 10, FALSE), 1)</f>
        <v>3.6364798700510605E-2</v>
      </c>
      <c r="E13" s="7">
        <f>$B13 * IFERROR(VLOOKUP("transport|PM25|Non-fatal heart attacks", US_national_yearly!$D:$AM, 13, FALSE) / VLOOKUP("transport|PM25|Non-fatal heart attacks", US_national_yearly!$D:$AM, 10, FALSE), 1)</f>
        <v>3.7363925372404266E-2</v>
      </c>
      <c r="F13" s="7">
        <f>$B13 * IFERROR(VLOOKUP("transport|PM25|Non-fatal heart attacks", US_national_yearly!$D:$AM, 14, FALSE) / VLOOKUP("transport|PM25|Non-fatal heart attacks", US_national_yearly!$D:$AM, 10, FALSE), 1)</f>
        <v>3.8363052044297949E-2</v>
      </c>
      <c r="G13" s="7">
        <f>$B13 * IFERROR(VLOOKUP("transport|PM25|Non-fatal heart attacks", US_national_yearly!$D:$AM, 15, FALSE) / VLOOKUP("transport|PM25|Non-fatal heart attacks", US_national_yearly!$D:$AM, 10, FALSE), 1)</f>
        <v>3.9305291659457321E-2</v>
      </c>
      <c r="H13" s="7">
        <f>$B13 * IFERROR(VLOOKUP("transport|PM25|Non-fatal heart attacks", US_national_yearly!$D:$AM, 16, FALSE) / VLOOKUP("transport|PM25|Non-fatal heart attacks", US_national_yearly!$D:$AM, 10, FALSE), 1)</f>
        <v>4.0247531274616687E-2</v>
      </c>
      <c r="I13" s="7">
        <f>$B13 * IFERROR(VLOOKUP("transport|PM25|Non-fatal heart attacks", US_national_yearly!$D:$AM, 17, FALSE) / VLOOKUP("transport|PM25|Non-fatal heart attacks", US_national_yearly!$D:$AM, 10, FALSE), 1)</f>
        <v>4.1004778390256409E-2</v>
      </c>
      <c r="J13" s="7">
        <f>$B13 * IFERROR(VLOOKUP("transport|PM25|Non-fatal heart attacks", US_national_yearly!$D:$AM, 18, FALSE) / VLOOKUP("transport|PM25|Non-fatal heart attacks", US_national_yearly!$D:$AM, 10, FALSE), 1)</f>
        <v>4.1762025505896125E-2</v>
      </c>
      <c r="K13" s="7">
        <f>$B13 * IFERROR(VLOOKUP("transport|PM25|Non-fatal heart attacks", US_national_yearly!$D:$AM, 19, FALSE) / VLOOKUP("transport|PM25|Non-fatal heart attacks", US_national_yearly!$D:$AM, 10, FALSE), 1)</f>
        <v>4.2519272621535854E-2</v>
      </c>
      <c r="L13" s="7">
        <f>$B13 * IFERROR(VLOOKUP("transport|PM25|Non-fatal heart attacks", US_national_yearly!$D:$AM, 20, FALSE) / VLOOKUP("transport|PM25|Non-fatal heart attacks", US_national_yearly!$D:$AM, 10, FALSE), 1)</f>
        <v>4.3276519737175577E-2</v>
      </c>
      <c r="M13" s="7">
        <f>$B13 * IFERROR(VLOOKUP("transport|PM25|Non-fatal heart attacks", US_national_yearly!$D:$AM, 21, FALSE) / VLOOKUP("transport|PM25|Non-fatal heart attacks", US_national_yearly!$D:$AM, 10, FALSE), 1)</f>
        <v>4.4033766852815306E-2</v>
      </c>
      <c r="N13" s="7">
        <f>$B13 * IFERROR(VLOOKUP("transport|PM25|Non-fatal heart attacks", US_national_yearly!$D:$AM, 22, FALSE) / VLOOKUP("transport|PM25|Non-fatal heart attacks", US_national_yearly!$D:$AM, 10, FALSE), 1)</f>
        <v>4.4522116467673255E-2</v>
      </c>
      <c r="O13" s="7">
        <f>$B13 * IFERROR(VLOOKUP("transport|PM25|Non-fatal heart attacks", US_national_yearly!$D:$AM, 23, FALSE) / VLOOKUP("transport|PM25|Non-fatal heart attacks", US_national_yearly!$D:$AM, 10, FALSE), 1)</f>
        <v>4.5010466082531217E-2</v>
      </c>
      <c r="P13" s="7">
        <f>$B13 * IFERROR(VLOOKUP("transport|PM25|Non-fatal heart attacks", US_national_yearly!$D:$AM, 24, FALSE) / VLOOKUP("transport|PM25|Non-fatal heart attacks", US_national_yearly!$D:$AM, 10, FALSE), 1)</f>
        <v>4.5498815697389179E-2</v>
      </c>
      <c r="Q13" s="7">
        <f>$B13 * IFERROR(VLOOKUP("transport|PM25|Non-fatal heart attacks", US_national_yearly!$D:$AM, 25, FALSE) / VLOOKUP("transport|PM25|Non-fatal heart attacks", US_national_yearly!$D:$AM, 10, FALSE), 1)</f>
        <v>4.5987165312247134E-2</v>
      </c>
      <c r="R13" s="7">
        <f>$B13 * IFERROR(VLOOKUP("transport|PM25|Non-fatal heart attacks", US_national_yearly!$D:$AM, 26, FALSE) / VLOOKUP("transport|PM25|Non-fatal heart attacks", US_national_yearly!$D:$AM, 10, FALSE), 1)</f>
        <v>4.647551492710509E-2</v>
      </c>
      <c r="S13" s="7">
        <f>$B13 * IFERROR(VLOOKUP("transport|PM25|Non-fatal heart attacks", US_national_yearly!$D:$AM, 27, FALSE) / VLOOKUP("transport|PM25|Non-fatal heart attacks", US_national_yearly!$D:$AM, 10, FALSE), 1)</f>
        <v>4.6732693786331311E-2</v>
      </c>
      <c r="T13" s="7">
        <f>$B13 * IFERROR(VLOOKUP("transport|PM25|Non-fatal heart attacks", US_national_yearly!$D:$AM, 28, FALSE) / VLOOKUP("transport|PM25|Non-fatal heart attacks", US_national_yearly!$D:$AM, 10, FALSE), 1)</f>
        <v>4.698987264555754E-2</v>
      </c>
      <c r="U13" s="7">
        <f>$B13 * IFERROR(VLOOKUP("transport|PM25|Non-fatal heart attacks", US_national_yearly!$D:$AM, 29, FALSE) / VLOOKUP("transport|PM25|Non-fatal heart attacks", US_national_yearly!$D:$AM, 10, FALSE), 1)</f>
        <v>4.7247051504783769E-2</v>
      </c>
      <c r="V13" s="7">
        <f>$B13 * IFERROR(VLOOKUP("transport|PM25|Non-fatal heart attacks", US_national_yearly!$D:$AM, 30, FALSE) / VLOOKUP("transport|PM25|Non-fatal heart attacks", US_national_yearly!$D:$AM, 10, FALSE), 1)</f>
        <v>4.7504230364009997E-2</v>
      </c>
      <c r="W13" s="7">
        <f>$B13 * IFERROR(VLOOKUP("transport|PM25|Non-fatal heart attacks", US_national_yearly!$D:$AM, 31, FALSE) / VLOOKUP("transport|PM25|Non-fatal heart attacks", US_national_yearly!$D:$AM, 10, FALSE), 1)</f>
        <v>4.7761409223236219E-2</v>
      </c>
      <c r="X13" s="7">
        <f>$B13 * IFERROR(VLOOKUP("transport|PM25|Non-fatal heart attacks", US_national_yearly!$D:$AM, 32, FALSE) / VLOOKUP("transport|PM25|Non-fatal heart attacks", US_national_yearly!$D:$AM, 10, FALSE), 1)</f>
        <v>4.7956645164687693E-2</v>
      </c>
      <c r="Y13" s="7">
        <f>$B13 * IFERROR(VLOOKUP("transport|PM25|Non-fatal heart attacks", US_national_yearly!$D:$AM, 33, FALSE) / VLOOKUP("transport|PM25|Non-fatal heart attacks", US_national_yearly!$D:$AM, 10, FALSE), 1)</f>
        <v>4.8151881106139174E-2</v>
      </c>
      <c r="Z13" s="7">
        <f>$B13 * IFERROR(VLOOKUP("transport|PM25|Non-fatal heart attacks", US_national_yearly!$D:$AM, 34, FALSE) / VLOOKUP("transport|PM25|Non-fatal heart attacks", US_national_yearly!$D:$AM, 10, FALSE), 1)</f>
        <v>4.8347117047590649E-2</v>
      </c>
      <c r="AA13" s="7">
        <f>$B13 * IFERROR(VLOOKUP("transport|PM25|Non-fatal heart attacks", US_national_yearly!$D:$AM, 35, FALSE) / VLOOKUP("transport|PM25|Non-fatal heart attacks", US_national_yearly!$D:$AM, 10, FALSE), 1)</f>
        <v>4.8542352989042137E-2</v>
      </c>
      <c r="AB13" s="7">
        <f>$B13 * IFERROR(VLOOKUP("transport|PM25|Non-fatal heart attacks", US_national_yearly!$D:$AM, 36, FALSE) / VLOOKUP("transport|PM25|Non-fatal heart attacks", US_national_yearly!$D:$AM, 10, FALSE), 1)</f>
        <v>4.8737588930493611E-2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25.709807435460881</v>
      </c>
      <c r="C14" s="7">
        <f>$B14 * IFERROR(VLOOKUP("transport|PM25|Minor restricted activity days", US_national_yearly!$D:$AM, 11, FALSE) / VLOOKUP("transport|PM25|Minor restricted activity days", US_national_yearly!$D:$AM, 10, FALSE), 1)</f>
        <v>25.772593834167065</v>
      </c>
      <c r="D14" s="7">
        <f>$B14 * IFERROR(VLOOKUP("transport|PM25|Minor restricted activity days", US_national_yearly!$D:$AM, 12, FALSE) / VLOOKUP("transport|PM25|Minor restricted activity days", US_national_yearly!$D:$AM, 10, FALSE), 1)</f>
        <v>25.835380232873245</v>
      </c>
      <c r="E14" s="7">
        <f>$B14 * IFERROR(VLOOKUP("transport|PM25|Minor restricted activity days", US_national_yearly!$D:$AM, 13, FALSE) / VLOOKUP("transport|PM25|Minor restricted activity days", US_national_yearly!$D:$AM, 10, FALSE), 1)</f>
        <v>25.898166631579436</v>
      </c>
      <c r="F14" s="7">
        <f>$B14 * IFERROR(VLOOKUP("transport|PM25|Minor restricted activity days", US_national_yearly!$D:$AM, 14, FALSE) / VLOOKUP("transport|PM25|Minor restricted activity days", US_national_yearly!$D:$AM, 10, FALSE), 1)</f>
        <v>25.960953030285612</v>
      </c>
      <c r="G14" s="7">
        <f>$B14 * IFERROR(VLOOKUP("transport|PM25|Minor restricted activity days", US_national_yearly!$D:$AM, 15, FALSE) / VLOOKUP("transport|PM25|Minor restricted activity days", US_national_yearly!$D:$AM, 10, FALSE), 1)</f>
        <v>26.053592482542502</v>
      </c>
      <c r="H14" s="7">
        <f>$B14 * IFERROR(VLOOKUP("transport|PM25|Minor restricted activity days", US_national_yearly!$D:$AM, 16, FALSE) / VLOOKUP("transport|PM25|Minor restricted activity days", US_national_yearly!$D:$AM, 10, FALSE), 1)</f>
        <v>26.146231934799395</v>
      </c>
      <c r="I14" s="7">
        <f>$B14 * IFERROR(VLOOKUP("transport|PM25|Minor restricted activity days", US_national_yearly!$D:$AM, 17, FALSE) / VLOOKUP("transport|PM25|Minor restricted activity days", US_national_yearly!$D:$AM, 10, FALSE), 1)</f>
        <v>26.304602975851271</v>
      </c>
      <c r="J14" s="7">
        <f>$B14 * IFERROR(VLOOKUP("transport|PM25|Minor restricted activity days", US_national_yearly!$D:$AM, 18, FALSE) / VLOOKUP("transport|PM25|Minor restricted activity days", US_national_yearly!$D:$AM, 10, FALSE), 1)</f>
        <v>26.462974016903132</v>
      </c>
      <c r="K14" s="7">
        <f>$B14 * IFERROR(VLOOKUP("transport|PM25|Minor restricted activity days", US_national_yearly!$D:$AM, 19, FALSE) / VLOOKUP("transport|PM25|Minor restricted activity days", US_national_yearly!$D:$AM, 10, FALSE), 1)</f>
        <v>26.621345057955008</v>
      </c>
      <c r="L14" s="7">
        <f>$B14 * IFERROR(VLOOKUP("transport|PM25|Minor restricted activity days", US_national_yearly!$D:$AM, 20, FALSE) / VLOOKUP("transport|PM25|Minor restricted activity days", US_national_yearly!$D:$AM, 10, FALSE), 1)</f>
        <v>26.779716099006876</v>
      </c>
      <c r="M14" s="7">
        <f>$B14 * IFERROR(VLOOKUP("transport|PM25|Minor restricted activity days", US_national_yearly!$D:$AM, 21, FALSE) / VLOOKUP("transport|PM25|Minor restricted activity days", US_national_yearly!$D:$AM, 10, FALSE), 1)</f>
        <v>26.938087140058748</v>
      </c>
      <c r="N14" s="7">
        <f>$B14 * IFERROR(VLOOKUP("transport|PM25|Minor restricted activity days", US_national_yearly!$D:$AM, 22, FALSE) / VLOOKUP("transport|PM25|Minor restricted activity days", US_national_yearly!$D:$AM, 10, FALSE), 1)</f>
        <v>27.153820029589593</v>
      </c>
      <c r="O14" s="7">
        <f>$B14 * IFERROR(VLOOKUP("transport|PM25|Minor restricted activity days", US_national_yearly!$D:$AM, 23, FALSE) / VLOOKUP("transport|PM25|Minor restricted activity days", US_national_yearly!$D:$AM, 10, FALSE), 1)</f>
        <v>27.36955291912043</v>
      </c>
      <c r="P14" s="7">
        <f>$B14 * IFERROR(VLOOKUP("transport|PM25|Minor restricted activity days", US_national_yearly!$D:$AM, 24, FALSE) / VLOOKUP("transport|PM25|Minor restricted activity days", US_national_yearly!$D:$AM, 10, FALSE), 1)</f>
        <v>27.585285808651275</v>
      </c>
      <c r="Q14" s="7">
        <f>$B14 * IFERROR(VLOOKUP("transport|PM25|Minor restricted activity days", US_national_yearly!$D:$AM, 25, FALSE) / VLOOKUP("transport|PM25|Minor restricted activity days", US_national_yearly!$D:$AM, 10, FALSE), 1)</f>
        <v>27.801018698182112</v>
      </c>
      <c r="R14" s="7">
        <f>$B14 * IFERROR(VLOOKUP("transport|PM25|Minor restricted activity days", US_national_yearly!$D:$AM, 26, FALSE) / VLOOKUP("transport|PM25|Minor restricted activity days", US_national_yearly!$D:$AM, 10, FALSE), 1)</f>
        <v>28.016751587712953</v>
      </c>
      <c r="S14" s="7">
        <f>$B14 * IFERROR(VLOOKUP("transport|PM25|Minor restricted activity days", US_national_yearly!$D:$AM, 27, FALSE) / VLOOKUP("transport|PM25|Minor restricted activity days", US_national_yearly!$D:$AM, 10, FALSE), 1)</f>
        <v>28.233970158962769</v>
      </c>
      <c r="T14" s="7">
        <f>$B14 * IFERROR(VLOOKUP("transport|PM25|Minor restricted activity days", US_national_yearly!$D:$AM, 28, FALSE) / VLOOKUP("transport|PM25|Minor restricted activity days", US_national_yearly!$D:$AM, 10, FALSE), 1)</f>
        <v>28.451188730212589</v>
      </c>
      <c r="U14" s="7">
        <f>$B14 * IFERROR(VLOOKUP("transport|PM25|Minor restricted activity days", US_national_yearly!$D:$AM, 29, FALSE) / VLOOKUP("transport|PM25|Minor restricted activity days", US_national_yearly!$D:$AM, 10, FALSE), 1)</f>
        <v>28.668407301462405</v>
      </c>
      <c r="V14" s="7">
        <f>$B14 * IFERROR(VLOOKUP("transport|PM25|Minor restricted activity days", US_national_yearly!$D:$AM, 30, FALSE) / VLOOKUP("transport|PM25|Minor restricted activity days", US_national_yearly!$D:$AM, 10, FALSE), 1)</f>
        <v>28.885625872712222</v>
      </c>
      <c r="W14" s="7">
        <f>$B14 * IFERROR(VLOOKUP("transport|PM25|Minor restricted activity days", US_national_yearly!$D:$AM, 31, FALSE) / VLOOKUP("transport|PM25|Minor restricted activity days", US_national_yearly!$D:$AM, 10, FALSE), 1)</f>
        <v>29.102844443962042</v>
      </c>
      <c r="X14" s="7">
        <f>$B14 * IFERROR(VLOOKUP("transport|PM25|Minor restricted activity days", US_national_yearly!$D:$AM, 32, FALSE) / VLOOKUP("transport|PM25|Minor restricted activity days", US_national_yearly!$D:$AM, 10, FALSE), 1)</f>
        <v>29.29141201641092</v>
      </c>
      <c r="Y14" s="7">
        <f>$B14 * IFERROR(VLOOKUP("transport|PM25|Minor restricted activity days", US_national_yearly!$D:$AM, 33, FALSE) / VLOOKUP("transport|PM25|Minor restricted activity days", US_national_yearly!$D:$AM, 10, FALSE), 1)</f>
        <v>29.479979588859802</v>
      </c>
      <c r="Z14" s="7">
        <f>$B14 * IFERROR(VLOOKUP("transport|PM25|Minor restricted activity days", US_national_yearly!$D:$AM, 34, FALSE) / VLOOKUP("transport|PM25|Minor restricted activity days", US_national_yearly!$D:$AM, 10, FALSE), 1)</f>
        <v>29.66854716130868</v>
      </c>
      <c r="AA14" s="7">
        <f>$B14 * IFERROR(VLOOKUP("transport|PM25|Minor restricted activity days", US_national_yearly!$D:$AM, 35, FALSE) / VLOOKUP("transport|PM25|Minor restricted activity days", US_national_yearly!$D:$AM, 10, FALSE), 1)</f>
        <v>29.857114733757555</v>
      </c>
      <c r="AB14" s="7">
        <f>$B14 * IFERROR(VLOOKUP("transport|PM25|Minor restricted activity days", US_national_yearly!$D:$AM, 36, FALSE) / VLOOKUP("transport|PM25|Minor restricted activity days", US_national_yearly!$D:$AM, 10, FALSE), 1)</f>
        <v>30.045682306206437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4.3473335838804577</v>
      </c>
      <c r="C15" s="7">
        <f>$B15 * IFERROR(VLOOKUP("transport|PM25|Work loss days", US_national_yearly!$D:$AM, 11, FALSE) / VLOOKUP("transport|PM25|Work loss days", US_national_yearly!$D:$AM, 10, FALSE), 1)</f>
        <v>4.3608087522078929</v>
      </c>
      <c r="D15" s="7">
        <f>$B15 * IFERROR(VLOOKUP("transport|PM25|Work loss days", US_national_yearly!$D:$AM, 12, FALSE) / VLOOKUP("transport|PM25|Work loss days", US_national_yearly!$D:$AM, 10, FALSE), 1)</f>
        <v>4.374283920535329</v>
      </c>
      <c r="E15" s="7">
        <f>$B15 * IFERROR(VLOOKUP("transport|PM25|Work loss days", US_national_yearly!$D:$AM, 13, FALSE) / VLOOKUP("transport|PM25|Work loss days", US_national_yearly!$D:$AM, 10, FALSE), 1)</f>
        <v>4.3877590888627633</v>
      </c>
      <c r="F15" s="7">
        <f>$B15 * IFERROR(VLOOKUP("transport|PM25|Work loss days", US_national_yearly!$D:$AM, 14, FALSE) / VLOOKUP("transport|PM25|Work loss days", US_national_yearly!$D:$AM, 10, FALSE), 1)</f>
        <v>4.4012342571901986</v>
      </c>
      <c r="G15" s="7">
        <f>$B15 * IFERROR(VLOOKUP("transport|PM25|Work loss days", US_national_yearly!$D:$AM, 15, FALSE) / VLOOKUP("transport|PM25|Work loss days", US_national_yearly!$D:$AM, 10, FALSE), 1)</f>
        <v>4.4189010627308809</v>
      </c>
      <c r="H15" s="7">
        <f>$B15 * IFERROR(VLOOKUP("transport|PM25|Work loss days", US_national_yearly!$D:$AM, 16, FALSE) / VLOOKUP("transport|PM25|Work loss days", US_national_yearly!$D:$AM, 10, FALSE), 1)</f>
        <v>4.436567868271565</v>
      </c>
      <c r="I15" s="7">
        <f>$B15 * IFERROR(VLOOKUP("transport|PM25|Work loss days", US_national_yearly!$D:$AM, 17, FALSE) / VLOOKUP("transport|PM25|Work loss days", US_national_yearly!$D:$AM, 10, FALSE), 1)</f>
        <v>4.4625841825121997</v>
      </c>
      <c r="J15" s="7">
        <f>$B15 * IFERROR(VLOOKUP("transport|PM25|Work loss days", US_national_yearly!$D:$AM, 18, FALSE) / VLOOKUP("transport|PM25|Work loss days", US_national_yearly!$D:$AM, 10, FALSE), 1)</f>
        <v>4.4886004967528352</v>
      </c>
      <c r="K15" s="7">
        <f>$B15 * IFERROR(VLOOKUP("transport|PM25|Work loss days", US_national_yearly!$D:$AM, 19, FALSE) / VLOOKUP("transport|PM25|Work loss days", US_national_yearly!$D:$AM, 10, FALSE), 1)</f>
        <v>4.5146168109934708</v>
      </c>
      <c r="L15" s="7">
        <f>$B15 * IFERROR(VLOOKUP("transport|PM25|Work loss days", US_national_yearly!$D:$AM, 20, FALSE) / VLOOKUP("transport|PM25|Work loss days", US_national_yearly!$D:$AM, 10, FALSE), 1)</f>
        <v>4.5406331252341054</v>
      </c>
      <c r="M15" s="7">
        <f>$B15 * IFERROR(VLOOKUP("transport|PM25|Work loss days", US_national_yearly!$D:$AM, 21, FALSE) / VLOOKUP("transport|PM25|Work loss days", US_national_yearly!$D:$AM, 10, FALSE), 1)</f>
        <v>4.566649439474741</v>
      </c>
      <c r="N15" s="7">
        <f>$B15 * IFERROR(VLOOKUP("transport|PM25|Work loss days", US_national_yearly!$D:$AM, 22, FALSE) / VLOOKUP("transport|PM25|Work loss days", US_national_yearly!$D:$AM, 10, FALSE), 1)</f>
        <v>4.5993929400902136</v>
      </c>
      <c r="O15" s="7">
        <f>$B15 * IFERROR(VLOOKUP("transport|PM25|Work loss days", US_national_yearly!$D:$AM, 23, FALSE) / VLOOKUP("transport|PM25|Work loss days", US_national_yearly!$D:$AM, 10, FALSE), 1)</f>
        <v>4.6321364407056862</v>
      </c>
      <c r="P15" s="7">
        <f>$B15 * IFERROR(VLOOKUP("transport|PM25|Work loss days", US_national_yearly!$D:$AM, 24, FALSE) / VLOOKUP("transport|PM25|Work loss days", US_national_yearly!$D:$AM, 10, FALSE), 1)</f>
        <v>4.6648799413211588</v>
      </c>
      <c r="Q15" s="7">
        <f>$B15 * IFERROR(VLOOKUP("transport|PM25|Work loss days", US_national_yearly!$D:$AM, 25, FALSE) / VLOOKUP("transport|PM25|Work loss days", US_national_yearly!$D:$AM, 10, FALSE), 1)</f>
        <v>4.6976234419366305</v>
      </c>
      <c r="R15" s="7">
        <f>$B15 * IFERROR(VLOOKUP("transport|PM25|Work loss days", US_national_yearly!$D:$AM, 26, FALSE) / VLOOKUP("transport|PM25|Work loss days", US_national_yearly!$D:$AM, 10, FALSE), 1)</f>
        <v>4.730366942552104</v>
      </c>
      <c r="S15" s="7">
        <f>$B15 * IFERROR(VLOOKUP("transport|PM25|Work loss days", US_national_yearly!$D:$AM, 27, FALSE) / VLOOKUP("transport|PM25|Work loss days", US_national_yearly!$D:$AM, 10, FALSE), 1)</f>
        <v>4.7665826521659245</v>
      </c>
      <c r="T15" s="7">
        <f>$B15 * IFERROR(VLOOKUP("transport|PM25|Work loss days", US_national_yearly!$D:$AM, 28, FALSE) / VLOOKUP("transport|PM25|Work loss days", US_national_yearly!$D:$AM, 10, FALSE), 1)</f>
        <v>4.802798361779745</v>
      </c>
      <c r="U15" s="7">
        <f>$B15 * IFERROR(VLOOKUP("transport|PM25|Work loss days", US_national_yearly!$D:$AM, 29, FALSE) / VLOOKUP("transport|PM25|Work loss days", US_national_yearly!$D:$AM, 10, FALSE), 1)</f>
        <v>4.8390140713935645</v>
      </c>
      <c r="V15" s="7">
        <f>$B15 * IFERROR(VLOOKUP("transport|PM25|Work loss days", US_national_yearly!$D:$AM, 30, FALSE) / VLOOKUP("transport|PM25|Work loss days", US_national_yearly!$D:$AM, 10, FALSE), 1)</f>
        <v>4.8752297810073859</v>
      </c>
      <c r="W15" s="7">
        <f>$B15 * IFERROR(VLOOKUP("transport|PM25|Work loss days", US_national_yearly!$D:$AM, 31, FALSE) / VLOOKUP("transport|PM25|Work loss days", US_national_yearly!$D:$AM, 10, FALSE), 1)</f>
        <v>4.9114454906212055</v>
      </c>
      <c r="X15" s="7">
        <f>$B15 * IFERROR(VLOOKUP("transport|PM25|Work loss days", US_national_yearly!$D:$AM, 32, FALSE) / VLOOKUP("transport|PM25|Work loss days", US_national_yearly!$D:$AM, 10, FALSE), 1)</f>
        <v>4.9435785925567348</v>
      </c>
      <c r="Y15" s="7">
        <f>$B15 * IFERROR(VLOOKUP("transport|PM25|Work loss days", US_national_yearly!$D:$AM, 33, FALSE) / VLOOKUP("transport|PM25|Work loss days", US_national_yearly!$D:$AM, 10, FALSE), 1)</f>
        <v>4.9757116944922632</v>
      </c>
      <c r="Z15" s="7">
        <f>$B15 * IFERROR(VLOOKUP("transport|PM25|Work loss days", US_national_yearly!$D:$AM, 34, FALSE) / VLOOKUP("transport|PM25|Work loss days", US_national_yearly!$D:$AM, 10, FALSE), 1)</f>
        <v>5.0078447964277935</v>
      </c>
      <c r="AA15" s="7">
        <f>$B15 * IFERROR(VLOOKUP("transport|PM25|Work loss days", US_national_yearly!$D:$AM, 35, FALSE) / VLOOKUP("transport|PM25|Work loss days", US_national_yearly!$D:$AM, 10, FALSE), 1)</f>
        <v>5.0399778983633228</v>
      </c>
      <c r="AB15" s="7">
        <f>$B15 * IFERROR(VLOOKUP("transport|PM25|Work loss days", US_national_yearly!$D:$AM, 36, FALSE) / VLOOKUP("transport|PM25|Work loss days", US_national_yearly!$D:$AM, 10, FALSE), 1)</f>
        <v>5.0721110002988521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8.3867306343915187E-3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8.6373319939557769E-3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8.8879333535200368E-3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9.1385347130842967E-3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9.3891360726485566E-3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9.6291674110045838E-3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9.8691987493606144E-3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1.0074486728171442E-2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1.0279774706982266E-2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1.0485062685793092E-2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1.0690350664603922E-2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1.0895638643414748E-2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1.1032508825886156E-2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1.1169379008357568E-2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1.1306249190828977E-2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1.1443119373300389E-2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1.1579989555771797E-2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1.165240666064569E-2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1.1724823765519579E-2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1.1797240870393466E-2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1.1869657975267355E-2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1.1942075080141246E-2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1.1990827227714782E-2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1.2039579375288318E-2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1.2088331522861854E-2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1.2137083670435389E-2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1.2185835818008927E-2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1.8532358301832071E-3</v>
      </c>
      <c r="C2" s="7">
        <f>$B2 * IFERROR(VLOOKUP("transport|NOx|Premature mortality", US_national_yearly!$D:$AM, 11, FALSE) / VLOOKUP("transport|NOx|Premature mortality", US_national_yearly!$D:$AM, 10, FALSE), 1)</f>
        <v>1.880456732090671E-3</v>
      </c>
      <c r="D2" s="7">
        <f>$B2 * IFERROR(VLOOKUP("transport|NOx|Premature mortality", US_national_yearly!$D:$AM, 12, FALSE) / VLOOKUP("transport|NOx|Premature mortality", US_national_yearly!$D:$AM, 10, FALSE), 1)</f>
        <v>1.9076776339981348E-3</v>
      </c>
      <c r="E2" s="7">
        <f>$B2 * IFERROR(VLOOKUP("transport|NOx|Premature mortality", US_national_yearly!$D:$AM, 13, FALSE) / VLOOKUP("transport|NOx|Premature mortality", US_national_yearly!$D:$AM, 10, FALSE), 1)</f>
        <v>1.9348985359055988E-3</v>
      </c>
      <c r="F2" s="7">
        <f>$B2 * IFERROR(VLOOKUP("transport|NOx|Premature mortality", US_national_yearly!$D:$AM, 14, FALSE) / VLOOKUP("transport|NOx|Premature mortality", US_national_yearly!$D:$AM, 10, FALSE), 1)</f>
        <v>1.9621194378130627E-3</v>
      </c>
      <c r="G2" s="7">
        <f>$B2 * IFERROR(VLOOKUP("transport|NOx|Premature mortality", US_national_yearly!$D:$AM, 15, FALSE) / VLOOKUP("transport|NOx|Premature mortality", US_national_yearly!$D:$AM, 10, FALSE), 1)</f>
        <v>2.0110146133189427E-3</v>
      </c>
      <c r="H2" s="7">
        <f>$B2 * IFERROR(VLOOKUP("transport|NOx|Premature mortality", US_national_yearly!$D:$AM, 16, FALSE) / VLOOKUP("transport|NOx|Premature mortality", US_national_yearly!$D:$AM, 10, FALSE), 1)</f>
        <v>2.0599097888248231E-3</v>
      </c>
      <c r="I2" s="7">
        <f>$B2 * IFERROR(VLOOKUP("transport|NOx|Premature mortality", US_national_yearly!$D:$AM, 17, FALSE) / VLOOKUP("transport|NOx|Premature mortality", US_national_yearly!$D:$AM, 10, FALSE), 1)</f>
        <v>2.0914725520886058E-3</v>
      </c>
      <c r="J2" s="7">
        <f>$B2 * IFERROR(VLOOKUP("transport|NOx|Premature mortality", US_national_yearly!$D:$AM, 18, FALSE) / VLOOKUP("transport|NOx|Premature mortality", US_national_yearly!$D:$AM, 10, FALSE), 1)</f>
        <v>2.1230353153523888E-3</v>
      </c>
      <c r="K2" s="7">
        <f>$B2 * IFERROR(VLOOKUP("transport|NOx|Premature mortality", US_national_yearly!$D:$AM, 19, FALSE) / VLOOKUP("transport|NOx|Premature mortality", US_national_yearly!$D:$AM, 10, FALSE), 1)</f>
        <v>2.1545980786161715E-3</v>
      </c>
      <c r="L2" s="7">
        <f>$B2 * IFERROR(VLOOKUP("transport|NOx|Premature mortality", US_national_yearly!$D:$AM, 20, FALSE) / VLOOKUP("transport|NOx|Premature mortality", US_national_yearly!$D:$AM, 10, FALSE), 1)</f>
        <v>2.1861608418799541E-3</v>
      </c>
      <c r="M2" s="7">
        <f>$B2 * IFERROR(VLOOKUP("transport|NOx|Premature mortality", US_national_yearly!$D:$AM, 21, FALSE) / VLOOKUP("transport|NOx|Premature mortality", US_national_yearly!$D:$AM, 10, FALSE), 1)</f>
        <v>2.2177236051437372E-3</v>
      </c>
      <c r="N2" s="7">
        <f>$B2 * IFERROR(VLOOKUP("transport|NOx|Premature mortality", US_national_yearly!$D:$AM, 22, FALSE) / VLOOKUP("transport|NOx|Premature mortality", US_national_yearly!$D:$AM, 10, FALSE), 1)</f>
        <v>2.241105177467926E-3</v>
      </c>
      <c r="O2" s="7">
        <f>$B2 * IFERROR(VLOOKUP("transport|NOx|Premature mortality", US_national_yearly!$D:$AM, 23, FALSE) / VLOOKUP("transport|NOx|Premature mortality", US_national_yearly!$D:$AM, 10, FALSE), 1)</f>
        <v>2.2644867497921147E-3</v>
      </c>
      <c r="P2" s="7">
        <f>$B2 * IFERROR(VLOOKUP("transport|NOx|Premature mortality", US_national_yearly!$D:$AM, 24, FALSE) / VLOOKUP("transport|NOx|Premature mortality", US_national_yearly!$D:$AM, 10, FALSE), 1)</f>
        <v>2.2878683221163034E-3</v>
      </c>
      <c r="Q2" s="7">
        <f>$B2 * IFERROR(VLOOKUP("transport|NOx|Premature mortality", US_national_yearly!$D:$AM, 25, FALSE) / VLOOKUP("transport|NOx|Premature mortality", US_national_yearly!$D:$AM, 10, FALSE), 1)</f>
        <v>2.3112498944404926E-3</v>
      </c>
      <c r="R2" s="7">
        <f>$B2 * IFERROR(VLOOKUP("transport|NOx|Premature mortality", US_national_yearly!$D:$AM, 26, FALSE) / VLOOKUP("transport|NOx|Premature mortality", US_national_yearly!$D:$AM, 10, FALSE), 1)</f>
        <v>2.3346314667646818E-3</v>
      </c>
      <c r="S2" s="7">
        <f>$B2 * IFERROR(VLOOKUP("transport|NOx|Premature mortality", US_national_yearly!$D:$AM, 27, FALSE) / VLOOKUP("transport|NOx|Premature mortality", US_national_yearly!$D:$AM, 10, FALSE), 1)</f>
        <v>2.3452586268353295E-3</v>
      </c>
      <c r="T2" s="7">
        <f>$B2 * IFERROR(VLOOKUP("transport|NOx|Premature mortality", US_national_yearly!$D:$AM, 28, FALSE) / VLOOKUP("transport|NOx|Premature mortality", US_national_yearly!$D:$AM, 10, FALSE), 1)</f>
        <v>2.3558857869059781E-3</v>
      </c>
      <c r="U2" s="7">
        <f>$B2 * IFERROR(VLOOKUP("transport|NOx|Premature mortality", US_national_yearly!$D:$AM, 29, FALSE) / VLOOKUP("transport|NOx|Premature mortality", US_national_yearly!$D:$AM, 10, FALSE), 1)</f>
        <v>2.3665129469766263E-3</v>
      </c>
      <c r="V2" s="7">
        <f>$B2 * IFERROR(VLOOKUP("transport|NOx|Premature mortality", US_national_yearly!$D:$AM, 30, FALSE) / VLOOKUP("transport|NOx|Premature mortality", US_national_yearly!$D:$AM, 10, FALSE), 1)</f>
        <v>2.3771401070472745E-3</v>
      </c>
      <c r="W2" s="7">
        <f>$B2 * IFERROR(VLOOKUP("transport|NOx|Premature mortality", US_national_yearly!$D:$AM, 31, FALSE) / VLOOKUP("transport|NOx|Premature mortality", US_national_yearly!$D:$AM, 10, FALSE), 1)</f>
        <v>2.3877672671179231E-3</v>
      </c>
      <c r="X2" s="7">
        <f>$B2 * IFERROR(VLOOKUP("transport|NOx|Premature mortality", US_national_yearly!$D:$AM, 32, FALSE) / VLOOKUP("transport|NOx|Premature mortality", US_national_yearly!$D:$AM, 10, FALSE), 1)</f>
        <v>2.3881353858427319E-3</v>
      </c>
      <c r="Y2" s="7">
        <f>$B2 * IFERROR(VLOOKUP("transport|NOx|Premature mortality", US_national_yearly!$D:$AM, 33, FALSE) / VLOOKUP("transport|NOx|Premature mortality", US_national_yearly!$D:$AM, 10, FALSE), 1)</f>
        <v>2.3885035045675407E-3</v>
      </c>
      <c r="Z2" s="7">
        <f>$B2 * IFERROR(VLOOKUP("transport|NOx|Premature mortality", US_national_yearly!$D:$AM, 34, FALSE) / VLOOKUP("transport|NOx|Premature mortality", US_national_yearly!$D:$AM, 10, FALSE), 1)</f>
        <v>2.3888716232923486E-3</v>
      </c>
      <c r="AA2" s="7">
        <f>$B2 * IFERROR(VLOOKUP("transport|NOx|Premature mortality", US_national_yearly!$D:$AM, 35, FALSE) / VLOOKUP("transport|NOx|Premature mortality", US_national_yearly!$D:$AM, 10, FALSE), 1)</f>
        <v>2.3892397420171578E-3</v>
      </c>
      <c r="AB2" s="7">
        <f>$B2 * IFERROR(VLOOKUP("transport|NOx|Premature mortality", US_national_yearly!$D:$AM, 36, FALSE) / VLOOKUP("transport|NOx|Premature mortality", US_national_yearly!$D:$AM, 10, FALSE), 1)</f>
        <v>2.3896078607419662E-3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3.4357576627490496E-6</v>
      </c>
      <c r="C3" s="7">
        <f>$B3 * IFERROR(VLOOKUP("transport|NOx|Infant mortality", US_national_yearly!$D:$AM, 11, FALSE) / VLOOKUP("transport|NOx|Infant mortality", US_national_yearly!$D:$AM, 10, FALSE), 1)</f>
        <v>3.4030233161425194E-6</v>
      </c>
      <c r="D3" s="7">
        <f>$B3 * IFERROR(VLOOKUP("transport|NOx|Infant mortality", US_national_yearly!$D:$AM, 12, FALSE) / VLOOKUP("transport|NOx|Infant mortality", US_national_yearly!$D:$AM, 10, FALSE), 1)</f>
        <v>3.3702889695359887E-6</v>
      </c>
      <c r="E3" s="7">
        <f>$B3 * IFERROR(VLOOKUP("transport|NOx|Infant mortality", US_national_yearly!$D:$AM, 13, FALSE) / VLOOKUP("transport|NOx|Infant mortality", US_national_yearly!$D:$AM, 10, FALSE), 1)</f>
        <v>3.3375546229294581E-6</v>
      </c>
      <c r="F3" s="7">
        <f>$B3 * IFERROR(VLOOKUP("transport|NOx|Infant mortality", US_national_yearly!$D:$AM, 14, FALSE) / VLOOKUP("transport|NOx|Infant mortality", US_national_yearly!$D:$AM, 10, FALSE), 1)</f>
        <v>3.3048202763229279E-6</v>
      </c>
      <c r="G3" s="7">
        <f>$B3 * IFERROR(VLOOKUP("transport|NOx|Infant mortality", US_national_yearly!$D:$AM, 15, FALSE) / VLOOKUP("transport|NOx|Infant mortality", US_national_yearly!$D:$AM, 10, FALSE), 1)</f>
        <v>2.1939028946958664E-6</v>
      </c>
      <c r="H3" s="7">
        <f>$B3 * IFERROR(VLOOKUP("transport|NOx|Infant mortality", US_national_yearly!$D:$AM, 16, FALSE) / VLOOKUP("transport|NOx|Infant mortality", US_national_yearly!$D:$AM, 10, FALSE), 1)</f>
        <v>1.0829855130688048E-6</v>
      </c>
      <c r="I3" s="7">
        <f>$B3 * IFERROR(VLOOKUP("transport|NOx|Infant mortality", US_national_yearly!$D:$AM, 17, FALSE) / VLOOKUP("transport|NOx|Infant mortality", US_national_yearly!$D:$AM, 10, FALSE), 1)</f>
        <v>1.0753277714526268E-6</v>
      </c>
      <c r="J3" s="7">
        <f>$B3 * IFERROR(VLOOKUP("transport|NOx|Infant mortality", US_national_yearly!$D:$AM, 18, FALSE) / VLOOKUP("transport|NOx|Infant mortality", US_national_yearly!$D:$AM, 10, FALSE), 1)</f>
        <v>1.0676700298364486E-6</v>
      </c>
      <c r="K3" s="7">
        <f>$B3 * IFERROR(VLOOKUP("transport|NOx|Infant mortality", US_national_yearly!$D:$AM, 19, FALSE) / VLOOKUP("transport|NOx|Infant mortality", US_national_yearly!$D:$AM, 10, FALSE), 1)</f>
        <v>1.0600122882202708E-6</v>
      </c>
      <c r="L3" s="7">
        <f>$B3 * IFERROR(VLOOKUP("transport|NOx|Infant mortality", US_national_yearly!$D:$AM, 20, FALSE) / VLOOKUP("transport|NOx|Infant mortality", US_national_yearly!$D:$AM, 10, FALSE), 1)</f>
        <v>1.0523545466040928E-6</v>
      </c>
      <c r="M3" s="7">
        <f>$B3 * IFERROR(VLOOKUP("transport|NOx|Infant mortality", US_national_yearly!$D:$AM, 21, FALSE) / VLOOKUP("transport|NOx|Infant mortality", US_national_yearly!$D:$AM, 10, FALSE), 1)</f>
        <v>1.0446968049879146E-6</v>
      </c>
      <c r="N3" s="7">
        <f>$B3 * IFERROR(VLOOKUP("transport|NOx|Infant mortality", US_national_yearly!$D:$AM, 22, FALSE) / VLOOKUP("transport|NOx|Infant mortality", US_national_yearly!$D:$AM, 10, FALSE), 1)</f>
        <v>1.0396139162922993E-6</v>
      </c>
      <c r="O3" s="7">
        <f>$B3 * IFERROR(VLOOKUP("transport|NOx|Infant mortality", US_national_yearly!$D:$AM, 23, FALSE) / VLOOKUP("transport|NOx|Infant mortality", US_national_yearly!$D:$AM, 10, FALSE), 1)</f>
        <v>1.0345310275966837E-6</v>
      </c>
      <c r="P3" s="7">
        <f>$B3 * IFERROR(VLOOKUP("transport|NOx|Infant mortality", US_national_yearly!$D:$AM, 24, FALSE) / VLOOKUP("transport|NOx|Infant mortality", US_national_yearly!$D:$AM, 10, FALSE), 1)</f>
        <v>1.0294481389010683E-6</v>
      </c>
      <c r="Q3" s="7">
        <f>$B3 * IFERROR(VLOOKUP("transport|NOx|Infant mortality", US_national_yearly!$D:$AM, 25, FALSE) / VLOOKUP("transport|NOx|Infant mortality", US_national_yearly!$D:$AM, 10, FALSE), 1)</f>
        <v>1.024365250205453E-6</v>
      </c>
      <c r="R3" s="7">
        <f>$B3 * IFERROR(VLOOKUP("transport|NOx|Infant mortality", US_national_yearly!$D:$AM, 26, FALSE) / VLOOKUP("transport|NOx|Infant mortality", US_national_yearly!$D:$AM, 10, FALSE), 1)</f>
        <v>1.0192823615098376E-6</v>
      </c>
      <c r="S3" s="7">
        <f>$B3 * IFERROR(VLOOKUP("transport|NOx|Infant mortality", US_national_yearly!$D:$AM, 27, FALSE) / VLOOKUP("transport|NOx|Infant mortality", US_national_yearly!$D:$AM, 10, FALSE), 1)</f>
        <v>1.0131719209973016E-6</v>
      </c>
      <c r="T3" s="7">
        <f>$B3 * IFERROR(VLOOKUP("transport|NOx|Infant mortality", US_national_yearly!$D:$AM, 28, FALSE) / VLOOKUP("transport|NOx|Infant mortality", US_national_yearly!$D:$AM, 10, FALSE), 1)</f>
        <v>1.0070614804847657E-6</v>
      </c>
      <c r="U3" s="7">
        <f>$B3 * IFERROR(VLOOKUP("transport|NOx|Infant mortality", US_national_yearly!$D:$AM, 29, FALSE) / VLOOKUP("transport|NOx|Infant mortality", US_national_yearly!$D:$AM, 10, FALSE), 1)</f>
        <v>1.0009510399722297E-6</v>
      </c>
      <c r="V3" s="7">
        <f>$B3 * IFERROR(VLOOKUP("transport|NOx|Infant mortality", US_national_yearly!$D:$AM, 30, FALSE) / VLOOKUP("transport|NOx|Infant mortality", US_national_yearly!$D:$AM, 10, FALSE), 1)</f>
        <v>9.9484059945969387E-7</v>
      </c>
      <c r="W3" s="7">
        <f>$B3 * IFERROR(VLOOKUP("transport|NOx|Infant mortality", US_national_yearly!$D:$AM, 31, FALSE) / VLOOKUP("transport|NOx|Infant mortality", US_national_yearly!$D:$AM, 10, FALSE), 1)</f>
        <v>9.8873015894715783E-7</v>
      </c>
      <c r="X3" s="7">
        <f>$B3 * IFERROR(VLOOKUP("transport|NOx|Infant mortality", US_national_yearly!$D:$AM, 32, FALSE) / VLOOKUP("transport|NOx|Infant mortality", US_national_yearly!$D:$AM, 10, FALSE), 1)</f>
        <v>9.8225890695553947E-7</v>
      </c>
      <c r="Y3" s="7">
        <f>$B3 * IFERROR(VLOOKUP("transport|NOx|Infant mortality", US_national_yearly!$D:$AM, 33, FALSE) / VLOOKUP("transport|NOx|Infant mortality", US_national_yearly!$D:$AM, 10, FALSE), 1)</f>
        <v>9.7578765496392089E-7</v>
      </c>
      <c r="Z3" s="7">
        <f>$B3 * IFERROR(VLOOKUP("transport|NOx|Infant mortality", US_national_yearly!$D:$AM, 34, FALSE) / VLOOKUP("transport|NOx|Infant mortality", US_national_yearly!$D:$AM, 10, FALSE), 1)</f>
        <v>9.693164029723021E-7</v>
      </c>
      <c r="AA3" s="7">
        <f>$B3 * IFERROR(VLOOKUP("transport|NOx|Infant mortality", US_national_yearly!$D:$AM, 35, FALSE) / VLOOKUP("transport|NOx|Infant mortality", US_national_yearly!$D:$AM, 10, FALSE), 1)</f>
        <v>9.6284515098068353E-7</v>
      </c>
      <c r="AB3" s="7">
        <f>$B3 * IFERROR(VLOOKUP("transport|NOx|Infant mortality", US_national_yearly!$D:$AM, 36, FALSE) / VLOOKUP("transport|NOx|Infant mortality", US_national_yearly!$D:$AM, 10, FALSE), 1)</f>
        <v>9.5637389898906495E-7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5.0089018175654334E-3</v>
      </c>
      <c r="C6" s="7">
        <f>$B6 * IFERROR(VLOOKUP("transport|NOx|Asthma symptoms cough", US_national_yearly!$D:$AM, 11, FALSE) / VLOOKUP("transport|NOx|Asthma symptoms cough", US_national_yearly!$D:$AM, 10, FALSE), 1)</f>
        <v>5.0773816946418568E-3</v>
      </c>
      <c r="D6" s="7">
        <f>$B6 * IFERROR(VLOOKUP("transport|NOx|Asthma symptoms cough", US_national_yearly!$D:$AM, 12, FALSE) / VLOOKUP("transport|NOx|Asthma symptoms cough", US_national_yearly!$D:$AM, 10, FALSE), 1)</f>
        <v>5.1458615717182802E-3</v>
      </c>
      <c r="E6" s="7">
        <f>$B6 * IFERROR(VLOOKUP("transport|NOx|Asthma symptoms cough", US_national_yearly!$D:$AM, 13, FALSE) / VLOOKUP("transport|NOx|Asthma symptoms cough", US_national_yearly!$D:$AM, 10, FALSE), 1)</f>
        <v>5.2143414487947036E-3</v>
      </c>
      <c r="F6" s="7">
        <f>$B6 * IFERROR(VLOOKUP("transport|NOx|Asthma symptoms cough", US_national_yearly!$D:$AM, 14, FALSE) / VLOOKUP("transport|NOx|Asthma symptoms cough", US_national_yearly!$D:$AM, 10, FALSE), 1)</f>
        <v>5.282821325871127E-3</v>
      </c>
      <c r="G6" s="7">
        <f>$B6 * IFERROR(VLOOKUP("transport|NOx|Asthma symptoms cough", US_national_yearly!$D:$AM, 15, FALSE) / VLOOKUP("transport|NOx|Asthma symptoms cough", US_national_yearly!$D:$AM, 10, FALSE), 1)</f>
        <v>5.337492938300336E-3</v>
      </c>
      <c r="H6" s="7">
        <f>$B6 * IFERROR(VLOOKUP("transport|NOx|Asthma symptoms cough", US_national_yearly!$D:$AM, 16, FALSE) / VLOOKUP("transport|NOx|Asthma symptoms cough", US_national_yearly!$D:$AM, 10, FALSE), 1)</f>
        <v>5.3921645507295449E-3</v>
      </c>
      <c r="I6" s="7">
        <f>$B6 * IFERROR(VLOOKUP("transport|NOx|Asthma symptoms cough", US_national_yearly!$D:$AM, 17, FALSE) / VLOOKUP("transport|NOx|Asthma symptoms cough", US_national_yearly!$D:$AM, 10, FALSE), 1)</f>
        <v>5.4109817381559032E-3</v>
      </c>
      <c r="J6" s="7">
        <f>$B6 * IFERROR(VLOOKUP("transport|NOx|Asthma symptoms cough", US_national_yearly!$D:$AM, 18, FALSE) / VLOOKUP("transport|NOx|Asthma symptoms cough", US_national_yearly!$D:$AM, 10, FALSE), 1)</f>
        <v>5.4297989255822632E-3</v>
      </c>
      <c r="K6" s="7">
        <f>$B6 * IFERROR(VLOOKUP("transport|NOx|Asthma symptoms cough", US_national_yearly!$D:$AM, 19, FALSE) / VLOOKUP("transport|NOx|Asthma symptoms cough", US_national_yearly!$D:$AM, 10, FALSE), 1)</f>
        <v>5.4486161130086214E-3</v>
      </c>
      <c r="L6" s="7">
        <f>$B6 * IFERROR(VLOOKUP("transport|NOx|Asthma symptoms cough", US_national_yearly!$D:$AM, 20, FALSE) / VLOOKUP("transport|NOx|Asthma symptoms cough", US_national_yearly!$D:$AM, 10, FALSE), 1)</f>
        <v>5.4674333004349797E-3</v>
      </c>
      <c r="M6" s="7">
        <f>$B6 * IFERROR(VLOOKUP("transport|NOx|Asthma symptoms cough", US_national_yearly!$D:$AM, 21, FALSE) / VLOOKUP("transport|NOx|Asthma symptoms cough", US_national_yearly!$D:$AM, 10, FALSE), 1)</f>
        <v>5.4862504878613397E-3</v>
      </c>
      <c r="N6" s="7">
        <f>$B6 * IFERROR(VLOOKUP("transport|NOx|Asthma symptoms cough", US_national_yearly!$D:$AM, 22, FALSE) / VLOOKUP("transport|NOx|Asthma symptoms cough", US_national_yearly!$D:$AM, 10, FALSE), 1)</f>
        <v>5.5080704179467721E-3</v>
      </c>
      <c r="O6" s="7">
        <f>$B6 * IFERROR(VLOOKUP("transport|NOx|Asthma symptoms cough", US_national_yearly!$D:$AM, 23, FALSE) / VLOOKUP("transport|NOx|Asthma symptoms cough", US_national_yearly!$D:$AM, 10, FALSE), 1)</f>
        <v>5.5298903480322046E-3</v>
      </c>
      <c r="P6" s="7">
        <f>$B6 * IFERROR(VLOOKUP("transport|NOx|Asthma symptoms cough", US_national_yearly!$D:$AM, 24, FALSE) / VLOOKUP("transport|NOx|Asthma symptoms cough", US_national_yearly!$D:$AM, 10, FALSE), 1)</f>
        <v>5.5517102781176371E-3</v>
      </c>
      <c r="Q6" s="7">
        <f>$B6 * IFERROR(VLOOKUP("transport|NOx|Asthma symptoms cough", US_national_yearly!$D:$AM, 25, FALSE) / VLOOKUP("transport|NOx|Asthma symptoms cough", US_national_yearly!$D:$AM, 10, FALSE), 1)</f>
        <v>5.5735302082030704E-3</v>
      </c>
      <c r="R6" s="7">
        <f>$B6 * IFERROR(VLOOKUP("transport|NOx|Asthma symptoms cough", US_national_yearly!$D:$AM, 26, FALSE) / VLOOKUP("transport|NOx|Asthma symptoms cough", US_national_yearly!$D:$AM, 10, FALSE), 1)</f>
        <v>5.5953501382885028E-3</v>
      </c>
      <c r="S6" s="7">
        <f>$B6 * IFERROR(VLOOKUP("transport|NOx|Asthma symptoms cough", US_national_yearly!$D:$AM, 27, FALSE) / VLOOKUP("transport|NOx|Asthma symptoms cough", US_national_yearly!$D:$AM, 10, FALSE), 1)</f>
        <v>5.6238539165763147E-3</v>
      </c>
      <c r="T6" s="7">
        <f>$B6 * IFERROR(VLOOKUP("transport|NOx|Asthma symptoms cough", US_national_yearly!$D:$AM, 28, FALSE) / VLOOKUP("transport|NOx|Asthma symptoms cough", US_national_yearly!$D:$AM, 10, FALSE), 1)</f>
        <v>5.6523576948641248E-3</v>
      </c>
      <c r="U6" s="7">
        <f>$B6 * IFERROR(VLOOKUP("transport|NOx|Asthma symptoms cough", US_national_yearly!$D:$AM, 29, FALSE) / VLOOKUP("transport|NOx|Asthma symptoms cough", US_national_yearly!$D:$AM, 10, FALSE), 1)</f>
        <v>5.6808614731519332E-3</v>
      </c>
      <c r="V6" s="7">
        <f>$B6 * IFERROR(VLOOKUP("transport|NOx|Asthma symptoms cough", US_national_yearly!$D:$AM, 30, FALSE) / VLOOKUP("transport|NOx|Asthma symptoms cough", US_national_yearly!$D:$AM, 10, FALSE), 1)</f>
        <v>5.709365251439745E-3</v>
      </c>
      <c r="W6" s="7">
        <f>$B6 * IFERROR(VLOOKUP("transport|NOx|Asthma symptoms cough", US_national_yearly!$D:$AM, 31, FALSE) / VLOOKUP("transport|NOx|Asthma symptoms cough", US_national_yearly!$D:$AM, 10, FALSE), 1)</f>
        <v>5.7378690297275551E-3</v>
      </c>
      <c r="X6" s="7">
        <f>$B6 * IFERROR(VLOOKUP("transport|NOx|Asthma symptoms cough", US_national_yearly!$D:$AM, 32, FALSE) / VLOOKUP("transport|NOx|Asthma symptoms cough", US_national_yearly!$D:$AM, 10, FALSE), 1)</f>
        <v>5.7643531353379247E-3</v>
      </c>
      <c r="Y6" s="7">
        <f>$B6 * IFERROR(VLOOKUP("transport|NOx|Asthma symptoms cough", US_national_yearly!$D:$AM, 33, FALSE) / VLOOKUP("transport|NOx|Asthma symptoms cough", US_national_yearly!$D:$AM, 10, FALSE), 1)</f>
        <v>5.7908372409482952E-3</v>
      </c>
      <c r="Z6" s="7">
        <f>$B6 * IFERROR(VLOOKUP("transport|NOx|Asthma symptoms cough", US_national_yearly!$D:$AM, 34, FALSE) / VLOOKUP("transport|NOx|Asthma symptoms cough", US_national_yearly!$D:$AM, 10, FALSE), 1)</f>
        <v>5.8173213465586657E-3</v>
      </c>
      <c r="AA6" s="7">
        <f>$B6 * IFERROR(VLOOKUP("transport|NOx|Asthma symptoms cough", US_national_yearly!$D:$AM, 35, FALSE) / VLOOKUP("transport|NOx|Asthma symptoms cough", US_national_yearly!$D:$AM, 10, FALSE), 1)</f>
        <v>5.8438054521690362E-3</v>
      </c>
      <c r="AB6" s="7">
        <f>$B6 * IFERROR(VLOOKUP("transport|NOx|Asthma symptoms cough", US_national_yearly!$D:$AM, 36, FALSE) / VLOOKUP("transport|NOx|Asthma symptoms cough", US_national_yearly!$D:$AM, 10, FALSE), 1)</f>
        <v>5.8702895577794076E-3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6.7449292004276946E-3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6.8371434100481234E-3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6.9293576196685506E-3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7.0215718292889794E-3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7.1137860389094082E-3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7.1874061991621437E-3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7.2610263594148801E-3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7.28636536599221E-3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7.3117043725695399E-3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7.3370433791468707E-3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7.3623823857242006E-3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7.3877213923015314E-3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7.4171038574540439E-3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7.4464863226065565E-3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7.4758687877590673E-3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7.5052512529115798E-3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7.5346337180640923E-3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7.5730165759066445E-3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7.6113994337491976E-3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7.6497822915917489E-3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7.6881651494342994E-3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7.7265480072768507E-3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7.7622111972510338E-3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7.7978743872252161E-3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7.8335375771994009E-3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7.8692007671735831E-3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7.9048639571477671E-3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1.0306120834055023E-2</v>
      </c>
      <c r="C8" s="7">
        <f>$B8 * IFERROR(VLOOKUP("transport|NOx|Asthma symptoms wheeze", US_national_yearly!$D:$AM, 11, FALSE) / VLOOKUP("transport|NOx|Asthma symptoms wheeze", US_national_yearly!$D:$AM, 10, FALSE), 1)</f>
        <v>1.0447022355891421E-2</v>
      </c>
      <c r="D8" s="7">
        <f>$B8 * IFERROR(VLOOKUP("transport|NOx|Asthma symptoms wheeze", US_national_yearly!$D:$AM, 12, FALSE) / VLOOKUP("transport|NOx|Asthma symptoms wheeze", US_national_yearly!$D:$AM, 10, FALSE), 1)</f>
        <v>1.0587923877727822E-2</v>
      </c>
      <c r="E8" s="7">
        <f>$B8 * IFERROR(VLOOKUP("transport|NOx|Asthma symptoms wheeze", US_national_yearly!$D:$AM, 13, FALSE) / VLOOKUP("transport|NOx|Asthma symptoms wheeze", US_national_yearly!$D:$AM, 10, FALSE), 1)</f>
        <v>1.0728825399564218E-2</v>
      </c>
      <c r="F8" s="7">
        <f>$B8 * IFERROR(VLOOKUP("transport|NOx|Asthma symptoms wheeze", US_national_yearly!$D:$AM, 14, FALSE) / VLOOKUP("transport|NOx|Asthma symptoms wheeze", US_national_yearly!$D:$AM, 10, FALSE), 1)</f>
        <v>1.0869726921400615E-2</v>
      </c>
      <c r="G8" s="7">
        <f>$B8 * IFERROR(VLOOKUP("transport|NOx|Asthma symptoms wheeze", US_national_yearly!$D:$AM, 15, FALSE) / VLOOKUP("transport|NOx|Asthma symptoms wheeze", US_national_yearly!$D:$AM, 10, FALSE), 1)</f>
        <v>1.098221709701333E-2</v>
      </c>
      <c r="H8" s="7">
        <f>$B8 * IFERROR(VLOOKUP("transport|NOx|Asthma symptoms wheeze", US_national_yearly!$D:$AM, 16, FALSE) / VLOOKUP("transport|NOx|Asthma symptoms wheeze", US_national_yearly!$D:$AM, 10, FALSE), 1)</f>
        <v>1.1094707272626046E-2</v>
      </c>
      <c r="I8" s="7">
        <f>$B8 * IFERROR(VLOOKUP("transport|NOx|Asthma symptoms wheeze", US_national_yearly!$D:$AM, 17, FALSE) / VLOOKUP("transport|NOx|Asthma symptoms wheeze", US_national_yearly!$D:$AM, 10, FALSE), 1)</f>
        <v>1.1133424783083361E-2</v>
      </c>
      <c r="J8" s="7">
        <f>$B8 * IFERROR(VLOOKUP("transport|NOx|Asthma symptoms wheeze", US_national_yearly!$D:$AM, 18, FALSE) / VLOOKUP("transport|NOx|Asthma symptoms wheeze", US_national_yearly!$D:$AM, 10, FALSE), 1)</f>
        <v>1.1172142293540679E-2</v>
      </c>
      <c r="K8" s="7">
        <f>$B8 * IFERROR(VLOOKUP("transport|NOx|Asthma symptoms wheeze", US_national_yearly!$D:$AM, 19, FALSE) / VLOOKUP("transport|NOx|Asthma symptoms wheeze", US_national_yearly!$D:$AM, 10, FALSE), 1)</f>
        <v>1.1210859803997993E-2</v>
      </c>
      <c r="L8" s="7">
        <f>$B8 * IFERROR(VLOOKUP("transport|NOx|Asthma symptoms wheeze", US_national_yearly!$D:$AM, 20, FALSE) / VLOOKUP("transport|NOx|Asthma symptoms wheeze", US_national_yearly!$D:$AM, 10, FALSE), 1)</f>
        <v>1.1249577314455311E-2</v>
      </c>
      <c r="M8" s="7">
        <f>$B8 * IFERROR(VLOOKUP("transport|NOx|Asthma symptoms wheeze", US_national_yearly!$D:$AM, 21, FALSE) / VLOOKUP("transport|NOx|Asthma symptoms wheeze", US_national_yearly!$D:$AM, 10, FALSE), 1)</f>
        <v>1.1288294824912629E-2</v>
      </c>
      <c r="N8" s="7">
        <f>$B8 * IFERROR(VLOOKUP("transport|NOx|Asthma symptoms wheeze", US_national_yearly!$D:$AM, 22, FALSE) / VLOOKUP("transport|NOx|Asthma symptoms wheeze", US_national_yearly!$D:$AM, 10, FALSE), 1)</f>
        <v>1.1333190661493089E-2</v>
      </c>
      <c r="O8" s="7">
        <f>$B8 * IFERROR(VLOOKUP("transport|NOx|Asthma symptoms wheeze", US_national_yearly!$D:$AM, 23, FALSE) / VLOOKUP("transport|NOx|Asthma symptoms wheeze", US_national_yearly!$D:$AM, 10, FALSE), 1)</f>
        <v>1.1378086498073552E-2</v>
      </c>
      <c r="P8" s="7">
        <f>$B8 * IFERROR(VLOOKUP("transport|NOx|Asthma symptoms wheeze", US_national_yearly!$D:$AM, 24, FALSE) / VLOOKUP("transport|NOx|Asthma symptoms wheeze", US_national_yearly!$D:$AM, 10, FALSE), 1)</f>
        <v>1.1422982334654014E-2</v>
      </c>
      <c r="Q8" s="7">
        <f>$B8 * IFERROR(VLOOKUP("transport|NOx|Asthma symptoms wheeze", US_national_yearly!$D:$AM, 25, FALSE) / VLOOKUP("transport|NOx|Asthma symptoms wheeze", US_national_yearly!$D:$AM, 10, FALSE), 1)</f>
        <v>1.1467878171234477E-2</v>
      </c>
      <c r="R8" s="7">
        <f>$B8 * IFERROR(VLOOKUP("transport|NOx|Asthma symptoms wheeze", US_national_yearly!$D:$AM, 26, FALSE) / VLOOKUP("transport|NOx|Asthma symptoms wheeze", US_national_yearly!$D:$AM, 10, FALSE), 1)</f>
        <v>1.1512774007814938E-2</v>
      </c>
      <c r="S8" s="7">
        <f>$B8 * IFERROR(VLOOKUP("transport|NOx|Asthma symptoms wheeze", US_national_yearly!$D:$AM, 27, FALSE) / VLOOKUP("transport|NOx|Asthma symptoms wheeze", US_national_yearly!$D:$AM, 10, FALSE), 1)</f>
        <v>1.1571422269572274E-2</v>
      </c>
      <c r="T8" s="7">
        <f>$B8 * IFERROR(VLOOKUP("transport|NOx|Asthma symptoms wheeze", US_national_yearly!$D:$AM, 28, FALSE) / VLOOKUP("transport|NOx|Asthma symptoms wheeze", US_national_yearly!$D:$AM, 10, FALSE), 1)</f>
        <v>1.163007053132961E-2</v>
      </c>
      <c r="U8" s="7">
        <f>$B8 * IFERROR(VLOOKUP("transport|NOx|Asthma symptoms wheeze", US_national_yearly!$D:$AM, 29, FALSE) / VLOOKUP("transport|NOx|Asthma symptoms wheeze", US_national_yearly!$D:$AM, 10, FALSE), 1)</f>
        <v>1.1688718793086944E-2</v>
      </c>
      <c r="V8" s="7">
        <f>$B8 * IFERROR(VLOOKUP("transport|NOx|Asthma symptoms wheeze", US_national_yearly!$D:$AM, 30, FALSE) / VLOOKUP("transport|NOx|Asthma symptoms wheeze", US_national_yearly!$D:$AM, 10, FALSE), 1)</f>
        <v>1.1747367054844282E-2</v>
      </c>
      <c r="W8" s="7">
        <f>$B8 * IFERROR(VLOOKUP("transport|NOx|Asthma symptoms wheeze", US_national_yearly!$D:$AM, 31, FALSE) / VLOOKUP("transport|NOx|Asthma symptoms wheeze", US_national_yearly!$D:$AM, 10, FALSE), 1)</f>
        <v>1.1806015316601614E-2</v>
      </c>
      <c r="X8" s="7">
        <f>$B8 * IFERROR(VLOOKUP("transport|NOx|Asthma symptoms wheeze", US_national_yearly!$D:$AM, 32, FALSE) / VLOOKUP("transport|NOx|Asthma symptoms wheeze", US_national_yearly!$D:$AM, 10, FALSE), 1)</f>
        <v>1.1860507978663276E-2</v>
      </c>
      <c r="Y8" s="7">
        <f>$B8 * IFERROR(VLOOKUP("transport|NOx|Asthma symptoms wheeze", US_national_yearly!$D:$AM, 33, FALSE) / VLOOKUP("transport|NOx|Asthma symptoms wheeze", US_national_yearly!$D:$AM, 10, FALSE), 1)</f>
        <v>1.1915000640724937E-2</v>
      </c>
      <c r="Z8" s="7">
        <f>$B8 * IFERROR(VLOOKUP("transport|NOx|Asthma symptoms wheeze", US_national_yearly!$D:$AM, 34, FALSE) / VLOOKUP("transport|NOx|Asthma symptoms wheeze", US_national_yearly!$D:$AM, 10, FALSE), 1)</f>
        <v>1.1969493302786599E-2</v>
      </c>
      <c r="AA8" s="7">
        <f>$B8 * IFERROR(VLOOKUP("transport|NOx|Asthma symptoms wheeze", US_national_yearly!$D:$AM, 35, FALSE) / VLOOKUP("transport|NOx|Asthma symptoms wheeze", US_national_yearly!$D:$AM, 10, FALSE), 1)</f>
        <v>1.202398596484826E-2</v>
      </c>
      <c r="AB8" s="7">
        <f>$B8 * IFERROR(VLOOKUP("transport|NOx|Asthma symptoms wheeze", US_national_yearly!$D:$AM, 36, FALSE) / VLOOKUP("transport|NOx|Asthma symptoms wheeze", US_national_yearly!$D:$AM, 10, FALSE), 1)</f>
        <v>1.2078478626909922E-2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1.2631746732558074E-4</v>
      </c>
      <c r="C12" s="7">
        <f>$B12 * IFERROR(VLOOKUP("transport|NOx|Respiratory hospital admissions", US_national_yearly!$D:$AM, 11, FALSE) / VLOOKUP("transport|NOx|Respiratory hospital admissions", US_national_yearly!$D:$AM, 10, FALSE), 1)</f>
        <v>1.2946841419409803E-4</v>
      </c>
      <c r="D12" s="7">
        <f>$B12 * IFERROR(VLOOKUP("transport|NOx|Respiratory hospital admissions", US_national_yearly!$D:$AM, 12, FALSE) / VLOOKUP("transport|NOx|Respiratory hospital admissions", US_national_yearly!$D:$AM, 10, FALSE), 1)</f>
        <v>1.3261936106261532E-4</v>
      </c>
      <c r="E12" s="7">
        <f>$B12 * IFERROR(VLOOKUP("transport|NOx|Respiratory hospital admissions", US_national_yearly!$D:$AM, 13, FALSE) / VLOOKUP("transport|NOx|Respiratory hospital admissions", US_national_yearly!$D:$AM, 10, FALSE), 1)</f>
        <v>1.3577030793113264E-4</v>
      </c>
      <c r="F12" s="7">
        <f>$B12 * IFERROR(VLOOKUP("transport|NOx|Respiratory hospital admissions", US_national_yearly!$D:$AM, 14, FALSE) / VLOOKUP("transport|NOx|Respiratory hospital admissions", US_national_yearly!$D:$AM, 10, FALSE), 1)</f>
        <v>1.3892125479964996E-4</v>
      </c>
      <c r="G12" s="7">
        <f>$B12 * IFERROR(VLOOKUP("transport|NOx|Respiratory hospital admissions", US_national_yearly!$D:$AM, 15, FALSE) / VLOOKUP("transport|NOx|Respiratory hospital admissions", US_national_yearly!$D:$AM, 10, FALSE), 1)</f>
        <v>1.4193366725141789E-4</v>
      </c>
      <c r="H12" s="7">
        <f>$B12 * IFERROR(VLOOKUP("transport|NOx|Respiratory hospital admissions", US_national_yearly!$D:$AM, 16, FALSE) / VLOOKUP("transport|NOx|Respiratory hospital admissions", US_national_yearly!$D:$AM, 10, FALSE), 1)</f>
        <v>1.4494607970318583E-4</v>
      </c>
      <c r="I12" s="7">
        <f>$B12 * IFERROR(VLOOKUP("transport|NOx|Respiratory hospital admissions", US_national_yearly!$D:$AM, 17, FALSE) / VLOOKUP("transport|NOx|Respiratory hospital admissions", US_national_yearly!$D:$AM, 10, FALSE), 1)</f>
        <v>1.4750367980366957E-4</v>
      </c>
      <c r="J12" s="7">
        <f>$B12 * IFERROR(VLOOKUP("transport|NOx|Respiratory hospital admissions", US_national_yearly!$D:$AM, 18, FALSE) / VLOOKUP("transport|NOx|Respiratory hospital admissions", US_national_yearly!$D:$AM, 10, FALSE), 1)</f>
        <v>1.5006127990415329E-4</v>
      </c>
      <c r="K12" s="7">
        <f>$B12 * IFERROR(VLOOKUP("transport|NOx|Respiratory hospital admissions", US_national_yearly!$D:$AM, 19, FALSE) / VLOOKUP("transport|NOx|Respiratory hospital admissions", US_national_yearly!$D:$AM, 10, FALSE), 1)</f>
        <v>1.5261888000463701E-4</v>
      </c>
      <c r="L12" s="7">
        <f>$B12 * IFERROR(VLOOKUP("transport|NOx|Respiratory hospital admissions", US_national_yearly!$D:$AM, 20, FALSE) / VLOOKUP("transport|NOx|Respiratory hospital admissions", US_national_yearly!$D:$AM, 10, FALSE), 1)</f>
        <v>1.5517648010512076E-4</v>
      </c>
      <c r="M12" s="7">
        <f>$B12 * IFERROR(VLOOKUP("transport|NOx|Respiratory hospital admissions", US_national_yearly!$D:$AM, 21, FALSE) / VLOOKUP("transport|NOx|Respiratory hospital admissions", US_national_yearly!$D:$AM, 10, FALSE), 1)</f>
        <v>1.5773408020560451E-4</v>
      </c>
      <c r="N12" s="7">
        <f>$B12 * IFERROR(VLOOKUP("transport|NOx|Respiratory hospital admissions", US_national_yearly!$D:$AM, 22, FALSE) / VLOOKUP("transport|NOx|Respiratory hospital admissions", US_national_yearly!$D:$AM, 10, FALSE), 1)</f>
        <v>1.5944388192124068E-4</v>
      </c>
      <c r="O12" s="7">
        <f>$B12 * IFERROR(VLOOKUP("transport|NOx|Respiratory hospital admissions", US_national_yearly!$D:$AM, 23, FALSE) / VLOOKUP("transport|NOx|Respiratory hospital admissions", US_national_yearly!$D:$AM, 10, FALSE), 1)</f>
        <v>1.6115368363687691E-4</v>
      </c>
      <c r="P12" s="7">
        <f>$B12 * IFERROR(VLOOKUP("transport|NOx|Respiratory hospital admissions", US_national_yearly!$D:$AM, 24, FALSE) / VLOOKUP("transport|NOx|Respiratory hospital admissions", US_national_yearly!$D:$AM, 10, FALSE), 1)</f>
        <v>1.6286348535251311E-4</v>
      </c>
      <c r="Q12" s="7">
        <f>$B12 * IFERROR(VLOOKUP("transport|NOx|Respiratory hospital admissions", US_national_yearly!$D:$AM, 25, FALSE) / VLOOKUP("transport|NOx|Respiratory hospital admissions", US_national_yearly!$D:$AM, 10, FALSE), 1)</f>
        <v>1.6457328706814933E-4</v>
      </c>
      <c r="R12" s="7">
        <f>$B12 * IFERROR(VLOOKUP("transport|NOx|Respiratory hospital admissions", US_national_yearly!$D:$AM, 26, FALSE) / VLOOKUP("transport|NOx|Respiratory hospital admissions", US_national_yearly!$D:$AM, 10, FALSE), 1)</f>
        <v>1.6628308878378553E-4</v>
      </c>
      <c r="S12" s="7">
        <f>$B12 * IFERROR(VLOOKUP("transport|NOx|Respiratory hospital admissions", US_national_yearly!$D:$AM, 27, FALSE) / VLOOKUP("transport|NOx|Respiratory hospital admissions", US_national_yearly!$D:$AM, 10, FALSE), 1)</f>
        <v>1.671991542127635E-4</v>
      </c>
      <c r="T12" s="7">
        <f>$B12 * IFERROR(VLOOKUP("transport|NOx|Respiratory hospital admissions", US_national_yearly!$D:$AM, 28, FALSE) / VLOOKUP("transport|NOx|Respiratory hospital admissions", US_national_yearly!$D:$AM, 10, FALSE), 1)</f>
        <v>1.6811521964174149E-4</v>
      </c>
      <c r="U12" s="7">
        <f>$B12 * IFERROR(VLOOKUP("transport|NOx|Respiratory hospital admissions", US_national_yearly!$D:$AM, 29, FALSE) / VLOOKUP("transport|NOx|Respiratory hospital admissions", US_national_yearly!$D:$AM, 10, FALSE), 1)</f>
        <v>1.6903128507071946E-4</v>
      </c>
      <c r="V12" s="7">
        <f>$B12 * IFERROR(VLOOKUP("transport|NOx|Respiratory hospital admissions", US_national_yearly!$D:$AM, 30, FALSE) / VLOOKUP("transport|NOx|Respiratory hospital admissions", US_national_yearly!$D:$AM, 10, FALSE), 1)</f>
        <v>1.699473504996974E-4</v>
      </c>
      <c r="W12" s="7">
        <f>$B12 * IFERROR(VLOOKUP("transport|NOx|Respiratory hospital admissions", US_national_yearly!$D:$AM, 31, FALSE) / VLOOKUP("transport|NOx|Respiratory hospital admissions", US_national_yearly!$D:$AM, 10, FALSE), 1)</f>
        <v>1.7086341592867539E-4</v>
      </c>
      <c r="X12" s="7">
        <f>$B12 * IFERROR(VLOOKUP("transport|NOx|Respiratory hospital admissions", US_national_yearly!$D:$AM, 32, FALSE) / VLOOKUP("transport|NOx|Respiratory hospital admissions", US_national_yearly!$D:$AM, 10, FALSE), 1)</f>
        <v>1.714894276373813E-4</v>
      </c>
      <c r="Y12" s="7">
        <f>$B12 * IFERROR(VLOOKUP("transport|NOx|Respiratory hospital admissions", US_national_yearly!$D:$AM, 33, FALSE) / VLOOKUP("transport|NOx|Respiratory hospital admissions", US_national_yearly!$D:$AM, 10, FALSE), 1)</f>
        <v>1.7211543934608724E-4</v>
      </c>
      <c r="Z12" s="7">
        <f>$B12 * IFERROR(VLOOKUP("transport|NOx|Respiratory hospital admissions", US_national_yearly!$D:$AM, 34, FALSE) / VLOOKUP("transport|NOx|Respiratory hospital admissions", US_national_yearly!$D:$AM, 10, FALSE), 1)</f>
        <v>1.7274145105479314E-4</v>
      </c>
      <c r="AA12" s="7">
        <f>$B12 * IFERROR(VLOOKUP("transport|NOx|Respiratory hospital admissions", US_national_yearly!$D:$AM, 35, FALSE) / VLOOKUP("transport|NOx|Respiratory hospital admissions", US_national_yearly!$D:$AM, 10, FALSE), 1)</f>
        <v>1.7336746276349908E-4</v>
      </c>
      <c r="AB12" s="7">
        <f>$B12 * IFERROR(VLOOKUP("transport|NOx|Respiratory hospital admissions", US_national_yearly!$D:$AM, 36, FALSE) / VLOOKUP("transport|NOx|Respiratory hospital admissions", US_national_yearly!$D:$AM, 10, FALSE), 1)</f>
        <v>1.7399347447220499E-4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8.9537607490762321E-4</v>
      </c>
      <c r="C13" s="7">
        <f>$B13 * IFERROR(VLOOKUP("transport|NOx|Non-fatal heart attacks", US_national_yearly!$D:$AM, 11, FALSE) / VLOOKUP("transport|NOx|Non-fatal heart attacks", US_national_yearly!$D:$AM, 10, FALSE), 1)</f>
        <v>9.2097408801257799E-4</v>
      </c>
      <c r="D13" s="7">
        <f>$B13 * IFERROR(VLOOKUP("transport|NOx|Non-fatal heart attacks", US_national_yearly!$D:$AM, 12, FALSE) / VLOOKUP("transport|NOx|Non-fatal heart attacks", US_national_yearly!$D:$AM, 10, FALSE), 1)</f>
        <v>9.4657210111753277E-4</v>
      </c>
      <c r="E13" s="7">
        <f>$B13 * IFERROR(VLOOKUP("transport|NOx|Non-fatal heart attacks", US_national_yearly!$D:$AM, 13, FALSE) / VLOOKUP("transport|NOx|Non-fatal heart attacks", US_national_yearly!$D:$AM, 10, FALSE), 1)</f>
        <v>9.7217011422248744E-4</v>
      </c>
      <c r="F13" s="7">
        <f>$B13 * IFERROR(VLOOKUP("transport|NOx|Non-fatal heart attacks", US_national_yearly!$D:$AM, 14, FALSE) / VLOOKUP("transport|NOx|Non-fatal heart attacks", US_national_yearly!$D:$AM, 10, FALSE), 1)</f>
        <v>9.9776812732744222E-4</v>
      </c>
      <c r="G13" s="7">
        <f>$B13 * IFERROR(VLOOKUP("transport|NOx|Non-fatal heart attacks", US_national_yearly!$D:$AM, 15, FALSE) / VLOOKUP("transport|NOx|Non-fatal heart attacks", US_national_yearly!$D:$AM, 10, FALSE), 1)</f>
        <v>1.0216894173724657E-3</v>
      </c>
      <c r="H13" s="7">
        <f>$B13 * IFERROR(VLOOKUP("transport|NOx|Non-fatal heart attacks", US_national_yearly!$D:$AM, 16, FALSE) / VLOOKUP("transport|NOx|Non-fatal heart attacks", US_national_yearly!$D:$AM, 10, FALSE), 1)</f>
        <v>1.0456107074174892E-3</v>
      </c>
      <c r="I13" s="7">
        <f>$B13 * IFERROR(VLOOKUP("transport|NOx|Non-fatal heart attacks", US_national_yearly!$D:$AM, 17, FALSE) / VLOOKUP("transport|NOx|Non-fatal heart attacks", US_national_yearly!$D:$AM, 10, FALSE), 1)</f>
        <v>1.0644699101534478E-3</v>
      </c>
      <c r="J13" s="7">
        <f>$B13 * IFERROR(VLOOKUP("transport|NOx|Non-fatal heart attacks", US_national_yearly!$D:$AM, 18, FALSE) / VLOOKUP("transport|NOx|Non-fatal heart attacks", US_national_yearly!$D:$AM, 10, FALSE), 1)</f>
        <v>1.0833291128894067E-3</v>
      </c>
      <c r="K13" s="7">
        <f>$B13 * IFERROR(VLOOKUP("transport|NOx|Non-fatal heart attacks", US_national_yearly!$D:$AM, 19, FALSE) / VLOOKUP("transport|NOx|Non-fatal heart attacks", US_national_yearly!$D:$AM, 10, FALSE), 1)</f>
        <v>1.1021883156253644E-3</v>
      </c>
      <c r="L13" s="7">
        <f>$B13 * IFERROR(VLOOKUP("transport|NOx|Non-fatal heart attacks", US_national_yearly!$D:$AM, 20, FALSE) / VLOOKUP("transport|NOx|Non-fatal heart attacks", US_national_yearly!$D:$AM, 10, FALSE), 1)</f>
        <v>1.1210475183613239E-3</v>
      </c>
      <c r="M13" s="7">
        <f>$B13 * IFERROR(VLOOKUP("transport|NOx|Non-fatal heart attacks", US_national_yearly!$D:$AM, 21, FALSE) / VLOOKUP("transport|NOx|Non-fatal heart attacks", US_national_yearly!$D:$AM, 10, FALSE), 1)</f>
        <v>1.1399067210972821E-3</v>
      </c>
      <c r="N13" s="7">
        <f>$B13 * IFERROR(VLOOKUP("transport|NOx|Non-fatal heart attacks", US_national_yearly!$D:$AM, 22, FALSE) / VLOOKUP("transport|NOx|Non-fatal heart attacks", US_national_yearly!$D:$AM, 10, FALSE), 1)</f>
        <v>1.1512529893983128E-3</v>
      </c>
      <c r="O13" s="7">
        <f>$B13 * IFERROR(VLOOKUP("transport|NOx|Non-fatal heart attacks", US_national_yearly!$D:$AM, 23, FALSE) / VLOOKUP("transport|NOx|Non-fatal heart attacks", US_national_yearly!$D:$AM, 10, FALSE), 1)</f>
        <v>1.1625992576993433E-3</v>
      </c>
      <c r="P13" s="7">
        <f>$B13 * IFERROR(VLOOKUP("transport|NOx|Non-fatal heart attacks", US_national_yearly!$D:$AM, 24, FALSE) / VLOOKUP("transport|NOx|Non-fatal heart attacks", US_national_yearly!$D:$AM, 10, FALSE), 1)</f>
        <v>1.1739455260003735E-3</v>
      </c>
      <c r="Q13" s="7">
        <f>$B13 * IFERROR(VLOOKUP("transport|NOx|Non-fatal heart attacks", US_national_yearly!$D:$AM, 25, FALSE) / VLOOKUP("transport|NOx|Non-fatal heart attacks", US_national_yearly!$D:$AM, 10, FALSE), 1)</f>
        <v>1.1852917943014044E-3</v>
      </c>
      <c r="R13" s="7">
        <f>$B13 * IFERROR(VLOOKUP("transport|NOx|Non-fatal heart attacks", US_national_yearly!$D:$AM, 26, FALSE) / VLOOKUP("transport|NOx|Non-fatal heart attacks", US_national_yearly!$D:$AM, 10, FALSE), 1)</f>
        <v>1.1966380626024348E-3</v>
      </c>
      <c r="S13" s="7">
        <f>$B13 * IFERROR(VLOOKUP("transport|NOx|Non-fatal heart attacks", US_national_yearly!$D:$AM, 27, FALSE) / VLOOKUP("transport|NOx|Non-fatal heart attacks", US_national_yearly!$D:$AM, 10, FALSE), 1)</f>
        <v>1.2017848083787949E-3</v>
      </c>
      <c r="T13" s="7">
        <f>$B13 * IFERROR(VLOOKUP("transport|NOx|Non-fatal heart attacks", US_national_yearly!$D:$AM, 28, FALSE) / VLOOKUP("transport|NOx|Non-fatal heart attacks", US_national_yearly!$D:$AM, 10, FALSE), 1)</f>
        <v>1.2069315541551548E-3</v>
      </c>
      <c r="U13" s="7">
        <f>$B13 * IFERROR(VLOOKUP("transport|NOx|Non-fatal heart attacks", US_national_yearly!$D:$AM, 29, FALSE) / VLOOKUP("transport|NOx|Non-fatal heart attacks", US_national_yearly!$D:$AM, 10, FALSE), 1)</f>
        <v>1.2120782999315146E-3</v>
      </c>
      <c r="V13" s="7">
        <f>$B13 * IFERROR(VLOOKUP("transport|NOx|Non-fatal heart attacks", US_national_yearly!$D:$AM, 30, FALSE) / VLOOKUP("transport|NOx|Non-fatal heart attacks", US_national_yearly!$D:$AM, 10, FALSE), 1)</f>
        <v>1.2172250457078747E-3</v>
      </c>
      <c r="W13" s="7">
        <f>$B13 * IFERROR(VLOOKUP("transport|NOx|Non-fatal heart attacks", US_national_yearly!$D:$AM, 31, FALSE) / VLOOKUP("transport|NOx|Non-fatal heart attacks", US_national_yearly!$D:$AM, 10, FALSE), 1)</f>
        <v>1.2223717914842346E-3</v>
      </c>
      <c r="X13" s="7">
        <f>$B13 * IFERROR(VLOOKUP("transport|NOx|Non-fatal heart attacks", US_national_yearly!$D:$AM, 32, FALSE) / VLOOKUP("transport|NOx|Non-fatal heart attacks", US_national_yearly!$D:$AM, 10, FALSE), 1)</f>
        <v>1.2258111178245512E-3</v>
      </c>
      <c r="Y13" s="7">
        <f>$B13 * IFERROR(VLOOKUP("transport|NOx|Non-fatal heart attacks", US_national_yearly!$D:$AM, 33, FALSE) / VLOOKUP("transport|NOx|Non-fatal heart attacks", US_national_yearly!$D:$AM, 10, FALSE), 1)</f>
        <v>1.2292504441648677E-3</v>
      </c>
      <c r="Z13" s="7">
        <f>$B13 * IFERROR(VLOOKUP("transport|NOx|Non-fatal heart attacks", US_national_yearly!$D:$AM, 34, FALSE) / VLOOKUP("transport|NOx|Non-fatal heart attacks", US_national_yearly!$D:$AM, 10, FALSE), 1)</f>
        <v>1.2326897705051839E-3</v>
      </c>
      <c r="AA13" s="7">
        <f>$B13 * IFERROR(VLOOKUP("transport|NOx|Non-fatal heart attacks", US_national_yearly!$D:$AM, 35, FALSE) / VLOOKUP("transport|NOx|Non-fatal heart attacks", US_national_yearly!$D:$AM, 10, FALSE), 1)</f>
        <v>1.2361290968455002E-3</v>
      </c>
      <c r="AB13" s="7">
        <f>$B13 * IFERROR(VLOOKUP("transport|NOx|Non-fatal heart attacks", US_national_yearly!$D:$AM, 36, FALSE) / VLOOKUP("transport|NOx|Non-fatal heart attacks", US_national_yearly!$D:$AM, 10, FALSE), 1)</f>
        <v>1.2395684231858168E-3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0.6588725078044565</v>
      </c>
      <c r="C14" s="7">
        <f>$B14 * IFERROR(VLOOKUP("transport|NOx|Minor restricted activity days", US_national_yearly!$D:$AM, 11, FALSE) / VLOOKUP("transport|NOx|Minor restricted activity days", US_national_yearly!$D:$AM, 10, FALSE), 1)</f>
        <v>0.65988266992999733</v>
      </c>
      <c r="D14" s="7">
        <f>$B14 * IFERROR(VLOOKUP("transport|NOx|Minor restricted activity days", US_national_yearly!$D:$AM, 12, FALSE) / VLOOKUP("transport|NOx|Minor restricted activity days", US_national_yearly!$D:$AM, 10, FALSE), 1)</f>
        <v>0.66089283205553817</v>
      </c>
      <c r="E14" s="7">
        <f>$B14 * IFERROR(VLOOKUP("transport|NOx|Minor restricted activity days", US_national_yearly!$D:$AM, 13, FALSE) / VLOOKUP("transport|NOx|Minor restricted activity days", US_national_yearly!$D:$AM, 10, FALSE), 1)</f>
        <v>0.66190299418107912</v>
      </c>
      <c r="F14" s="7">
        <f>$B14 * IFERROR(VLOOKUP("transport|NOx|Minor restricted activity days", US_national_yearly!$D:$AM, 14, FALSE) / VLOOKUP("transport|NOx|Minor restricted activity days", US_national_yearly!$D:$AM, 10, FALSE), 1)</f>
        <v>0.66291315630661996</v>
      </c>
      <c r="G14" s="7">
        <f>$B14 * IFERROR(VLOOKUP("transport|NOx|Minor restricted activity days", US_national_yearly!$D:$AM, 15, FALSE) / VLOOKUP("transport|NOx|Minor restricted activity days", US_national_yearly!$D:$AM, 10, FALSE), 1)</f>
        <v>0.66473726866610017</v>
      </c>
      <c r="H14" s="7">
        <f>$B14 * IFERROR(VLOOKUP("transport|NOx|Minor restricted activity days", US_national_yearly!$D:$AM, 16, FALSE) / VLOOKUP("transport|NOx|Minor restricted activity days", US_national_yearly!$D:$AM, 10, FALSE), 1)</f>
        <v>0.66656138102558038</v>
      </c>
      <c r="I14" s="7">
        <f>$B14 * IFERROR(VLOOKUP("transport|NOx|Minor restricted activity days", US_national_yearly!$D:$AM, 17, FALSE) / VLOOKUP("transport|NOx|Minor restricted activity days", US_national_yearly!$D:$AM, 10, FALSE), 1)</f>
        <v>0.67012927266785705</v>
      </c>
      <c r="J14" s="7">
        <f>$B14 * IFERROR(VLOOKUP("transport|NOx|Minor restricted activity days", US_national_yearly!$D:$AM, 18, FALSE) / VLOOKUP("transport|NOx|Minor restricted activity days", US_national_yearly!$D:$AM, 10, FALSE), 1)</f>
        <v>0.6736971643101336</v>
      </c>
      <c r="K14" s="7">
        <f>$B14 * IFERROR(VLOOKUP("transport|NOx|Minor restricted activity days", US_national_yearly!$D:$AM, 19, FALSE) / VLOOKUP("transport|NOx|Minor restricted activity days", US_national_yearly!$D:$AM, 10, FALSE), 1)</f>
        <v>0.67726505595241027</v>
      </c>
      <c r="L14" s="7">
        <f>$B14 * IFERROR(VLOOKUP("transport|NOx|Minor restricted activity days", US_national_yearly!$D:$AM, 20, FALSE) / VLOOKUP("transport|NOx|Minor restricted activity days", US_national_yearly!$D:$AM, 10, FALSE), 1)</f>
        <v>0.68083294759468682</v>
      </c>
      <c r="M14" s="7">
        <f>$B14 * IFERROR(VLOOKUP("transport|NOx|Minor restricted activity days", US_national_yearly!$D:$AM, 21, FALSE) / VLOOKUP("transport|NOx|Minor restricted activity days", US_national_yearly!$D:$AM, 10, FALSE), 1)</f>
        <v>0.68440083923696349</v>
      </c>
      <c r="N14" s="7">
        <f>$B14 * IFERROR(VLOOKUP("transport|NOx|Minor restricted activity days", US_national_yearly!$D:$AM, 22, FALSE) / VLOOKUP("transport|NOx|Minor restricted activity days", US_national_yearly!$D:$AM, 10, FALSE), 1)</f>
        <v>0.68950925106679639</v>
      </c>
      <c r="O14" s="7">
        <f>$B14 * IFERROR(VLOOKUP("transport|NOx|Minor restricted activity days", US_national_yearly!$D:$AM, 23, FALSE) / VLOOKUP("transport|NOx|Minor restricted activity days", US_national_yearly!$D:$AM, 10, FALSE), 1)</f>
        <v>0.69461766289662918</v>
      </c>
      <c r="P14" s="7">
        <f>$B14 * IFERROR(VLOOKUP("transport|NOx|Minor restricted activity days", US_national_yearly!$D:$AM, 24, FALSE) / VLOOKUP("transport|NOx|Minor restricted activity days", US_national_yearly!$D:$AM, 10, FALSE), 1)</f>
        <v>0.69972607472646198</v>
      </c>
      <c r="Q14" s="7">
        <f>$B14 * IFERROR(VLOOKUP("transport|NOx|Minor restricted activity days", US_national_yearly!$D:$AM, 25, FALSE) / VLOOKUP("transport|NOx|Minor restricted activity days", US_national_yearly!$D:$AM, 10, FALSE), 1)</f>
        <v>0.70483448655629488</v>
      </c>
      <c r="R14" s="7">
        <f>$B14 * IFERROR(VLOOKUP("transport|NOx|Minor restricted activity days", US_national_yearly!$D:$AM, 26, FALSE) / VLOOKUP("transport|NOx|Minor restricted activity days", US_national_yearly!$D:$AM, 10, FALSE), 1)</f>
        <v>0.70994289838612767</v>
      </c>
      <c r="S14" s="7">
        <f>$B14 * IFERROR(VLOOKUP("transport|NOx|Minor restricted activity days", US_national_yearly!$D:$AM, 27, FALSE) / VLOOKUP("transport|NOx|Minor restricted activity days", US_national_yearly!$D:$AM, 10, FALSE), 1)</f>
        <v>0.71505023618330699</v>
      </c>
      <c r="T14" s="7">
        <f>$B14 * IFERROR(VLOOKUP("transport|NOx|Minor restricted activity days", US_national_yearly!$D:$AM, 28, FALSE) / VLOOKUP("transport|NOx|Minor restricted activity days", US_national_yearly!$D:$AM, 10, FALSE), 1)</f>
        <v>0.72015757398048619</v>
      </c>
      <c r="U14" s="7">
        <f>$B14 * IFERROR(VLOOKUP("transport|NOx|Minor restricted activity days", US_national_yearly!$D:$AM, 29, FALSE) / VLOOKUP("transport|NOx|Minor restricted activity days", US_national_yearly!$D:$AM, 10, FALSE), 1)</f>
        <v>0.72526491177766561</v>
      </c>
      <c r="V14" s="7">
        <f>$B14 * IFERROR(VLOOKUP("transport|NOx|Minor restricted activity days", US_national_yearly!$D:$AM, 30, FALSE) / VLOOKUP("transport|NOx|Minor restricted activity days", US_national_yearly!$D:$AM, 10, FALSE), 1)</f>
        <v>0.73037224957484492</v>
      </c>
      <c r="W14" s="7">
        <f>$B14 * IFERROR(VLOOKUP("transport|NOx|Minor restricted activity days", US_national_yearly!$D:$AM, 31, FALSE) / VLOOKUP("transport|NOx|Minor restricted activity days", US_national_yearly!$D:$AM, 10, FALSE), 1)</f>
        <v>0.73547958737202423</v>
      </c>
      <c r="X14" s="7">
        <f>$B14 * IFERROR(VLOOKUP("transport|NOx|Minor restricted activity days", US_national_yearly!$D:$AM, 32, FALSE) / VLOOKUP("transport|NOx|Minor restricted activity days", US_national_yearly!$D:$AM, 10, FALSE), 1)</f>
        <v>0.73979764691126748</v>
      </c>
      <c r="Y14" s="7">
        <f>$B14 * IFERROR(VLOOKUP("transport|NOx|Minor restricted activity days", US_national_yearly!$D:$AM, 33, FALSE) / VLOOKUP("transport|NOx|Minor restricted activity days", US_national_yearly!$D:$AM, 10, FALSE), 1)</f>
        <v>0.74411570645051084</v>
      </c>
      <c r="Z14" s="7">
        <f>$B14 * IFERROR(VLOOKUP("transport|NOx|Minor restricted activity days", US_national_yearly!$D:$AM, 34, FALSE) / VLOOKUP("transport|NOx|Minor restricted activity days", US_national_yearly!$D:$AM, 10, FALSE), 1)</f>
        <v>0.74843376598975409</v>
      </c>
      <c r="AA14" s="7">
        <f>$B14 * IFERROR(VLOOKUP("transport|NOx|Minor restricted activity days", US_national_yearly!$D:$AM, 35, FALSE) / VLOOKUP("transport|NOx|Minor restricted activity days", US_national_yearly!$D:$AM, 10, FALSE), 1)</f>
        <v>0.75275182552899744</v>
      </c>
      <c r="AB14" s="7">
        <f>$B14 * IFERROR(VLOOKUP("transport|NOx|Minor restricted activity days", US_national_yearly!$D:$AM, 36, FALSE) / VLOOKUP("transport|NOx|Minor restricted activity days", US_national_yearly!$D:$AM, 10, FALSE), 1)</f>
        <v>0.7570698850682408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0.11140269486435093</v>
      </c>
      <c r="C15" s="7">
        <f>$B15 * IFERROR(VLOOKUP("transport|NOx|Work loss days", US_national_yearly!$D:$AM, 11, FALSE) / VLOOKUP("transport|NOx|Work loss days", US_national_yearly!$D:$AM, 10, FALSE), 1)</f>
        <v>0.11165050416599027</v>
      </c>
      <c r="D15" s="7">
        <f>$B15 * IFERROR(VLOOKUP("transport|NOx|Work loss days", US_national_yearly!$D:$AM, 12, FALSE) / VLOOKUP("transport|NOx|Work loss days", US_national_yearly!$D:$AM, 10, FALSE), 1)</f>
        <v>0.11189831346762963</v>
      </c>
      <c r="E15" s="7">
        <f>$B15 * IFERROR(VLOOKUP("transport|NOx|Work loss days", US_national_yearly!$D:$AM, 13, FALSE) / VLOOKUP("transport|NOx|Work loss days", US_national_yearly!$D:$AM, 10, FALSE), 1)</f>
        <v>0.11214612276926897</v>
      </c>
      <c r="F15" s="7">
        <f>$B15 * IFERROR(VLOOKUP("transport|NOx|Work loss days", US_national_yearly!$D:$AM, 14, FALSE) / VLOOKUP("transport|NOx|Work loss days", US_national_yearly!$D:$AM, 10, FALSE), 1)</f>
        <v>0.11239393207090834</v>
      </c>
      <c r="G15" s="7">
        <f>$B15 * IFERROR(VLOOKUP("transport|NOx|Work loss days", US_national_yearly!$D:$AM, 15, FALSE) / VLOOKUP("transport|NOx|Work loss days", US_national_yearly!$D:$AM, 10, FALSE), 1)</f>
        <v>0.11275573576522514</v>
      </c>
      <c r="H15" s="7">
        <f>$B15 * IFERROR(VLOOKUP("transport|NOx|Work loss days", US_national_yearly!$D:$AM, 16, FALSE) / VLOOKUP("transport|NOx|Work loss days", US_national_yearly!$D:$AM, 10, FALSE), 1)</f>
        <v>0.11311753945954199</v>
      </c>
      <c r="I15" s="7">
        <f>$B15 * IFERROR(VLOOKUP("transport|NOx|Work loss days", US_national_yearly!$D:$AM, 17, FALSE) / VLOOKUP("transport|NOx|Work loss days", US_national_yearly!$D:$AM, 10, FALSE), 1)</f>
        <v>0.11370364183594381</v>
      </c>
      <c r="J15" s="7">
        <f>$B15 * IFERROR(VLOOKUP("transport|NOx|Work loss days", US_national_yearly!$D:$AM, 18, FALSE) / VLOOKUP("transport|NOx|Work loss days", US_national_yearly!$D:$AM, 10, FALSE), 1)</f>
        <v>0.11428974421234567</v>
      </c>
      <c r="K15" s="7">
        <f>$B15 * IFERROR(VLOOKUP("transport|NOx|Work loss days", US_national_yearly!$D:$AM, 19, FALSE) / VLOOKUP("transport|NOx|Work loss days", US_national_yearly!$D:$AM, 10, FALSE), 1)</f>
        <v>0.11487584658874748</v>
      </c>
      <c r="L15" s="7">
        <f>$B15 * IFERROR(VLOOKUP("transport|NOx|Work loss days", US_national_yearly!$D:$AM, 20, FALSE) / VLOOKUP("transport|NOx|Work loss days", US_national_yearly!$D:$AM, 10, FALSE), 1)</f>
        <v>0.11546194896514932</v>
      </c>
      <c r="M15" s="7">
        <f>$B15 * IFERROR(VLOOKUP("transport|NOx|Work loss days", US_national_yearly!$D:$AM, 21, FALSE) / VLOOKUP("transport|NOx|Work loss days", US_national_yearly!$D:$AM, 10, FALSE), 1)</f>
        <v>0.11604805134155116</v>
      </c>
      <c r="N15" s="7">
        <f>$B15 * IFERROR(VLOOKUP("transport|NOx|Work loss days", US_national_yearly!$D:$AM, 22, FALSE) / VLOOKUP("transport|NOx|Work loss days", US_national_yearly!$D:$AM, 10, FALSE), 1)</f>
        <v>0.11681082761959434</v>
      </c>
      <c r="O15" s="7">
        <f>$B15 * IFERROR(VLOOKUP("transport|NOx|Work loss days", US_national_yearly!$D:$AM, 23, FALSE) / VLOOKUP("transport|NOx|Work loss days", US_national_yearly!$D:$AM, 10, FALSE), 1)</f>
        <v>0.11757360389763753</v>
      </c>
      <c r="P15" s="7">
        <f>$B15 * IFERROR(VLOOKUP("transport|NOx|Work loss days", US_national_yearly!$D:$AM, 24, FALSE) / VLOOKUP("transport|NOx|Work loss days", US_national_yearly!$D:$AM, 10, FALSE), 1)</f>
        <v>0.11833638017568071</v>
      </c>
      <c r="Q15" s="7">
        <f>$B15 * IFERROR(VLOOKUP("transport|NOx|Work loss days", US_national_yearly!$D:$AM, 25, FALSE) / VLOOKUP("transport|NOx|Work loss days", US_national_yearly!$D:$AM, 10, FALSE), 1)</f>
        <v>0.11909915645372386</v>
      </c>
      <c r="R15" s="7">
        <f>$B15 * IFERROR(VLOOKUP("transport|NOx|Work loss days", US_national_yearly!$D:$AM, 26, FALSE) / VLOOKUP("transport|NOx|Work loss days", US_national_yearly!$D:$AM, 10, FALSE), 1)</f>
        <v>0.11986193273176707</v>
      </c>
      <c r="S15" s="7">
        <f>$B15 * IFERROR(VLOOKUP("transport|NOx|Work loss days", US_national_yearly!$D:$AM, 27, FALSE) / VLOOKUP("transport|NOx|Work loss days", US_national_yearly!$D:$AM, 10, FALSE), 1)</f>
        <v>0.12071233075168118</v>
      </c>
      <c r="T15" s="7">
        <f>$B15 * IFERROR(VLOOKUP("transport|NOx|Work loss days", US_national_yearly!$D:$AM, 28, FALSE) / VLOOKUP("transport|NOx|Work loss days", US_national_yearly!$D:$AM, 10, FALSE), 1)</f>
        <v>0.1215627287715953</v>
      </c>
      <c r="U15" s="7">
        <f>$B15 * IFERROR(VLOOKUP("transport|NOx|Work loss days", US_national_yearly!$D:$AM, 29, FALSE) / VLOOKUP("transport|NOx|Work loss days", US_national_yearly!$D:$AM, 10, FALSE), 1)</f>
        <v>0.12241312679150938</v>
      </c>
      <c r="V15" s="7">
        <f>$B15 * IFERROR(VLOOKUP("transport|NOx|Work loss days", US_national_yearly!$D:$AM, 30, FALSE) / VLOOKUP("transport|NOx|Work loss days", US_national_yearly!$D:$AM, 10, FALSE), 1)</f>
        <v>0.1232635248114235</v>
      </c>
      <c r="W15" s="7">
        <f>$B15 * IFERROR(VLOOKUP("transport|NOx|Work loss days", US_national_yearly!$D:$AM, 31, FALSE) / VLOOKUP("transport|NOx|Work loss days", US_national_yearly!$D:$AM, 10, FALSE), 1)</f>
        <v>0.1241139228313376</v>
      </c>
      <c r="X15" s="7">
        <f>$B15 * IFERROR(VLOOKUP("transport|NOx|Work loss days", US_national_yearly!$D:$AM, 32, FALSE) / VLOOKUP("transport|NOx|Work loss days", US_national_yearly!$D:$AM, 10, FALSE), 1)</f>
        <v>0.12485202297217243</v>
      </c>
      <c r="Y15" s="7">
        <f>$B15 * IFERROR(VLOOKUP("transport|NOx|Work loss days", US_national_yearly!$D:$AM, 33, FALSE) / VLOOKUP("transport|NOx|Work loss days", US_national_yearly!$D:$AM, 10, FALSE), 1)</f>
        <v>0.12559012311300727</v>
      </c>
      <c r="Z15" s="7">
        <f>$B15 * IFERROR(VLOOKUP("transport|NOx|Work loss days", US_national_yearly!$D:$AM, 34, FALSE) / VLOOKUP("transport|NOx|Work loss days", US_national_yearly!$D:$AM, 10, FALSE), 1)</f>
        <v>0.1263282232538421</v>
      </c>
      <c r="AA15" s="7">
        <f>$B15 * IFERROR(VLOOKUP("transport|NOx|Work loss days", US_national_yearly!$D:$AM, 35, FALSE) / VLOOKUP("transport|NOx|Work loss days", US_national_yearly!$D:$AM, 10, FALSE), 1)</f>
        <v>0.12706632339467694</v>
      </c>
      <c r="AB15" s="7">
        <f>$B15 * IFERROR(VLOOKUP("transport|NOx|Work loss days", US_national_yearly!$D:$AM, 36, FALSE) / VLOOKUP("transport|NOx|Work loss days", US_national_yearly!$D:$AM, 10, FALSE), 1)</f>
        <v>0.12780442353551175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2.1963474553612431E-4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2.2608863164585259E-4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2.3254251775558081E-4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2.3899640386530903E-4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2.4545028997503728E-4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2.5158041447045492E-4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2.5771053896587261E-4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2.6286550075410668E-4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2.6802046254234074E-4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2.7317542433057487E-4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2.7833038611880894E-4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2.8348534790704306E-4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2.867089163217806E-4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2.8993248473651819E-4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2.9315605315125573E-4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2.9637962156599333E-4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2.9960318998073092E-4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3.0107401572763742E-4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3.0254484147454393E-4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3.0401566722145038E-4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3.0548649296835694E-4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3.0695731871526345E-4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3.0777588423637909E-4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3.0859444975749468E-4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3.0941301527861033E-4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3.1023158079972592E-4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3.1105014632084156E-4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8.0312211752318376E-3</v>
      </c>
      <c r="C2" s="7">
        <f>$B2 * IFERROR(VLOOKUP("transport|SO2|Premature mortality", US_national_yearly!$D:$AM, 11, FALSE) / VLOOKUP("transport|SO2|Premature mortality", US_national_yearly!$D:$AM, 10, FALSE), 1)</f>
        <v>8.1329322460080341E-3</v>
      </c>
      <c r="D2" s="7">
        <f>$B2 * IFERROR(VLOOKUP("transport|SO2|Premature mortality", US_national_yearly!$D:$AM, 12, FALSE) / VLOOKUP("transport|SO2|Premature mortality", US_national_yearly!$D:$AM, 10, FALSE), 1)</f>
        <v>8.2346433167842324E-3</v>
      </c>
      <c r="E2" s="7">
        <f>$B2 * IFERROR(VLOOKUP("transport|SO2|Premature mortality", US_national_yearly!$D:$AM, 13, FALSE) / VLOOKUP("transport|SO2|Premature mortality", US_national_yearly!$D:$AM, 10, FALSE), 1)</f>
        <v>8.3363543875604289E-3</v>
      </c>
      <c r="F2" s="7">
        <f>$B2 * IFERROR(VLOOKUP("transport|SO2|Premature mortality", US_national_yearly!$D:$AM, 14, FALSE) / VLOOKUP("transport|SO2|Premature mortality", US_national_yearly!$D:$AM, 10, FALSE), 1)</f>
        <v>8.4380654583366254E-3</v>
      </c>
      <c r="G2" s="7">
        <f>$B2 * IFERROR(VLOOKUP("transport|SO2|Premature mortality", US_national_yearly!$D:$AM, 15, FALSE) / VLOOKUP("transport|SO2|Premature mortality", US_national_yearly!$D:$AM, 10, FALSE), 1)</f>
        <v>8.6340569273642108E-3</v>
      </c>
      <c r="H2" s="7">
        <f>$B2 * IFERROR(VLOOKUP("transport|SO2|Premature mortality", US_national_yearly!$D:$AM, 16, FALSE) / VLOOKUP("transport|SO2|Premature mortality", US_national_yearly!$D:$AM, 10, FALSE), 1)</f>
        <v>8.8300483963917945E-3</v>
      </c>
      <c r="I2" s="7">
        <f>$B2 * IFERROR(VLOOKUP("transport|SO2|Premature mortality", US_national_yearly!$D:$AM, 17, FALSE) / VLOOKUP("transport|SO2|Premature mortality", US_national_yearly!$D:$AM, 10, FALSE), 1)</f>
        <v>8.9595715683103028E-3</v>
      </c>
      <c r="J2" s="7">
        <f>$B2 * IFERROR(VLOOKUP("transport|SO2|Premature mortality", US_national_yearly!$D:$AM, 18, FALSE) / VLOOKUP("transport|SO2|Premature mortality", US_national_yearly!$D:$AM, 10, FALSE), 1)</f>
        <v>9.089094740228813E-3</v>
      </c>
      <c r="K2" s="7">
        <f>$B2 * IFERROR(VLOOKUP("transport|SO2|Premature mortality", US_national_yearly!$D:$AM, 19, FALSE) / VLOOKUP("transport|SO2|Premature mortality", US_national_yearly!$D:$AM, 10, FALSE), 1)</f>
        <v>9.2186179121473196E-3</v>
      </c>
      <c r="L2" s="7">
        <f>$B2 * IFERROR(VLOOKUP("transport|SO2|Premature mortality", US_national_yearly!$D:$AM, 20, FALSE) / VLOOKUP("transport|SO2|Premature mortality", US_national_yearly!$D:$AM, 10, FALSE), 1)</f>
        <v>9.348141084065828E-3</v>
      </c>
      <c r="M2" s="7">
        <f>$B2 * IFERROR(VLOOKUP("transport|SO2|Premature mortality", US_national_yearly!$D:$AM, 21, FALSE) / VLOOKUP("transport|SO2|Premature mortality", US_national_yearly!$D:$AM, 10, FALSE), 1)</f>
        <v>9.4776642559843364E-3</v>
      </c>
      <c r="N2" s="7">
        <f>$B2 * IFERROR(VLOOKUP("transport|SO2|Premature mortality", US_national_yearly!$D:$AM, 22, FALSE) / VLOOKUP("transport|SO2|Premature mortality", US_national_yearly!$D:$AM, 10, FALSE), 1)</f>
        <v>9.5788666368314401E-3</v>
      </c>
      <c r="O2" s="7">
        <f>$B2 * IFERROR(VLOOKUP("transport|SO2|Premature mortality", US_national_yearly!$D:$AM, 23, FALSE) / VLOOKUP("transport|SO2|Premature mortality", US_national_yearly!$D:$AM, 10, FALSE), 1)</f>
        <v>9.6800690176785439E-3</v>
      </c>
      <c r="P2" s="7">
        <f>$B2 * IFERROR(VLOOKUP("transport|SO2|Premature mortality", US_national_yearly!$D:$AM, 24, FALSE) / VLOOKUP("transport|SO2|Premature mortality", US_national_yearly!$D:$AM, 10, FALSE), 1)</f>
        <v>9.7812713985256476E-3</v>
      </c>
      <c r="Q2" s="7">
        <f>$B2 * IFERROR(VLOOKUP("transport|SO2|Premature mortality", US_national_yearly!$D:$AM, 25, FALSE) / VLOOKUP("transport|SO2|Premature mortality", US_national_yearly!$D:$AM, 10, FALSE), 1)</f>
        <v>9.8824737793727514E-3</v>
      </c>
      <c r="R2" s="7">
        <f>$B2 * IFERROR(VLOOKUP("transport|SO2|Premature mortality", US_national_yearly!$D:$AM, 26, FALSE) / VLOOKUP("transport|SO2|Premature mortality", US_national_yearly!$D:$AM, 10, FALSE), 1)</f>
        <v>9.9836761602198534E-3</v>
      </c>
      <c r="S2" s="7">
        <f>$B2 * IFERROR(VLOOKUP("transport|SO2|Premature mortality", US_national_yearly!$D:$AM, 27, FALSE) / VLOOKUP("transport|SO2|Premature mortality", US_national_yearly!$D:$AM, 10, FALSE), 1)</f>
        <v>1.0037871382693344E-2</v>
      </c>
      <c r="T2" s="7">
        <f>$B2 * IFERROR(VLOOKUP("transport|SO2|Premature mortality", US_national_yearly!$D:$AM, 28, FALSE) / VLOOKUP("transport|SO2|Premature mortality", US_national_yearly!$D:$AM, 10, FALSE), 1)</f>
        <v>1.0092066605166832E-2</v>
      </c>
      <c r="U2" s="7">
        <f>$B2 * IFERROR(VLOOKUP("transport|SO2|Premature mortality", US_national_yearly!$D:$AM, 29, FALSE) / VLOOKUP("transport|SO2|Premature mortality", US_national_yearly!$D:$AM, 10, FALSE), 1)</f>
        <v>1.0146261827640319E-2</v>
      </c>
      <c r="V2" s="7">
        <f>$B2 * IFERROR(VLOOKUP("transport|SO2|Premature mortality", US_national_yearly!$D:$AM, 30, FALSE) / VLOOKUP("transport|SO2|Premature mortality", US_national_yearly!$D:$AM, 10, FALSE), 1)</f>
        <v>1.0200457050113809E-2</v>
      </c>
      <c r="W2" s="7">
        <f>$B2 * IFERROR(VLOOKUP("transport|SO2|Premature mortality", US_national_yearly!$D:$AM, 31, FALSE) / VLOOKUP("transport|SO2|Premature mortality", US_national_yearly!$D:$AM, 10, FALSE), 1)</f>
        <v>1.0254652272587298E-2</v>
      </c>
      <c r="X2" s="7">
        <f>$B2 * IFERROR(VLOOKUP("transport|SO2|Premature mortality", US_national_yearly!$D:$AM, 32, FALSE) / VLOOKUP("transport|SO2|Premature mortality", US_national_yearly!$D:$AM, 10, FALSE), 1)</f>
        <v>1.0265662197803506E-2</v>
      </c>
      <c r="Y2" s="7">
        <f>$B2 * IFERROR(VLOOKUP("transport|SO2|Premature mortality", US_national_yearly!$D:$AM, 33, FALSE) / VLOOKUP("transport|SO2|Premature mortality", US_national_yearly!$D:$AM, 10, FALSE), 1)</f>
        <v>1.0276672123019715E-2</v>
      </c>
      <c r="Z2" s="7">
        <f>$B2 * IFERROR(VLOOKUP("transport|SO2|Premature mortality", US_national_yearly!$D:$AM, 34, FALSE) / VLOOKUP("transport|SO2|Premature mortality", US_national_yearly!$D:$AM, 10, FALSE), 1)</f>
        <v>1.0287682048235925E-2</v>
      </c>
      <c r="AA2" s="7">
        <f>$B2 * IFERROR(VLOOKUP("transport|SO2|Premature mortality", US_national_yearly!$D:$AM, 35, FALSE) / VLOOKUP("transport|SO2|Premature mortality", US_national_yearly!$D:$AM, 10, FALSE), 1)</f>
        <v>1.0298691973452134E-2</v>
      </c>
      <c r="AB2" s="7">
        <f>$B2 * IFERROR(VLOOKUP("transport|SO2|Premature mortality", US_national_yearly!$D:$AM, 36, FALSE) / VLOOKUP("transport|SO2|Premature mortality", US_national_yearly!$D:$AM, 10, FALSE), 1)</f>
        <v>1.0309701898668342E-2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1.7457752987604871E-5</v>
      </c>
      <c r="C3" s="7">
        <f>$B3 * IFERROR(VLOOKUP("transport|SO2|Infant mortality", US_national_yearly!$D:$AM, 11, FALSE) / VLOOKUP("transport|SO2|Infant mortality", US_national_yearly!$D:$AM, 10, FALSE), 1)</f>
        <v>1.7307787705049942E-5</v>
      </c>
      <c r="D3" s="7">
        <f>$B3 * IFERROR(VLOOKUP("transport|SO2|Infant mortality", US_national_yearly!$D:$AM, 12, FALSE) / VLOOKUP("transport|SO2|Infant mortality", US_national_yearly!$D:$AM, 10, FALSE), 1)</f>
        <v>1.7157822422495017E-5</v>
      </c>
      <c r="E3" s="7">
        <f>$B3 * IFERROR(VLOOKUP("transport|SO2|Infant mortality", US_national_yearly!$D:$AM, 13, FALSE) / VLOOKUP("transport|SO2|Infant mortality", US_national_yearly!$D:$AM, 10, FALSE), 1)</f>
        <v>1.7007857139940088E-5</v>
      </c>
      <c r="F3" s="7">
        <f>$B3 * IFERROR(VLOOKUP("transport|SO2|Infant mortality", US_national_yearly!$D:$AM, 14, FALSE) / VLOOKUP("transport|SO2|Infant mortality", US_national_yearly!$D:$AM, 10, FALSE), 1)</f>
        <v>1.6857891857385162E-5</v>
      </c>
      <c r="G3" s="7">
        <f>$B3 * IFERROR(VLOOKUP("transport|SO2|Infant mortality", US_national_yearly!$D:$AM, 15, FALSE) / VLOOKUP("transport|SO2|Infant mortality", US_national_yearly!$D:$AM, 10, FALSE), 1)</f>
        <v>1.122871373827583E-5</v>
      </c>
      <c r="H3" s="7">
        <f>$B3 * IFERROR(VLOOKUP("transport|SO2|Infant mortality", US_national_yearly!$D:$AM, 16, FALSE) / VLOOKUP("transport|SO2|Infant mortality", US_national_yearly!$D:$AM, 10, FALSE), 1)</f>
        <v>5.5995356191665047E-6</v>
      </c>
      <c r="I3" s="7">
        <f>$B3 * IFERROR(VLOOKUP("transport|SO2|Infant mortality", US_national_yearly!$D:$AM, 17, FALSE) / VLOOKUP("transport|SO2|Infant mortality", US_national_yearly!$D:$AM, 10, FALSE), 1)</f>
        <v>5.5644080413128934E-6</v>
      </c>
      <c r="J3" s="7">
        <f>$B3 * IFERROR(VLOOKUP("transport|SO2|Infant mortality", US_national_yearly!$D:$AM, 18, FALSE) / VLOOKUP("transport|SO2|Infant mortality", US_national_yearly!$D:$AM, 10, FALSE), 1)</f>
        <v>5.529280463459283E-6</v>
      </c>
      <c r="K3" s="7">
        <f>$B3 * IFERROR(VLOOKUP("transport|SO2|Infant mortality", US_national_yearly!$D:$AM, 19, FALSE) / VLOOKUP("transport|SO2|Infant mortality", US_national_yearly!$D:$AM, 10, FALSE), 1)</f>
        <v>5.4941528856056717E-6</v>
      </c>
      <c r="L3" s="7">
        <f>$B3 * IFERROR(VLOOKUP("transport|SO2|Infant mortality", US_national_yearly!$D:$AM, 20, FALSE) / VLOOKUP("transport|SO2|Infant mortality", US_national_yearly!$D:$AM, 10, FALSE), 1)</f>
        <v>5.4590253077520621E-6</v>
      </c>
      <c r="M3" s="7">
        <f>$B3 * IFERROR(VLOOKUP("transport|SO2|Infant mortality", US_national_yearly!$D:$AM, 21, FALSE) / VLOOKUP("transport|SO2|Infant mortality", US_national_yearly!$D:$AM, 10, FALSE), 1)</f>
        <v>5.4238977298984508E-6</v>
      </c>
      <c r="N3" s="7">
        <f>$B3 * IFERROR(VLOOKUP("transport|SO2|Infant mortality", US_national_yearly!$D:$AM, 22, FALSE) / VLOOKUP("transport|SO2|Infant mortality", US_national_yearly!$D:$AM, 10, FALSE), 1)</f>
        <v>5.4018484122680499E-6</v>
      </c>
      <c r="O3" s="7">
        <f>$B3 * IFERROR(VLOOKUP("transport|SO2|Infant mortality", US_national_yearly!$D:$AM, 23, FALSE) / VLOOKUP("transport|SO2|Infant mortality", US_national_yearly!$D:$AM, 10, FALSE), 1)</f>
        <v>5.379799094637649E-6</v>
      </c>
      <c r="P3" s="7">
        <f>$B3 * IFERROR(VLOOKUP("transport|SO2|Infant mortality", US_national_yearly!$D:$AM, 24, FALSE) / VLOOKUP("transport|SO2|Infant mortality", US_national_yearly!$D:$AM, 10, FALSE), 1)</f>
        <v>5.3577497770072464E-6</v>
      </c>
      <c r="Q3" s="7">
        <f>$B3 * IFERROR(VLOOKUP("transport|SO2|Infant mortality", US_national_yearly!$D:$AM, 25, FALSE) / VLOOKUP("transport|SO2|Infant mortality", US_national_yearly!$D:$AM, 10, FALSE), 1)</f>
        <v>5.3357004593768455E-6</v>
      </c>
      <c r="R3" s="7">
        <f>$B3 * IFERROR(VLOOKUP("transport|SO2|Infant mortality", US_national_yearly!$D:$AM, 26, FALSE) / VLOOKUP("transport|SO2|Infant mortality", US_national_yearly!$D:$AM, 10, FALSE), 1)</f>
        <v>5.3136511417464429E-6</v>
      </c>
      <c r="S3" s="7">
        <f>$B3 * IFERROR(VLOOKUP("transport|SO2|Infant mortality", US_national_yearly!$D:$AM, 27, FALSE) / VLOOKUP("transport|SO2|Infant mortality", US_national_yearly!$D:$AM, 10, FALSE), 1)</f>
        <v>5.2859668801882904E-6</v>
      </c>
      <c r="T3" s="7">
        <f>$B3 * IFERROR(VLOOKUP("transport|SO2|Infant mortality", US_national_yearly!$D:$AM, 28, FALSE) / VLOOKUP("transport|SO2|Infant mortality", US_national_yearly!$D:$AM, 10, FALSE), 1)</f>
        <v>5.258282618630137E-6</v>
      </c>
      <c r="U3" s="7">
        <f>$B3 * IFERROR(VLOOKUP("transport|SO2|Infant mortality", US_national_yearly!$D:$AM, 29, FALSE) / VLOOKUP("transport|SO2|Infant mortality", US_national_yearly!$D:$AM, 10, FALSE), 1)</f>
        <v>5.2305983570719828E-6</v>
      </c>
      <c r="V3" s="7">
        <f>$B3 * IFERROR(VLOOKUP("transport|SO2|Infant mortality", US_national_yearly!$D:$AM, 30, FALSE) / VLOOKUP("transport|SO2|Infant mortality", US_national_yearly!$D:$AM, 10, FALSE), 1)</f>
        <v>5.2029140955138303E-6</v>
      </c>
      <c r="W3" s="7">
        <f>$B3 * IFERROR(VLOOKUP("transport|SO2|Infant mortality", US_national_yearly!$D:$AM, 31, FALSE) / VLOOKUP("transport|SO2|Infant mortality", US_national_yearly!$D:$AM, 10, FALSE), 1)</f>
        <v>5.1752298339556769E-6</v>
      </c>
      <c r="X3" s="7">
        <f>$B3 * IFERROR(VLOOKUP("transport|SO2|Infant mortality", US_national_yearly!$D:$AM, 32, FALSE) / VLOOKUP("transport|SO2|Infant mortality", US_national_yearly!$D:$AM, 10, FALSE), 1)</f>
        <v>5.1449623907142445E-6</v>
      </c>
      <c r="Y3" s="7">
        <f>$B3 * IFERROR(VLOOKUP("transport|SO2|Infant mortality", US_national_yearly!$D:$AM, 33, FALSE) / VLOOKUP("transport|SO2|Infant mortality", US_national_yearly!$D:$AM, 10, FALSE), 1)</f>
        <v>5.1146949474728103E-6</v>
      </c>
      <c r="Z3" s="7">
        <f>$B3 * IFERROR(VLOOKUP("transport|SO2|Infant mortality", US_national_yearly!$D:$AM, 34, FALSE) / VLOOKUP("transport|SO2|Infant mortality", US_national_yearly!$D:$AM, 10, FALSE), 1)</f>
        <v>5.0844275042313779E-6</v>
      </c>
      <c r="AA3" s="7">
        <f>$B3 * IFERROR(VLOOKUP("transport|SO2|Infant mortality", US_national_yearly!$D:$AM, 35, FALSE) / VLOOKUP("transport|SO2|Infant mortality", US_national_yearly!$D:$AM, 10, FALSE), 1)</f>
        <v>5.0541600609899437E-6</v>
      </c>
      <c r="AB3" s="7">
        <f>$B3 * IFERROR(VLOOKUP("transport|SO2|Infant mortality", US_national_yearly!$D:$AM, 36, FALSE) / VLOOKUP("transport|SO2|Infant mortality", US_national_yearly!$D:$AM, 10, FALSE), 1)</f>
        <v>5.0238926177485112E-6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2.3072094460831808E-2</v>
      </c>
      <c r="C6" s="7">
        <f>$B6 * IFERROR(VLOOKUP("transport|SO2|Asthma symptoms cough", US_national_yearly!$D:$AM, 11, FALSE) / VLOOKUP("transport|SO2|Asthma symptoms cough", US_national_yearly!$D:$AM, 10, FALSE), 1)</f>
        <v>2.3072094460831808E-2</v>
      </c>
      <c r="D6" s="7">
        <f>$B6 * IFERROR(VLOOKUP("transport|SO2|Asthma symptoms cough", US_national_yearly!$D:$AM, 12, FALSE) / VLOOKUP("transport|SO2|Asthma symptoms cough", US_national_yearly!$D:$AM, 10, FALSE), 1)</f>
        <v>2.3072094460831808E-2</v>
      </c>
      <c r="E6" s="7">
        <f>$B6 * IFERROR(VLOOKUP("transport|SO2|Asthma symptoms cough", US_national_yearly!$D:$AM, 13, FALSE) / VLOOKUP("transport|SO2|Asthma symptoms cough", US_national_yearly!$D:$AM, 10, FALSE), 1)</f>
        <v>2.3072094460831808E-2</v>
      </c>
      <c r="F6" s="7">
        <f>$B6 * IFERROR(VLOOKUP("transport|SO2|Asthma symptoms cough", US_national_yearly!$D:$AM, 14, FALSE) / VLOOKUP("transport|SO2|Asthma symptoms cough", US_national_yearly!$D:$AM, 10, FALSE), 1)</f>
        <v>2.3072094460831808E-2</v>
      </c>
      <c r="G6" s="7">
        <f>$B6 * IFERROR(VLOOKUP("transport|SO2|Asthma symptoms cough", US_national_yearly!$D:$AM, 15, FALSE) / VLOOKUP("transport|SO2|Asthma symptoms cough", US_national_yearly!$D:$AM, 10, FALSE), 1)</f>
        <v>2.3072094460831808E-2</v>
      </c>
      <c r="H6" s="7">
        <f>$B6 * IFERROR(VLOOKUP("transport|SO2|Asthma symptoms cough", US_national_yearly!$D:$AM, 16, FALSE) / VLOOKUP("transport|SO2|Asthma symptoms cough", US_national_yearly!$D:$AM, 10, FALSE), 1)</f>
        <v>2.3072094460831808E-2</v>
      </c>
      <c r="I6" s="7">
        <f>$B6 * IFERROR(VLOOKUP("transport|SO2|Asthma symptoms cough", US_national_yearly!$D:$AM, 17, FALSE) / VLOOKUP("transport|SO2|Asthma symptoms cough", US_national_yearly!$D:$AM, 10, FALSE), 1)</f>
        <v>2.3072094460831808E-2</v>
      </c>
      <c r="J6" s="7">
        <f>$B6 * IFERROR(VLOOKUP("transport|SO2|Asthma symptoms cough", US_national_yearly!$D:$AM, 18, FALSE) / VLOOKUP("transport|SO2|Asthma symptoms cough", US_national_yearly!$D:$AM, 10, FALSE), 1)</f>
        <v>2.3072094460831808E-2</v>
      </c>
      <c r="K6" s="7">
        <f>$B6 * IFERROR(VLOOKUP("transport|SO2|Asthma symptoms cough", US_national_yearly!$D:$AM, 19, FALSE) / VLOOKUP("transport|SO2|Asthma symptoms cough", US_national_yearly!$D:$AM, 10, FALSE), 1)</f>
        <v>2.3072094460831808E-2</v>
      </c>
      <c r="L6" s="7">
        <f>$B6 * IFERROR(VLOOKUP("transport|SO2|Asthma symptoms cough", US_national_yearly!$D:$AM, 20, FALSE) / VLOOKUP("transport|SO2|Asthma symptoms cough", US_national_yearly!$D:$AM, 10, FALSE), 1)</f>
        <v>2.3072094460831808E-2</v>
      </c>
      <c r="M6" s="7">
        <f>$B6 * IFERROR(VLOOKUP("transport|SO2|Asthma symptoms cough", US_national_yearly!$D:$AM, 21, FALSE) / VLOOKUP("transport|SO2|Asthma symptoms cough", US_national_yearly!$D:$AM, 10, FALSE), 1)</f>
        <v>2.3072094460831808E-2</v>
      </c>
      <c r="N6" s="7">
        <f>$B6 * IFERROR(VLOOKUP("transport|SO2|Asthma symptoms cough", US_national_yearly!$D:$AM, 22, FALSE) / VLOOKUP("transport|SO2|Asthma symptoms cough", US_national_yearly!$D:$AM, 10, FALSE), 1)</f>
        <v>2.3072094460831808E-2</v>
      </c>
      <c r="O6" s="7">
        <f>$B6 * IFERROR(VLOOKUP("transport|SO2|Asthma symptoms cough", US_national_yearly!$D:$AM, 23, FALSE) / VLOOKUP("transport|SO2|Asthma symptoms cough", US_national_yearly!$D:$AM, 10, FALSE), 1)</f>
        <v>2.3072094460831808E-2</v>
      </c>
      <c r="P6" s="7">
        <f>$B6 * IFERROR(VLOOKUP("transport|SO2|Asthma symptoms cough", US_national_yearly!$D:$AM, 24, FALSE) / VLOOKUP("transport|SO2|Asthma symptoms cough", US_national_yearly!$D:$AM, 10, FALSE), 1)</f>
        <v>2.3072094460831808E-2</v>
      </c>
      <c r="Q6" s="7">
        <f>$B6 * IFERROR(VLOOKUP("transport|SO2|Asthma symptoms cough", US_national_yearly!$D:$AM, 25, FALSE) / VLOOKUP("transport|SO2|Asthma symptoms cough", US_national_yearly!$D:$AM, 10, FALSE), 1)</f>
        <v>2.3072094460831808E-2</v>
      </c>
      <c r="R6" s="7">
        <f>$B6 * IFERROR(VLOOKUP("transport|SO2|Asthma symptoms cough", US_national_yearly!$D:$AM, 26, FALSE) / VLOOKUP("transport|SO2|Asthma symptoms cough", US_national_yearly!$D:$AM, 10, FALSE), 1)</f>
        <v>2.3072094460831808E-2</v>
      </c>
      <c r="S6" s="7">
        <f>$B6 * IFERROR(VLOOKUP("transport|SO2|Asthma symptoms cough", US_national_yearly!$D:$AM, 27, FALSE) / VLOOKUP("transport|SO2|Asthma symptoms cough", US_national_yearly!$D:$AM, 10, FALSE), 1)</f>
        <v>2.3072094460831808E-2</v>
      </c>
      <c r="T6" s="7">
        <f>$B6 * IFERROR(VLOOKUP("transport|SO2|Asthma symptoms cough", US_national_yearly!$D:$AM, 28, FALSE) / VLOOKUP("transport|SO2|Asthma symptoms cough", US_national_yearly!$D:$AM, 10, FALSE), 1)</f>
        <v>2.3072094460831808E-2</v>
      </c>
      <c r="U6" s="7">
        <f>$B6 * IFERROR(VLOOKUP("transport|SO2|Asthma symptoms cough", US_national_yearly!$D:$AM, 29, FALSE) / VLOOKUP("transport|SO2|Asthma symptoms cough", US_national_yearly!$D:$AM, 10, FALSE), 1)</f>
        <v>2.3072094460831808E-2</v>
      </c>
      <c r="V6" s="7">
        <f>$B6 * IFERROR(VLOOKUP("transport|SO2|Asthma symptoms cough", US_national_yearly!$D:$AM, 30, FALSE) / VLOOKUP("transport|SO2|Asthma symptoms cough", US_national_yearly!$D:$AM, 10, FALSE), 1)</f>
        <v>2.3072094460831808E-2</v>
      </c>
      <c r="W6" s="7">
        <f>$B6 * IFERROR(VLOOKUP("transport|SO2|Asthma symptoms cough", US_national_yearly!$D:$AM, 31, FALSE) / VLOOKUP("transport|SO2|Asthma symptoms cough", US_national_yearly!$D:$AM, 10, FALSE), 1)</f>
        <v>2.3072094460831808E-2</v>
      </c>
      <c r="X6" s="7">
        <f>$B6 * IFERROR(VLOOKUP("transport|SO2|Asthma symptoms cough", US_national_yearly!$D:$AM, 32, FALSE) / VLOOKUP("transport|SO2|Asthma symptoms cough", US_national_yearly!$D:$AM, 10, FALSE), 1)</f>
        <v>2.3072094460831808E-2</v>
      </c>
      <c r="Y6" s="7">
        <f>$B6 * IFERROR(VLOOKUP("transport|SO2|Asthma symptoms cough", US_national_yearly!$D:$AM, 33, FALSE) / VLOOKUP("transport|SO2|Asthma symptoms cough", US_national_yearly!$D:$AM, 10, FALSE), 1)</f>
        <v>2.3072094460831808E-2</v>
      </c>
      <c r="Z6" s="7">
        <f>$B6 * IFERROR(VLOOKUP("transport|SO2|Asthma symptoms cough", US_national_yearly!$D:$AM, 34, FALSE) / VLOOKUP("transport|SO2|Asthma symptoms cough", US_national_yearly!$D:$AM, 10, FALSE), 1)</f>
        <v>2.3072094460831808E-2</v>
      </c>
      <c r="AA6" s="7">
        <f>$B6 * IFERROR(VLOOKUP("transport|SO2|Asthma symptoms cough", US_national_yearly!$D:$AM, 35, FALSE) / VLOOKUP("transport|SO2|Asthma symptoms cough", US_national_yearly!$D:$AM, 10, FALSE), 1)</f>
        <v>2.3072094460831808E-2</v>
      </c>
      <c r="AB6" s="7">
        <f>$B6 * IFERROR(VLOOKUP("transport|SO2|Asthma symptoms cough", US_national_yearly!$D:$AM, 36, FALSE) / VLOOKUP("transport|SO2|Asthma symptoms cough", US_national_yearly!$D:$AM, 10, FALSE), 1)</f>
        <v>2.3072094460831808E-2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3.1069828221441734E-2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3.1069828221441734E-2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3.1069828221441734E-2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3.1069828221441734E-2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3.1069828221441734E-2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3.1069828221441734E-2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3.1069828221441734E-2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3.1069828221441734E-2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3.1069828221441734E-2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3.1069828221441734E-2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3.1069828221441734E-2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3.1069828221441734E-2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3.1069828221441734E-2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3.1069828221441734E-2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3.1069828221441734E-2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3.1069828221441734E-2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3.1069828221441734E-2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3.1069828221441734E-2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3.1069828221441734E-2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3.1069828221441734E-2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3.1069828221441734E-2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3.1069828221441734E-2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3.1069828221441734E-2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3.1069828221441734E-2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3.1069828221441734E-2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3.1069828221441734E-2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3.1069828221441734E-2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4.7469770188142607E-2</v>
      </c>
      <c r="C8" s="7">
        <f>$B8 * IFERROR(VLOOKUP("transport|SO2|Asthma symptoms wheeze", US_national_yearly!$D:$AM, 11, FALSE) / VLOOKUP("transport|SO2|Asthma symptoms wheeze", US_national_yearly!$D:$AM, 10, FALSE), 1)</f>
        <v>4.7469770188142607E-2</v>
      </c>
      <c r="D8" s="7">
        <f>$B8 * IFERROR(VLOOKUP("transport|SO2|Asthma symptoms wheeze", US_national_yearly!$D:$AM, 12, FALSE) / VLOOKUP("transport|SO2|Asthma symptoms wheeze", US_national_yearly!$D:$AM, 10, FALSE), 1)</f>
        <v>4.7469770188142607E-2</v>
      </c>
      <c r="E8" s="7">
        <f>$B8 * IFERROR(VLOOKUP("transport|SO2|Asthma symptoms wheeze", US_national_yearly!$D:$AM, 13, FALSE) / VLOOKUP("transport|SO2|Asthma symptoms wheeze", US_national_yearly!$D:$AM, 10, FALSE), 1)</f>
        <v>4.7469770188142607E-2</v>
      </c>
      <c r="F8" s="7">
        <f>$B8 * IFERROR(VLOOKUP("transport|SO2|Asthma symptoms wheeze", US_national_yearly!$D:$AM, 14, FALSE) / VLOOKUP("transport|SO2|Asthma symptoms wheeze", US_national_yearly!$D:$AM, 10, FALSE), 1)</f>
        <v>4.7469770188142607E-2</v>
      </c>
      <c r="G8" s="7">
        <f>$B8 * IFERROR(VLOOKUP("transport|SO2|Asthma symptoms wheeze", US_national_yearly!$D:$AM, 15, FALSE) / VLOOKUP("transport|SO2|Asthma symptoms wheeze", US_national_yearly!$D:$AM, 10, FALSE), 1)</f>
        <v>4.7469770188142607E-2</v>
      </c>
      <c r="H8" s="7">
        <f>$B8 * IFERROR(VLOOKUP("transport|SO2|Asthma symptoms wheeze", US_national_yearly!$D:$AM, 16, FALSE) / VLOOKUP("transport|SO2|Asthma symptoms wheeze", US_national_yearly!$D:$AM, 10, FALSE), 1)</f>
        <v>4.7469770188142607E-2</v>
      </c>
      <c r="I8" s="7">
        <f>$B8 * IFERROR(VLOOKUP("transport|SO2|Asthma symptoms wheeze", US_national_yearly!$D:$AM, 17, FALSE) / VLOOKUP("transport|SO2|Asthma symptoms wheeze", US_national_yearly!$D:$AM, 10, FALSE), 1)</f>
        <v>4.7469770188142607E-2</v>
      </c>
      <c r="J8" s="7">
        <f>$B8 * IFERROR(VLOOKUP("transport|SO2|Asthma symptoms wheeze", US_national_yearly!$D:$AM, 18, FALSE) / VLOOKUP("transport|SO2|Asthma symptoms wheeze", US_national_yearly!$D:$AM, 10, FALSE), 1)</f>
        <v>4.7469770188142607E-2</v>
      </c>
      <c r="K8" s="7">
        <f>$B8 * IFERROR(VLOOKUP("transport|SO2|Asthma symptoms wheeze", US_national_yearly!$D:$AM, 19, FALSE) / VLOOKUP("transport|SO2|Asthma symptoms wheeze", US_national_yearly!$D:$AM, 10, FALSE), 1)</f>
        <v>4.7469770188142607E-2</v>
      </c>
      <c r="L8" s="7">
        <f>$B8 * IFERROR(VLOOKUP("transport|SO2|Asthma symptoms wheeze", US_national_yearly!$D:$AM, 20, FALSE) / VLOOKUP("transport|SO2|Asthma symptoms wheeze", US_national_yearly!$D:$AM, 10, FALSE), 1)</f>
        <v>4.7469770188142607E-2</v>
      </c>
      <c r="M8" s="7">
        <f>$B8 * IFERROR(VLOOKUP("transport|SO2|Asthma symptoms wheeze", US_national_yearly!$D:$AM, 21, FALSE) / VLOOKUP("transport|SO2|Asthma symptoms wheeze", US_national_yearly!$D:$AM, 10, FALSE), 1)</f>
        <v>4.7469770188142607E-2</v>
      </c>
      <c r="N8" s="7">
        <f>$B8 * IFERROR(VLOOKUP("transport|SO2|Asthma symptoms wheeze", US_national_yearly!$D:$AM, 22, FALSE) / VLOOKUP("transport|SO2|Asthma symptoms wheeze", US_national_yearly!$D:$AM, 10, FALSE), 1)</f>
        <v>4.7469770188142607E-2</v>
      </c>
      <c r="O8" s="7">
        <f>$B8 * IFERROR(VLOOKUP("transport|SO2|Asthma symptoms wheeze", US_national_yearly!$D:$AM, 23, FALSE) / VLOOKUP("transport|SO2|Asthma symptoms wheeze", US_national_yearly!$D:$AM, 10, FALSE), 1)</f>
        <v>4.7469770188142607E-2</v>
      </c>
      <c r="P8" s="7">
        <f>$B8 * IFERROR(VLOOKUP("transport|SO2|Asthma symptoms wheeze", US_national_yearly!$D:$AM, 24, FALSE) / VLOOKUP("transport|SO2|Asthma symptoms wheeze", US_national_yearly!$D:$AM, 10, FALSE), 1)</f>
        <v>4.7469770188142607E-2</v>
      </c>
      <c r="Q8" s="7">
        <f>$B8 * IFERROR(VLOOKUP("transport|SO2|Asthma symptoms wheeze", US_national_yearly!$D:$AM, 25, FALSE) / VLOOKUP("transport|SO2|Asthma symptoms wheeze", US_national_yearly!$D:$AM, 10, FALSE), 1)</f>
        <v>4.7469770188142607E-2</v>
      </c>
      <c r="R8" s="7">
        <f>$B8 * IFERROR(VLOOKUP("transport|SO2|Asthma symptoms wheeze", US_national_yearly!$D:$AM, 26, FALSE) / VLOOKUP("transport|SO2|Asthma symptoms wheeze", US_national_yearly!$D:$AM, 10, FALSE), 1)</f>
        <v>4.7469770188142607E-2</v>
      </c>
      <c r="S8" s="7">
        <f>$B8 * IFERROR(VLOOKUP("transport|SO2|Asthma symptoms wheeze", US_national_yearly!$D:$AM, 27, FALSE) / VLOOKUP("transport|SO2|Asthma symptoms wheeze", US_national_yearly!$D:$AM, 10, FALSE), 1)</f>
        <v>4.7469770188142607E-2</v>
      </c>
      <c r="T8" s="7">
        <f>$B8 * IFERROR(VLOOKUP("transport|SO2|Asthma symptoms wheeze", US_national_yearly!$D:$AM, 28, FALSE) / VLOOKUP("transport|SO2|Asthma symptoms wheeze", US_national_yearly!$D:$AM, 10, FALSE), 1)</f>
        <v>4.7469770188142607E-2</v>
      </c>
      <c r="U8" s="7">
        <f>$B8 * IFERROR(VLOOKUP("transport|SO2|Asthma symptoms wheeze", US_national_yearly!$D:$AM, 29, FALSE) / VLOOKUP("transport|SO2|Asthma symptoms wheeze", US_national_yearly!$D:$AM, 10, FALSE), 1)</f>
        <v>4.7469770188142607E-2</v>
      </c>
      <c r="V8" s="7">
        <f>$B8 * IFERROR(VLOOKUP("transport|SO2|Asthma symptoms wheeze", US_national_yearly!$D:$AM, 30, FALSE) / VLOOKUP("transport|SO2|Asthma symptoms wheeze", US_national_yearly!$D:$AM, 10, FALSE), 1)</f>
        <v>4.7469770188142607E-2</v>
      </c>
      <c r="W8" s="7">
        <f>$B8 * IFERROR(VLOOKUP("transport|SO2|Asthma symptoms wheeze", US_national_yearly!$D:$AM, 31, FALSE) / VLOOKUP("transport|SO2|Asthma symptoms wheeze", US_national_yearly!$D:$AM, 10, FALSE), 1)</f>
        <v>4.7469770188142607E-2</v>
      </c>
      <c r="X8" s="7">
        <f>$B8 * IFERROR(VLOOKUP("transport|SO2|Asthma symptoms wheeze", US_national_yearly!$D:$AM, 32, FALSE) / VLOOKUP("transport|SO2|Asthma symptoms wheeze", US_national_yearly!$D:$AM, 10, FALSE), 1)</f>
        <v>4.7469770188142607E-2</v>
      </c>
      <c r="Y8" s="7">
        <f>$B8 * IFERROR(VLOOKUP("transport|SO2|Asthma symptoms wheeze", US_national_yearly!$D:$AM, 33, FALSE) / VLOOKUP("transport|SO2|Asthma symptoms wheeze", US_national_yearly!$D:$AM, 10, FALSE), 1)</f>
        <v>4.7469770188142607E-2</v>
      </c>
      <c r="Z8" s="7">
        <f>$B8 * IFERROR(VLOOKUP("transport|SO2|Asthma symptoms wheeze", US_national_yearly!$D:$AM, 34, FALSE) / VLOOKUP("transport|SO2|Asthma symptoms wheeze", US_national_yearly!$D:$AM, 10, FALSE), 1)</f>
        <v>4.7469770188142607E-2</v>
      </c>
      <c r="AA8" s="7">
        <f>$B8 * IFERROR(VLOOKUP("transport|SO2|Asthma symptoms wheeze", US_national_yearly!$D:$AM, 35, FALSE) / VLOOKUP("transport|SO2|Asthma symptoms wheeze", US_national_yearly!$D:$AM, 10, FALSE), 1)</f>
        <v>4.7469770188142607E-2</v>
      </c>
      <c r="AB8" s="7">
        <f>$B8 * IFERROR(VLOOKUP("transport|SO2|Asthma symptoms wheeze", US_national_yearly!$D:$AM, 36, FALSE) / VLOOKUP("transport|SO2|Asthma symptoms wheeze", US_national_yearly!$D:$AM, 10, FALSE), 1)</f>
        <v>4.7469770188142607E-2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5.0902086024769155E-4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5.1202309057717295E-4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5.1502532090665434E-4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5.1802755123613563E-4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5.2102978156561702E-4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5.2430271901392786E-4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5.2757565646223859E-4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5.3080316247572444E-4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5.3403066848921039E-4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5.3725817450269613E-4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5.4048568051618209E-4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5.4371318652966783E-4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5.4606916629092791E-4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5.4842514605218798E-4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5.5078112581344795E-4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5.5313710557470803E-4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5.55493085335968E-4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5.5774051026188172E-4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5.5998793518779533E-4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5.6223536011370905E-4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5.6448278503962277E-4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5.6673020996553648E-4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5.6886264723690551E-4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5.7099508450827454E-4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5.7312752177964357E-4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5.752599590510126E-4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5.7739239632238174E-4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3.8738744061598738E-3</v>
      </c>
      <c r="C13" s="7">
        <f>$B13 * IFERROR(VLOOKUP("transport|SO2|Non-fatal heart attacks", US_national_yearly!$D:$AM, 11, FALSE) / VLOOKUP("transport|SO2|Non-fatal heart attacks", US_national_yearly!$D:$AM, 10, FALSE), 1)</f>
        <v>3.9875972880413779E-3</v>
      </c>
      <c r="D13" s="7">
        <f>$B13 * IFERROR(VLOOKUP("transport|SO2|Non-fatal heart attacks", US_national_yearly!$D:$AM, 12, FALSE) / VLOOKUP("transport|SO2|Non-fatal heart attacks", US_national_yearly!$D:$AM, 10, FALSE), 1)</f>
        <v>4.1013201699228825E-3</v>
      </c>
      <c r="E13" s="7">
        <f>$B13 * IFERROR(VLOOKUP("transport|SO2|Non-fatal heart attacks", US_national_yearly!$D:$AM, 13, FALSE) / VLOOKUP("transport|SO2|Non-fatal heart attacks", US_national_yearly!$D:$AM, 10, FALSE), 1)</f>
        <v>4.2150430518043871E-3</v>
      </c>
      <c r="F13" s="7">
        <f>$B13 * IFERROR(VLOOKUP("transport|SO2|Non-fatal heart attacks", US_national_yearly!$D:$AM, 14, FALSE) / VLOOKUP("transport|SO2|Non-fatal heart attacks", US_national_yearly!$D:$AM, 10, FALSE), 1)</f>
        <v>4.3287659336858899E-3</v>
      </c>
      <c r="G13" s="7">
        <f>$B13 * IFERROR(VLOOKUP("transport|SO2|Non-fatal heart attacks", US_national_yearly!$D:$AM, 15, FALSE) / VLOOKUP("transport|SO2|Non-fatal heart attacks", US_national_yearly!$D:$AM, 10, FALSE), 1)</f>
        <v>4.4360171597418461E-3</v>
      </c>
      <c r="H13" s="7">
        <f>$B13 * IFERROR(VLOOKUP("transport|SO2|Non-fatal heart attacks", US_national_yearly!$D:$AM, 16, FALSE) / VLOOKUP("transport|SO2|Non-fatal heart attacks", US_national_yearly!$D:$AM, 10, FALSE), 1)</f>
        <v>4.5432683857978013E-3</v>
      </c>
      <c r="I13" s="7">
        <f>$B13 * IFERROR(VLOOKUP("transport|SO2|Non-fatal heart attacks", US_national_yearly!$D:$AM, 17, FALSE) / VLOOKUP("transport|SO2|Non-fatal heart attacks", US_national_yearly!$D:$AM, 10, FALSE), 1)</f>
        <v>4.6295720010684493E-3</v>
      </c>
      <c r="J13" s="7">
        <f>$B13 * IFERROR(VLOOKUP("transport|SO2|Non-fatal heart attacks", US_national_yearly!$D:$AM, 18, FALSE) / VLOOKUP("transport|SO2|Non-fatal heart attacks", US_national_yearly!$D:$AM, 10, FALSE), 1)</f>
        <v>4.7158756163390974E-3</v>
      </c>
      <c r="K13" s="7">
        <f>$B13 * IFERROR(VLOOKUP("transport|SO2|Non-fatal heart attacks", US_national_yearly!$D:$AM, 19, FALSE) / VLOOKUP("transport|SO2|Non-fatal heart attacks", US_national_yearly!$D:$AM, 10, FALSE), 1)</f>
        <v>4.8021792316097446E-3</v>
      </c>
      <c r="L13" s="7">
        <f>$B13 * IFERROR(VLOOKUP("transport|SO2|Non-fatal heart attacks", US_national_yearly!$D:$AM, 20, FALSE) / VLOOKUP("transport|SO2|Non-fatal heart attacks", US_national_yearly!$D:$AM, 10, FALSE), 1)</f>
        <v>4.8884828468803935E-3</v>
      </c>
      <c r="M13" s="7">
        <f>$B13 * IFERROR(VLOOKUP("transport|SO2|Non-fatal heart attacks", US_national_yearly!$D:$AM, 21, FALSE) / VLOOKUP("transport|SO2|Non-fatal heart attacks", US_national_yearly!$D:$AM, 10, FALSE), 1)</f>
        <v>4.9747864621510415E-3</v>
      </c>
      <c r="N13" s="7">
        <f>$B13 * IFERROR(VLOOKUP("transport|SO2|Non-fatal heart attacks", US_national_yearly!$D:$AM, 22, FALSE) / VLOOKUP("transport|SO2|Non-fatal heart attacks", US_national_yearly!$D:$AM, 10, FALSE), 1)</f>
        <v>5.0308244422322835E-3</v>
      </c>
      <c r="O13" s="7">
        <f>$B13 * IFERROR(VLOOKUP("transport|SO2|Non-fatal heart attacks", US_national_yearly!$D:$AM, 23, FALSE) / VLOOKUP("transport|SO2|Non-fatal heart attacks", US_national_yearly!$D:$AM, 10, FALSE), 1)</f>
        <v>5.0868624223135272E-3</v>
      </c>
      <c r="P13" s="7">
        <f>$B13 * IFERROR(VLOOKUP("transport|SO2|Non-fatal heart attacks", US_national_yearly!$D:$AM, 24, FALSE) / VLOOKUP("transport|SO2|Non-fatal heart attacks", US_national_yearly!$D:$AM, 10, FALSE), 1)</f>
        <v>5.14290040239477E-3</v>
      </c>
      <c r="Q13" s="7">
        <f>$B13 * IFERROR(VLOOKUP("transport|SO2|Non-fatal heart attacks", US_national_yearly!$D:$AM, 25, FALSE) / VLOOKUP("transport|SO2|Non-fatal heart attacks", US_national_yearly!$D:$AM, 10, FALSE), 1)</f>
        <v>5.1989383824760128E-3</v>
      </c>
      <c r="R13" s="7">
        <f>$B13 * IFERROR(VLOOKUP("transport|SO2|Non-fatal heart attacks", US_national_yearly!$D:$AM, 26, FALSE) / VLOOKUP("transport|SO2|Non-fatal heart attacks", US_national_yearly!$D:$AM, 10, FALSE), 1)</f>
        <v>5.2549763625572557E-3</v>
      </c>
      <c r="S13" s="7">
        <f>$B13 * IFERROR(VLOOKUP("transport|SO2|Non-fatal heart attacks", US_national_yearly!$D:$AM, 27, FALSE) / VLOOKUP("transport|SO2|Non-fatal heart attacks", US_national_yearly!$D:$AM, 10, FALSE), 1)</f>
        <v>5.2842334767558554E-3</v>
      </c>
      <c r="T13" s="7">
        <f>$B13 * IFERROR(VLOOKUP("transport|SO2|Non-fatal heart attacks", US_national_yearly!$D:$AM, 28, FALSE) / VLOOKUP("transport|SO2|Non-fatal heart attacks", US_national_yearly!$D:$AM, 10, FALSE), 1)</f>
        <v>5.3134905909544561E-3</v>
      </c>
      <c r="U13" s="7">
        <f>$B13 * IFERROR(VLOOKUP("transport|SO2|Non-fatal heart attacks", US_national_yearly!$D:$AM, 29, FALSE) / VLOOKUP("transport|SO2|Non-fatal heart attacks", US_national_yearly!$D:$AM, 10, FALSE), 1)</f>
        <v>5.3427477051530559E-3</v>
      </c>
      <c r="V13" s="7">
        <f>$B13 * IFERROR(VLOOKUP("transport|SO2|Non-fatal heart attacks", US_national_yearly!$D:$AM, 30, FALSE) / VLOOKUP("transport|SO2|Non-fatal heart attacks", US_national_yearly!$D:$AM, 10, FALSE), 1)</f>
        <v>5.3720048193516556E-3</v>
      </c>
      <c r="W13" s="7">
        <f>$B13 * IFERROR(VLOOKUP("transport|SO2|Non-fatal heart attacks", US_national_yearly!$D:$AM, 31, FALSE) / VLOOKUP("transport|SO2|Non-fatal heart attacks", US_national_yearly!$D:$AM, 10, FALSE), 1)</f>
        <v>5.4012619335502571E-3</v>
      </c>
      <c r="X13" s="7">
        <f>$B13 * IFERROR(VLOOKUP("transport|SO2|Non-fatal heart attacks", US_national_yearly!$D:$AM, 32, FALSE) / VLOOKUP("transport|SO2|Non-fatal heart attacks", US_national_yearly!$D:$AM, 10, FALSE), 1)</f>
        <v>5.4233484955377468E-3</v>
      </c>
      <c r="Y13" s="7">
        <f>$B13 * IFERROR(VLOOKUP("transport|SO2|Non-fatal heart attacks", US_national_yearly!$D:$AM, 33, FALSE) / VLOOKUP("transport|SO2|Non-fatal heart attacks", US_national_yearly!$D:$AM, 10, FALSE), 1)</f>
        <v>5.4454350575252365E-3</v>
      </c>
      <c r="Z13" s="7">
        <f>$B13 * IFERROR(VLOOKUP("transport|SO2|Non-fatal heart attacks", US_national_yearly!$D:$AM, 34, FALSE) / VLOOKUP("transport|SO2|Non-fatal heart attacks", US_national_yearly!$D:$AM, 10, FALSE), 1)</f>
        <v>5.4675216195127262E-3</v>
      </c>
      <c r="AA13" s="7">
        <f>$B13 * IFERROR(VLOOKUP("transport|SO2|Non-fatal heart attacks", US_national_yearly!$D:$AM, 35, FALSE) / VLOOKUP("transport|SO2|Non-fatal heart attacks", US_national_yearly!$D:$AM, 10, FALSE), 1)</f>
        <v>5.4896081815002159E-3</v>
      </c>
      <c r="AB13" s="7">
        <f>$B13 * IFERROR(VLOOKUP("transport|SO2|Non-fatal heart attacks", US_national_yearly!$D:$AM, 36, FALSE) / VLOOKUP("transport|SO2|Non-fatal heart attacks", US_national_yearly!$D:$AM, 10, FALSE), 1)</f>
        <v>5.5116947434877056E-3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2.9854595649346889</v>
      </c>
      <c r="C14" s="7">
        <f>$B14 * IFERROR(VLOOKUP("transport|SO2|Minor restricted activity days", US_national_yearly!$D:$AM, 11, FALSE) / VLOOKUP("transport|SO2|Minor restricted activity days", US_national_yearly!$D:$AM, 10, FALSE), 1)</f>
        <v>2.9929849137656834</v>
      </c>
      <c r="D14" s="7">
        <f>$B14 * IFERROR(VLOOKUP("transport|SO2|Minor restricted activity days", US_national_yearly!$D:$AM, 12, FALSE) / VLOOKUP("transport|SO2|Minor restricted activity days", US_national_yearly!$D:$AM, 10, FALSE), 1)</f>
        <v>3.0005102625966771</v>
      </c>
      <c r="E14" s="7">
        <f>$B14 * IFERROR(VLOOKUP("transport|SO2|Minor restricted activity days", US_national_yearly!$D:$AM, 13, FALSE) / VLOOKUP("transport|SO2|Minor restricted activity days", US_national_yearly!$D:$AM, 10, FALSE), 1)</f>
        <v>3.0080356114276716</v>
      </c>
      <c r="F14" s="7">
        <f>$B14 * IFERROR(VLOOKUP("transport|SO2|Minor restricted activity days", US_national_yearly!$D:$AM, 14, FALSE) / VLOOKUP("transport|SO2|Minor restricted activity days", US_national_yearly!$D:$AM, 10, FALSE), 1)</f>
        <v>3.0155609602586653</v>
      </c>
      <c r="G14" s="7">
        <f>$B14 * IFERROR(VLOOKUP("transport|SO2|Minor restricted activity days", US_national_yearly!$D:$AM, 15, FALSE) / VLOOKUP("transport|SO2|Minor restricted activity days", US_national_yearly!$D:$AM, 10, FALSE), 1)</f>
        <v>3.0266375344434917</v>
      </c>
      <c r="H14" s="7">
        <f>$B14 * IFERROR(VLOOKUP("transport|SO2|Minor restricted activity days", US_national_yearly!$D:$AM, 16, FALSE) / VLOOKUP("transport|SO2|Minor restricted activity days", US_national_yearly!$D:$AM, 10, FALSE), 1)</f>
        <v>3.0377141086283177</v>
      </c>
      <c r="I14" s="7">
        <f>$B14 * IFERROR(VLOOKUP("transport|SO2|Minor restricted activity days", US_national_yearly!$D:$AM, 17, FALSE) / VLOOKUP("transport|SO2|Minor restricted activity days", US_national_yearly!$D:$AM, 10, FALSE), 1)</f>
        <v>3.0566041734428584</v>
      </c>
      <c r="J14" s="7">
        <f>$B14 * IFERROR(VLOOKUP("transport|SO2|Minor restricted activity days", US_national_yearly!$D:$AM, 18, FALSE) / VLOOKUP("transport|SO2|Minor restricted activity days", US_national_yearly!$D:$AM, 10, FALSE), 1)</f>
        <v>3.0754942382573991</v>
      </c>
      <c r="K14" s="7">
        <f>$B14 * IFERROR(VLOOKUP("transport|SO2|Minor restricted activity days", US_national_yearly!$D:$AM, 19, FALSE) / VLOOKUP("transport|SO2|Minor restricted activity days", US_national_yearly!$D:$AM, 10, FALSE), 1)</f>
        <v>3.0943843030719402</v>
      </c>
      <c r="L14" s="7">
        <f>$B14 * IFERROR(VLOOKUP("transport|SO2|Minor restricted activity days", US_national_yearly!$D:$AM, 20, FALSE) / VLOOKUP("transport|SO2|Minor restricted activity days", US_national_yearly!$D:$AM, 10, FALSE), 1)</f>
        <v>3.1132743678864809</v>
      </c>
      <c r="M14" s="7">
        <f>$B14 * IFERROR(VLOOKUP("transport|SO2|Minor restricted activity days", US_national_yearly!$D:$AM, 21, FALSE) / VLOOKUP("transport|SO2|Minor restricted activity days", US_national_yearly!$D:$AM, 10, FALSE), 1)</f>
        <v>3.1321644327010216</v>
      </c>
      <c r="N14" s="7">
        <f>$B14 * IFERROR(VLOOKUP("transport|SO2|Minor restricted activity days", US_national_yearly!$D:$AM, 22, FALSE) / VLOOKUP("transport|SO2|Minor restricted activity days", US_national_yearly!$D:$AM, 10, FALSE), 1)</f>
        <v>3.1580030102868113</v>
      </c>
      <c r="O14" s="7">
        <f>$B14 * IFERROR(VLOOKUP("transport|SO2|Minor restricted activity days", US_national_yearly!$D:$AM, 23, FALSE) / VLOOKUP("transport|SO2|Minor restricted activity days", US_national_yearly!$D:$AM, 10, FALSE), 1)</f>
        <v>3.183841587872601</v>
      </c>
      <c r="P14" s="7">
        <f>$B14 * IFERROR(VLOOKUP("transport|SO2|Minor restricted activity days", US_national_yearly!$D:$AM, 24, FALSE) / VLOOKUP("transport|SO2|Minor restricted activity days", US_national_yearly!$D:$AM, 10, FALSE), 1)</f>
        <v>3.2096801654583911</v>
      </c>
      <c r="Q14" s="7">
        <f>$B14 * IFERROR(VLOOKUP("transport|SO2|Minor restricted activity days", US_national_yearly!$D:$AM, 25, FALSE) / VLOOKUP("transport|SO2|Minor restricted activity days", US_national_yearly!$D:$AM, 10, FALSE), 1)</f>
        <v>3.2355187430441807</v>
      </c>
      <c r="R14" s="7">
        <f>$B14 * IFERROR(VLOOKUP("transport|SO2|Minor restricted activity days", US_national_yearly!$D:$AM, 26, FALSE) / VLOOKUP("transport|SO2|Minor restricted activity days", US_national_yearly!$D:$AM, 10, FALSE), 1)</f>
        <v>3.2613573206299704</v>
      </c>
      <c r="S14" s="7">
        <f>$B14 * IFERROR(VLOOKUP("transport|SO2|Minor restricted activity days", US_national_yearly!$D:$AM, 27, FALSE) / VLOOKUP("transport|SO2|Minor restricted activity days", US_national_yearly!$D:$AM, 10, FALSE), 1)</f>
        <v>3.2877022794016844</v>
      </c>
      <c r="T14" s="7">
        <f>$B14 * IFERROR(VLOOKUP("transport|SO2|Minor restricted activity days", US_national_yearly!$D:$AM, 28, FALSE) / VLOOKUP("transport|SO2|Minor restricted activity days", US_national_yearly!$D:$AM, 10, FALSE), 1)</f>
        <v>3.3140472381733987</v>
      </c>
      <c r="U14" s="7">
        <f>$B14 * IFERROR(VLOOKUP("transport|SO2|Minor restricted activity days", US_national_yearly!$D:$AM, 29, FALSE) / VLOOKUP("transport|SO2|Minor restricted activity days", US_national_yearly!$D:$AM, 10, FALSE), 1)</f>
        <v>3.3403921969451131</v>
      </c>
      <c r="V14" s="7">
        <f>$B14 * IFERROR(VLOOKUP("transport|SO2|Minor restricted activity days", US_national_yearly!$D:$AM, 30, FALSE) / VLOOKUP("transport|SO2|Minor restricted activity days", US_national_yearly!$D:$AM, 10, FALSE), 1)</f>
        <v>3.3667371557168271</v>
      </c>
      <c r="W14" s="7">
        <f>$B14 * IFERROR(VLOOKUP("transport|SO2|Minor restricted activity days", US_national_yearly!$D:$AM, 31, FALSE) / VLOOKUP("transport|SO2|Minor restricted activity days", US_national_yearly!$D:$AM, 10, FALSE), 1)</f>
        <v>3.3930821144885419</v>
      </c>
      <c r="X14" s="7">
        <f>$B14 * IFERROR(VLOOKUP("transport|SO2|Minor restricted activity days", US_national_yearly!$D:$AM, 32, FALSE) / VLOOKUP("transport|SO2|Minor restricted activity days", US_national_yearly!$D:$AM, 10, FALSE), 1)</f>
        <v>3.4162504063296817</v>
      </c>
      <c r="Y14" s="7">
        <f>$B14 * IFERROR(VLOOKUP("transport|SO2|Minor restricted activity days", US_national_yearly!$D:$AM, 33, FALSE) / VLOOKUP("transport|SO2|Minor restricted activity days", US_national_yearly!$D:$AM, 10, FALSE), 1)</f>
        <v>3.4394186981708215</v>
      </c>
      <c r="Z14" s="7">
        <f>$B14 * IFERROR(VLOOKUP("transport|SO2|Minor restricted activity days", US_national_yearly!$D:$AM, 34, FALSE) / VLOOKUP("transport|SO2|Minor restricted activity days", US_national_yearly!$D:$AM, 10, FALSE), 1)</f>
        <v>3.4625869900119621</v>
      </c>
      <c r="AA14" s="7">
        <f>$B14 * IFERROR(VLOOKUP("transport|SO2|Minor restricted activity days", US_national_yearly!$D:$AM, 35, FALSE) / VLOOKUP("transport|SO2|Minor restricted activity days", US_national_yearly!$D:$AM, 10, FALSE), 1)</f>
        <v>3.4857552818531019</v>
      </c>
      <c r="AB14" s="7">
        <f>$B14 * IFERROR(VLOOKUP("transport|SO2|Minor restricted activity days", US_national_yearly!$D:$AM, 36, FALSE) / VLOOKUP("transport|SO2|Minor restricted activity days", US_national_yearly!$D:$AM, 10, FALSE), 1)</f>
        <v>3.5089235736942421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0.50460749594411003</v>
      </c>
      <c r="C15" s="7">
        <f>$B15 * IFERROR(VLOOKUP("transport|SO2|Work loss days", US_national_yearly!$D:$AM, 11, FALSE) / VLOOKUP("transport|SO2|Work loss days", US_national_yearly!$D:$AM, 10, FALSE), 1)</f>
        <v>0.50624234403070156</v>
      </c>
      <c r="D15" s="7">
        <f>$B15 * IFERROR(VLOOKUP("transport|SO2|Work loss days", US_national_yearly!$D:$AM, 12, FALSE) / VLOOKUP("transport|SO2|Work loss days", US_national_yearly!$D:$AM, 10, FALSE), 1)</f>
        <v>0.5078771921172931</v>
      </c>
      <c r="E15" s="7">
        <f>$B15 * IFERROR(VLOOKUP("transport|SO2|Work loss days", US_national_yearly!$D:$AM, 13, FALSE) / VLOOKUP("transport|SO2|Work loss days", US_national_yearly!$D:$AM, 10, FALSE), 1)</f>
        <v>0.50951204020388463</v>
      </c>
      <c r="F15" s="7">
        <f>$B15 * IFERROR(VLOOKUP("transport|SO2|Work loss days", US_national_yearly!$D:$AM, 14, FALSE) / VLOOKUP("transport|SO2|Work loss days", US_national_yearly!$D:$AM, 10, FALSE), 1)</f>
        <v>0.51114688829047605</v>
      </c>
      <c r="G15" s="7">
        <f>$B15 * IFERROR(VLOOKUP("transport|SO2|Work loss days", US_national_yearly!$D:$AM, 15, FALSE) / VLOOKUP("transport|SO2|Work loss days", US_national_yearly!$D:$AM, 10, FALSE), 1)</f>
        <v>0.51328301735205684</v>
      </c>
      <c r="H15" s="7">
        <f>$B15 * IFERROR(VLOOKUP("transport|SO2|Work loss days", US_national_yearly!$D:$AM, 16, FALSE) / VLOOKUP("transport|SO2|Work loss days", US_national_yearly!$D:$AM, 10, FALSE), 1)</f>
        <v>0.5154191464136374</v>
      </c>
      <c r="I15" s="7">
        <f>$B15 * IFERROR(VLOOKUP("transport|SO2|Work loss days", US_national_yearly!$D:$AM, 17, FALSE) / VLOOKUP("transport|SO2|Work loss days", US_national_yearly!$D:$AM, 10, FALSE), 1)</f>
        <v>0.51854401647609105</v>
      </c>
      <c r="J15" s="7">
        <f>$B15 * IFERROR(VLOOKUP("transport|SO2|Work loss days", US_national_yearly!$D:$AM, 18, FALSE) / VLOOKUP("transport|SO2|Work loss days", US_national_yearly!$D:$AM, 10, FALSE), 1)</f>
        <v>0.52166888653854471</v>
      </c>
      <c r="K15" s="7">
        <f>$B15 * IFERROR(VLOOKUP("transport|SO2|Work loss days", US_national_yearly!$D:$AM, 19, FALSE) / VLOOKUP("transport|SO2|Work loss days", US_national_yearly!$D:$AM, 10, FALSE), 1)</f>
        <v>0.52479375660099847</v>
      </c>
      <c r="L15" s="7">
        <f>$B15 * IFERROR(VLOOKUP("transport|SO2|Work loss days", US_national_yearly!$D:$AM, 20, FALSE) / VLOOKUP("transport|SO2|Work loss days", US_national_yearly!$D:$AM, 10, FALSE), 1)</f>
        <v>0.52791862666345213</v>
      </c>
      <c r="M15" s="7">
        <f>$B15 * IFERROR(VLOOKUP("transport|SO2|Work loss days", US_national_yearly!$D:$AM, 21, FALSE) / VLOOKUP("transport|SO2|Work loss days", US_national_yearly!$D:$AM, 10, FALSE), 1)</f>
        <v>0.53104349672590589</v>
      </c>
      <c r="N15" s="7">
        <f>$B15 * IFERROR(VLOOKUP("transport|SO2|Work loss days", US_national_yearly!$D:$AM, 22, FALSE) / VLOOKUP("transport|SO2|Work loss days", US_national_yearly!$D:$AM, 10, FALSE), 1)</f>
        <v>0.53496157739722261</v>
      </c>
      <c r="O15" s="7">
        <f>$B15 * IFERROR(VLOOKUP("transport|SO2|Work loss days", US_national_yearly!$D:$AM, 23, FALSE) / VLOOKUP("transport|SO2|Work loss days", US_national_yearly!$D:$AM, 10, FALSE), 1)</f>
        <v>0.53887965806853932</v>
      </c>
      <c r="P15" s="7">
        <f>$B15 * IFERROR(VLOOKUP("transport|SO2|Work loss days", US_national_yearly!$D:$AM, 24, FALSE) / VLOOKUP("transport|SO2|Work loss days", US_national_yearly!$D:$AM, 10, FALSE), 1)</f>
        <v>0.54279773873985593</v>
      </c>
      <c r="Q15" s="7">
        <f>$B15 * IFERROR(VLOOKUP("transport|SO2|Work loss days", US_national_yearly!$D:$AM, 25, FALSE) / VLOOKUP("transport|SO2|Work loss days", US_national_yearly!$D:$AM, 10, FALSE), 1)</f>
        <v>0.54671581941117253</v>
      </c>
      <c r="R15" s="7">
        <f>$B15 * IFERROR(VLOOKUP("transport|SO2|Work loss days", US_national_yearly!$D:$AM, 26, FALSE) / VLOOKUP("transport|SO2|Work loss days", US_national_yearly!$D:$AM, 10, FALSE), 1)</f>
        <v>0.55063390008248925</v>
      </c>
      <c r="S15" s="7">
        <f>$B15 * IFERROR(VLOOKUP("transport|SO2|Work loss days", US_national_yearly!$D:$AM, 27, FALSE) / VLOOKUP("transport|SO2|Work loss days", US_national_yearly!$D:$AM, 10, FALSE), 1)</f>
        <v>0.55501234231493868</v>
      </c>
      <c r="T15" s="7">
        <f>$B15 * IFERROR(VLOOKUP("transport|SO2|Work loss days", US_national_yearly!$D:$AM, 28, FALSE) / VLOOKUP("transport|SO2|Work loss days", US_national_yearly!$D:$AM, 10, FALSE), 1)</f>
        <v>0.55939078454738822</v>
      </c>
      <c r="U15" s="7">
        <f>$B15 * IFERROR(VLOOKUP("transport|SO2|Work loss days", US_national_yearly!$D:$AM, 29, FALSE) / VLOOKUP("transport|SO2|Work loss days", US_national_yearly!$D:$AM, 10, FALSE), 1)</f>
        <v>0.56376922677983765</v>
      </c>
      <c r="V15" s="7">
        <f>$B15 * IFERROR(VLOOKUP("transport|SO2|Work loss days", US_national_yearly!$D:$AM, 30, FALSE) / VLOOKUP("transport|SO2|Work loss days", US_national_yearly!$D:$AM, 10, FALSE), 1)</f>
        <v>0.56814766901228697</v>
      </c>
      <c r="W15" s="7">
        <f>$B15 * IFERROR(VLOOKUP("transport|SO2|Work loss days", US_national_yearly!$D:$AM, 31, FALSE) / VLOOKUP("transport|SO2|Work loss days", US_national_yearly!$D:$AM, 10, FALSE), 1)</f>
        <v>0.57252611124473651</v>
      </c>
      <c r="X15" s="7">
        <f>$B15 * IFERROR(VLOOKUP("transport|SO2|Work loss days", US_national_yearly!$D:$AM, 32, FALSE) / VLOOKUP("transport|SO2|Work loss days", US_national_yearly!$D:$AM, 10, FALSE), 1)</f>
        <v>0.57645734885981814</v>
      </c>
      <c r="Y15" s="7">
        <f>$B15 * IFERROR(VLOOKUP("transport|SO2|Work loss days", US_national_yearly!$D:$AM, 33, FALSE) / VLOOKUP("transport|SO2|Work loss days", US_national_yearly!$D:$AM, 10, FALSE), 1)</f>
        <v>0.58038858647489988</v>
      </c>
      <c r="Z15" s="7">
        <f>$B15 * IFERROR(VLOOKUP("transport|SO2|Work loss days", US_national_yearly!$D:$AM, 34, FALSE) / VLOOKUP("transport|SO2|Work loss days", US_national_yearly!$D:$AM, 10, FALSE), 1)</f>
        <v>0.58431982408998162</v>
      </c>
      <c r="AA15" s="7">
        <f>$B15 * IFERROR(VLOOKUP("transport|SO2|Work loss days", US_national_yearly!$D:$AM, 35, FALSE) / VLOOKUP("transport|SO2|Work loss days", US_national_yearly!$D:$AM, 10, FALSE), 1)</f>
        <v>0.58825106170506336</v>
      </c>
      <c r="AB15" s="7">
        <f>$B15 * IFERROR(VLOOKUP("transport|SO2|Work loss days", US_national_yearly!$D:$AM, 36, FALSE) / VLOOKUP("transport|SO2|Work loss days", US_national_yearly!$D:$AM, 10, FALSE), 1)</f>
        <v>0.5921822993201451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9.4443947526387333E-4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9.7300294165294111E-4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1.0015664080420088E-3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1.0301298744310767E-3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1.0586933408201445E-3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1.0860544256597368E-3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1.113415510499329E-3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1.1368586207377645E-3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1.1603017309761998E-3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1.1837448412146351E-3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1.2071879514530704E-3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1.2306310616915057E-3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1.246379491671009E-3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1.262127921650512E-3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1.2778763516300151E-3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1.2936247816095182E-3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1.3093732115890217E-3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1.3176557644689784E-3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1.3259383173489351E-3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1.3342208702288921E-3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1.3425034231088488E-3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1.3507859759888058E-3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1.3563463275374002E-3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1.3619066790859949E-3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1.3674670306345895E-3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1.3730273821831844E-3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1.3785877337317788E-3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5.402851765397397E-2</v>
      </c>
      <c r="C2" s="7">
        <f>$B2 * IFERROR(VLOOKUP("electricity|PM25|Premature mortality", US_national_yearly!$D:$AM, 11, FALSE) / VLOOKUP("electricity|PM25|Premature mortality", US_national_yearly!$D:$AM, 10, FALSE), 1)</f>
        <v>5.4697727718255762E-2</v>
      </c>
      <c r="D2" s="7">
        <f>$B2 * IFERROR(VLOOKUP("electricity|PM25|Premature mortality", US_national_yearly!$D:$AM, 12, FALSE) / VLOOKUP("electricity|PM25|Premature mortality", US_national_yearly!$D:$AM, 10, FALSE), 1)</f>
        <v>5.5366937782537554E-2</v>
      </c>
      <c r="E2" s="7">
        <f>$B2 * IFERROR(VLOOKUP("electricity|PM25|Premature mortality", US_national_yearly!$D:$AM, 13, FALSE) / VLOOKUP("electricity|PM25|Premature mortality", US_national_yearly!$D:$AM, 10, FALSE), 1)</f>
        <v>5.6036147846819345E-2</v>
      </c>
      <c r="F2" s="7">
        <f>$B2 * IFERROR(VLOOKUP("electricity|PM25|Premature mortality", US_national_yearly!$D:$AM, 14, FALSE) / VLOOKUP("electricity|PM25|Premature mortality", US_national_yearly!$D:$AM, 10, FALSE), 1)</f>
        <v>5.6705357911101151E-2</v>
      </c>
      <c r="G2" s="7">
        <f>$B2 * IFERROR(VLOOKUP("electricity|PM25|Premature mortality", US_national_yearly!$D:$AM, 15, FALSE) / VLOOKUP("electricity|PM25|Premature mortality", US_national_yearly!$D:$AM, 10, FALSE), 1)</f>
        <v>5.8019722067062768E-2</v>
      </c>
      <c r="H2" s="7">
        <f>$B2 * IFERROR(VLOOKUP("electricity|PM25|Premature mortality", US_national_yearly!$D:$AM, 16, FALSE) / VLOOKUP("electricity|PM25|Premature mortality", US_national_yearly!$D:$AM, 10, FALSE), 1)</f>
        <v>5.9334086223024399E-2</v>
      </c>
      <c r="I2" s="7">
        <f>$B2 * IFERROR(VLOOKUP("electricity|PM25|Premature mortality", US_national_yearly!$D:$AM, 17, FALSE) / VLOOKUP("electricity|PM25|Premature mortality", US_national_yearly!$D:$AM, 10, FALSE), 1)</f>
        <v>6.02172186641141E-2</v>
      </c>
      <c r="J2" s="7">
        <f>$B2 * IFERROR(VLOOKUP("electricity|PM25|Premature mortality", US_national_yearly!$D:$AM, 18, FALSE) / VLOOKUP("electricity|PM25|Premature mortality", US_national_yearly!$D:$AM, 10, FALSE), 1)</f>
        <v>6.1100351105203815E-2</v>
      </c>
      <c r="K2" s="7">
        <f>$B2 * IFERROR(VLOOKUP("electricity|PM25|Premature mortality", US_national_yearly!$D:$AM, 19, FALSE) / VLOOKUP("electricity|PM25|Premature mortality", US_national_yearly!$D:$AM, 10, FALSE), 1)</f>
        <v>6.1983483546293516E-2</v>
      </c>
      <c r="L2" s="7">
        <f>$B2 * IFERROR(VLOOKUP("electricity|PM25|Premature mortality", US_national_yearly!$D:$AM, 20, FALSE) / VLOOKUP("electricity|PM25|Premature mortality", US_national_yearly!$D:$AM, 10, FALSE), 1)</f>
        <v>6.2866615987383231E-2</v>
      </c>
      <c r="M2" s="7">
        <f>$B2 * IFERROR(VLOOKUP("electricity|PM25|Premature mortality", US_national_yearly!$D:$AM, 21, FALSE) / VLOOKUP("electricity|PM25|Premature mortality", US_national_yearly!$D:$AM, 10, FALSE), 1)</f>
        <v>6.3749748428472933E-2</v>
      </c>
      <c r="N2" s="7">
        <f>$B2 * IFERROR(VLOOKUP("electricity|PM25|Premature mortality", US_national_yearly!$D:$AM, 22, FALSE) / VLOOKUP("electricity|PM25|Premature mortality", US_national_yearly!$D:$AM, 10, FALSE), 1)</f>
        <v>6.4453704969186024E-2</v>
      </c>
      <c r="O2" s="7">
        <f>$B2 * IFERROR(VLOOKUP("electricity|PM25|Premature mortality", US_national_yearly!$D:$AM, 23, FALSE) / VLOOKUP("electricity|PM25|Premature mortality", US_national_yearly!$D:$AM, 10, FALSE), 1)</f>
        <v>6.5157661509899101E-2</v>
      </c>
      <c r="P2" s="7">
        <f>$B2 * IFERROR(VLOOKUP("electricity|PM25|Premature mortality", US_national_yearly!$D:$AM, 24, FALSE) / VLOOKUP("electricity|PM25|Premature mortality", US_national_yearly!$D:$AM, 10, FALSE), 1)</f>
        <v>6.5861618050612192E-2</v>
      </c>
      <c r="Q2" s="7">
        <f>$B2 * IFERROR(VLOOKUP("electricity|PM25|Premature mortality", US_national_yearly!$D:$AM, 25, FALSE) / VLOOKUP("electricity|PM25|Premature mortality", US_national_yearly!$D:$AM, 10, FALSE), 1)</f>
        <v>6.6565574591325269E-2</v>
      </c>
      <c r="R2" s="7">
        <f>$B2 * IFERROR(VLOOKUP("electricity|PM25|Premature mortality", US_national_yearly!$D:$AM, 26, FALSE) / VLOOKUP("electricity|PM25|Premature mortality", US_national_yearly!$D:$AM, 10, FALSE), 1)</f>
        <v>6.726953113203836E-2</v>
      </c>
      <c r="S2" s="7">
        <f>$B2 * IFERROR(VLOOKUP("electricity|PM25|Premature mortality", US_national_yearly!$D:$AM, 27, FALSE) / VLOOKUP("electricity|PM25|Premature mortality", US_national_yearly!$D:$AM, 10, FALSE), 1)</f>
        <v>6.7672338837664159E-2</v>
      </c>
      <c r="T2" s="7">
        <f>$B2 * IFERROR(VLOOKUP("electricity|PM25|Premature mortality", US_national_yearly!$D:$AM, 28, FALSE) / VLOOKUP("electricity|PM25|Premature mortality", US_national_yearly!$D:$AM, 10, FALSE), 1)</f>
        <v>6.8075146543289944E-2</v>
      </c>
      <c r="U2" s="7">
        <f>$B2 * IFERROR(VLOOKUP("electricity|PM25|Premature mortality", US_national_yearly!$D:$AM, 29, FALSE) / VLOOKUP("electricity|PM25|Premature mortality", US_national_yearly!$D:$AM, 10, FALSE), 1)</f>
        <v>6.8477954248915757E-2</v>
      </c>
      <c r="V2" s="7">
        <f>$B2 * IFERROR(VLOOKUP("electricity|PM25|Premature mortality", US_national_yearly!$D:$AM, 30, FALSE) / VLOOKUP("electricity|PM25|Premature mortality", US_national_yearly!$D:$AM, 10, FALSE), 1)</f>
        <v>6.8880761954541542E-2</v>
      </c>
      <c r="W2" s="7">
        <f>$B2 * IFERROR(VLOOKUP("electricity|PM25|Premature mortality", US_national_yearly!$D:$AM, 31, FALSE) / VLOOKUP("electricity|PM25|Premature mortality", US_national_yearly!$D:$AM, 10, FALSE), 1)</f>
        <v>6.9283569660167341E-2</v>
      </c>
      <c r="X2" s="7">
        <f>$B2 * IFERROR(VLOOKUP("electricity|PM25|Premature mortality", US_national_yearly!$D:$AM, 32, FALSE) / VLOOKUP("electricity|PM25|Premature mortality", US_national_yearly!$D:$AM, 10, FALSE), 1)</f>
        <v>6.9395467036399608E-2</v>
      </c>
      <c r="Y2" s="7">
        <f>$B2 * IFERROR(VLOOKUP("electricity|PM25|Premature mortality", US_national_yearly!$D:$AM, 33, FALSE) / VLOOKUP("electricity|PM25|Premature mortality", US_national_yearly!$D:$AM, 10, FALSE), 1)</f>
        <v>6.9507364412631875E-2</v>
      </c>
      <c r="Z2" s="7">
        <f>$B2 * IFERROR(VLOOKUP("electricity|PM25|Premature mortality", US_national_yearly!$D:$AM, 34, FALSE) / VLOOKUP("electricity|PM25|Premature mortality", US_national_yearly!$D:$AM, 10, FALSE), 1)</f>
        <v>6.9619261788864142E-2</v>
      </c>
      <c r="AA2" s="7">
        <f>$B2 * IFERROR(VLOOKUP("electricity|PM25|Premature mortality", US_national_yearly!$D:$AM, 35, FALSE) / VLOOKUP("electricity|PM25|Premature mortality", US_national_yearly!$D:$AM, 10, FALSE), 1)</f>
        <v>6.9731159165096424E-2</v>
      </c>
      <c r="AB2" s="7">
        <f>$B2 * IFERROR(VLOOKUP("electricity|PM25|Premature mortality", US_national_yearly!$D:$AM, 36, FALSE) / VLOOKUP("electricity|PM25|Premature mortality", US_national_yearly!$D:$AM, 10, FALSE), 1)</f>
        <v>6.9843056541328705E-2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9.5505134261800179E-5</v>
      </c>
      <c r="C3" s="7">
        <f>$B3 * IFERROR(VLOOKUP("electricity|PM25|Infant mortality", US_national_yearly!$D:$AM, 11, FALSE) / VLOOKUP("electricity|PM25|Infant mortality", US_national_yearly!$D:$AM, 10, FALSE), 1)</f>
        <v>9.4672998267544153E-5</v>
      </c>
      <c r="D3" s="7">
        <f>$B3 * IFERROR(VLOOKUP("electricity|PM25|Infant mortality", US_national_yearly!$D:$AM, 12, FALSE) / VLOOKUP("electricity|PM25|Infant mortality", US_national_yearly!$D:$AM, 10, FALSE), 1)</f>
        <v>9.3840862273288141E-5</v>
      </c>
      <c r="E3" s="7">
        <f>$B3 * IFERROR(VLOOKUP("electricity|PM25|Infant mortality", US_national_yearly!$D:$AM, 13, FALSE) / VLOOKUP("electricity|PM25|Infant mortality", US_national_yearly!$D:$AM, 10, FALSE), 1)</f>
        <v>9.3008726279032115E-5</v>
      </c>
      <c r="F3" s="7">
        <f>$B3 * IFERROR(VLOOKUP("electricity|PM25|Infant mortality", US_national_yearly!$D:$AM, 14, FALSE) / VLOOKUP("electricity|PM25|Infant mortality", US_national_yearly!$D:$AM, 10, FALSE), 1)</f>
        <v>9.2176590284776075E-5</v>
      </c>
      <c r="G3" s="7">
        <f>$B3 * IFERROR(VLOOKUP("electricity|PM25|Infant mortality", US_national_yearly!$D:$AM, 15, FALSE) / VLOOKUP("electricity|PM25|Infant mortality", US_national_yearly!$D:$AM, 10, FALSE), 1)</f>
        <v>6.1128641678581013E-5</v>
      </c>
      <c r="H3" s="7">
        <f>$B3 * IFERROR(VLOOKUP("electricity|PM25|Infant mortality", US_national_yearly!$D:$AM, 16, FALSE) / VLOOKUP("electricity|PM25|Infant mortality", US_national_yearly!$D:$AM, 10, FALSE), 1)</f>
        <v>3.0080693072385957E-5</v>
      </c>
      <c r="I3" s="7">
        <f>$B3 * IFERROR(VLOOKUP("electricity|PM25|Infant mortality", US_national_yearly!$D:$AM, 17, FALSE) / VLOOKUP("electricity|PM25|Infant mortality", US_national_yearly!$D:$AM, 10, FALSE), 1)</f>
        <v>2.98683095955893E-5</v>
      </c>
      <c r="J3" s="7">
        <f>$B3 * IFERROR(VLOOKUP("electricity|PM25|Infant mortality", US_national_yearly!$D:$AM, 18, FALSE) / VLOOKUP("electricity|PM25|Infant mortality", US_national_yearly!$D:$AM, 10, FALSE), 1)</f>
        <v>2.9655926118792654E-5</v>
      </c>
      <c r="K3" s="7">
        <f>$B3 * IFERROR(VLOOKUP("electricity|PM25|Infant mortality", US_national_yearly!$D:$AM, 19, FALSE) / VLOOKUP("electricity|PM25|Infant mortality", US_national_yearly!$D:$AM, 10, FALSE), 1)</f>
        <v>2.9443542641996E-5</v>
      </c>
      <c r="L3" s="7">
        <f>$B3 * IFERROR(VLOOKUP("electricity|PM25|Infant mortality", US_national_yearly!$D:$AM, 20, FALSE) / VLOOKUP("electricity|PM25|Infant mortality", US_national_yearly!$D:$AM, 10, FALSE), 1)</f>
        <v>2.9231159165199346E-5</v>
      </c>
      <c r="M3" s="7">
        <f>$B3 * IFERROR(VLOOKUP("electricity|PM25|Infant mortality", US_national_yearly!$D:$AM, 21, FALSE) / VLOOKUP("electricity|PM25|Infant mortality", US_national_yearly!$D:$AM, 10, FALSE), 1)</f>
        <v>2.9018775688402696E-5</v>
      </c>
      <c r="N3" s="7">
        <f>$B3 * IFERROR(VLOOKUP("electricity|PM25|Infant mortality", US_national_yearly!$D:$AM, 22, FALSE) / VLOOKUP("electricity|PM25|Infant mortality", US_national_yearly!$D:$AM, 10, FALSE), 1)</f>
        <v>2.8882184915157993E-5</v>
      </c>
      <c r="O3" s="7">
        <f>$B3 * IFERROR(VLOOKUP("electricity|PM25|Infant mortality", US_national_yearly!$D:$AM, 23, FALSE) / VLOOKUP("electricity|PM25|Infant mortality", US_national_yearly!$D:$AM, 10, FALSE), 1)</f>
        <v>2.8745594141913287E-5</v>
      </c>
      <c r="P3" s="7">
        <f>$B3 * IFERROR(VLOOKUP("electricity|PM25|Infant mortality", US_national_yearly!$D:$AM, 24, FALSE) / VLOOKUP("electricity|PM25|Infant mortality", US_national_yearly!$D:$AM, 10, FALSE), 1)</f>
        <v>2.8609003368668578E-5</v>
      </c>
      <c r="Q3" s="7">
        <f>$B3 * IFERROR(VLOOKUP("electricity|PM25|Infant mortality", US_national_yearly!$D:$AM, 25, FALSE) / VLOOKUP("electricity|PM25|Infant mortality", US_national_yearly!$D:$AM, 10, FALSE), 1)</f>
        <v>2.8472412595423875E-5</v>
      </c>
      <c r="R3" s="7">
        <f>$B3 * IFERROR(VLOOKUP("electricity|PM25|Infant mortality", US_national_yearly!$D:$AM, 26, FALSE) / VLOOKUP("electricity|PM25|Infant mortality", US_national_yearly!$D:$AM, 10, FALSE), 1)</f>
        <v>2.8335821822179166E-5</v>
      </c>
      <c r="S3" s="7">
        <f>$B3 * IFERROR(VLOOKUP("electricity|PM25|Infant mortality", US_national_yearly!$D:$AM, 27, FALSE) / VLOOKUP("electricity|PM25|Infant mortality", US_national_yearly!$D:$AM, 10, FALSE), 1)</f>
        <v>2.8172183023503953E-5</v>
      </c>
      <c r="T3" s="7">
        <f>$B3 * IFERROR(VLOOKUP("electricity|PM25|Infant mortality", US_national_yearly!$D:$AM, 28, FALSE) / VLOOKUP("electricity|PM25|Infant mortality", US_national_yearly!$D:$AM, 10, FALSE), 1)</f>
        <v>2.8008544224828743E-5</v>
      </c>
      <c r="U3" s="7">
        <f>$B3 * IFERROR(VLOOKUP("electricity|PM25|Infant mortality", US_national_yearly!$D:$AM, 29, FALSE) / VLOOKUP("electricity|PM25|Infant mortality", US_national_yearly!$D:$AM, 10, FALSE), 1)</f>
        <v>2.7844905426153533E-5</v>
      </c>
      <c r="V3" s="7">
        <f>$B3 * IFERROR(VLOOKUP("electricity|PM25|Infant mortality", US_national_yearly!$D:$AM, 30, FALSE) / VLOOKUP("electricity|PM25|Infant mortality", US_national_yearly!$D:$AM, 10, FALSE), 1)</f>
        <v>2.7681266627478323E-5</v>
      </c>
      <c r="W3" s="7">
        <f>$B3 * IFERROR(VLOOKUP("electricity|PM25|Infant mortality", US_national_yearly!$D:$AM, 31, FALSE) / VLOOKUP("electricity|PM25|Infant mortality", US_national_yearly!$D:$AM, 10, FALSE), 1)</f>
        <v>2.751762782880311E-5</v>
      </c>
      <c r="X3" s="7">
        <f>$B3 * IFERROR(VLOOKUP("electricity|PM25|Infant mortality", US_national_yearly!$D:$AM, 32, FALSE) / VLOOKUP("electricity|PM25|Infant mortality", US_national_yearly!$D:$AM, 10, FALSE), 1)</f>
        <v>2.7348527561610174E-5</v>
      </c>
      <c r="Y3" s="7">
        <f>$B3 * IFERROR(VLOOKUP("electricity|PM25|Infant mortality", US_national_yearly!$D:$AM, 33, FALSE) / VLOOKUP("electricity|PM25|Infant mortality", US_national_yearly!$D:$AM, 10, FALSE), 1)</f>
        <v>2.7179427294417238E-5</v>
      </c>
      <c r="Z3" s="7">
        <f>$B3 * IFERROR(VLOOKUP("electricity|PM25|Infant mortality", US_national_yearly!$D:$AM, 34, FALSE) / VLOOKUP("electricity|PM25|Infant mortality", US_national_yearly!$D:$AM, 10, FALSE), 1)</f>
        <v>2.7010327027224305E-5</v>
      </c>
      <c r="AA3" s="7">
        <f>$B3 * IFERROR(VLOOKUP("electricity|PM25|Infant mortality", US_national_yearly!$D:$AM, 35, FALSE) / VLOOKUP("electricity|PM25|Infant mortality", US_national_yearly!$D:$AM, 10, FALSE), 1)</f>
        <v>2.6841226760031368E-5</v>
      </c>
      <c r="AB3" s="7">
        <f>$B3 * IFERROR(VLOOKUP("electricity|PM25|Infant mortality", US_national_yearly!$D:$AM, 36, FALSE) / VLOOKUP("electricity|PM25|Infant mortality", US_national_yearly!$D:$AM, 10, FALSE), 1)</f>
        <v>2.6672126492838432E-5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0.14657057156462155</v>
      </c>
      <c r="C6" s="7">
        <f>$B6 * IFERROR(VLOOKUP("electricity|PM25|Asthma symptoms cough", US_national_yearly!$D:$AM, 11, FALSE) / VLOOKUP("electricity|PM25|Asthma symptoms cough", US_national_yearly!$D:$AM, 10, FALSE), 1)</f>
        <v>0.14657057156462155</v>
      </c>
      <c r="D6" s="7">
        <f>$B6 * IFERROR(VLOOKUP("electricity|PM25|Asthma symptoms cough", US_national_yearly!$D:$AM, 12, FALSE) / VLOOKUP("electricity|PM25|Asthma symptoms cough", US_national_yearly!$D:$AM, 10, FALSE), 1)</f>
        <v>0.14657057156462155</v>
      </c>
      <c r="E6" s="7">
        <f>$B6 * IFERROR(VLOOKUP("electricity|PM25|Asthma symptoms cough", US_national_yearly!$D:$AM, 13, FALSE) / VLOOKUP("electricity|PM25|Asthma symptoms cough", US_national_yearly!$D:$AM, 10, FALSE), 1)</f>
        <v>0.14657057156462155</v>
      </c>
      <c r="F6" s="7">
        <f>$B6 * IFERROR(VLOOKUP("electricity|PM25|Asthma symptoms cough", US_national_yearly!$D:$AM, 14, FALSE) / VLOOKUP("electricity|PM25|Asthma symptoms cough", US_national_yearly!$D:$AM, 10, FALSE), 1)</f>
        <v>0.14657057156462155</v>
      </c>
      <c r="G6" s="7">
        <f>$B6 * IFERROR(VLOOKUP("electricity|PM25|Asthma symptoms cough", US_national_yearly!$D:$AM, 15, FALSE) / VLOOKUP("electricity|PM25|Asthma symptoms cough", US_national_yearly!$D:$AM, 10, FALSE), 1)</f>
        <v>0.14657057156462155</v>
      </c>
      <c r="H6" s="7">
        <f>$B6 * IFERROR(VLOOKUP("electricity|PM25|Asthma symptoms cough", US_national_yearly!$D:$AM, 16, FALSE) / VLOOKUP("electricity|PM25|Asthma symptoms cough", US_national_yearly!$D:$AM, 10, FALSE), 1)</f>
        <v>0.14657057156462155</v>
      </c>
      <c r="I6" s="7">
        <f>$B6 * IFERROR(VLOOKUP("electricity|PM25|Asthma symptoms cough", US_national_yearly!$D:$AM, 17, FALSE) / VLOOKUP("electricity|PM25|Asthma symptoms cough", US_national_yearly!$D:$AM, 10, FALSE), 1)</f>
        <v>0.14657057156462155</v>
      </c>
      <c r="J6" s="7">
        <f>$B6 * IFERROR(VLOOKUP("electricity|PM25|Asthma symptoms cough", US_national_yearly!$D:$AM, 18, FALSE) / VLOOKUP("electricity|PM25|Asthma symptoms cough", US_national_yearly!$D:$AM, 10, FALSE), 1)</f>
        <v>0.14657057156462155</v>
      </c>
      <c r="K6" s="7">
        <f>$B6 * IFERROR(VLOOKUP("electricity|PM25|Asthma symptoms cough", US_national_yearly!$D:$AM, 19, FALSE) / VLOOKUP("electricity|PM25|Asthma symptoms cough", US_national_yearly!$D:$AM, 10, FALSE), 1)</f>
        <v>0.14657057156462155</v>
      </c>
      <c r="L6" s="7">
        <f>$B6 * IFERROR(VLOOKUP("electricity|PM25|Asthma symptoms cough", US_national_yearly!$D:$AM, 20, FALSE) / VLOOKUP("electricity|PM25|Asthma symptoms cough", US_national_yearly!$D:$AM, 10, FALSE), 1)</f>
        <v>0.14657057156462155</v>
      </c>
      <c r="M6" s="7">
        <f>$B6 * IFERROR(VLOOKUP("electricity|PM25|Asthma symptoms cough", US_national_yearly!$D:$AM, 21, FALSE) / VLOOKUP("electricity|PM25|Asthma symptoms cough", US_national_yearly!$D:$AM, 10, FALSE), 1)</f>
        <v>0.14657057156462155</v>
      </c>
      <c r="N6" s="7">
        <f>$B6 * IFERROR(VLOOKUP("electricity|PM25|Asthma symptoms cough", US_national_yearly!$D:$AM, 22, FALSE) / VLOOKUP("electricity|PM25|Asthma symptoms cough", US_national_yearly!$D:$AM, 10, FALSE), 1)</f>
        <v>0.14657057156462155</v>
      </c>
      <c r="O6" s="7">
        <f>$B6 * IFERROR(VLOOKUP("electricity|PM25|Asthma symptoms cough", US_national_yearly!$D:$AM, 23, FALSE) / VLOOKUP("electricity|PM25|Asthma symptoms cough", US_national_yearly!$D:$AM, 10, FALSE), 1)</f>
        <v>0.14657057156462155</v>
      </c>
      <c r="P6" s="7">
        <f>$B6 * IFERROR(VLOOKUP("electricity|PM25|Asthma symptoms cough", US_national_yearly!$D:$AM, 24, FALSE) / VLOOKUP("electricity|PM25|Asthma symptoms cough", US_national_yearly!$D:$AM, 10, FALSE), 1)</f>
        <v>0.14657057156462155</v>
      </c>
      <c r="Q6" s="7">
        <f>$B6 * IFERROR(VLOOKUP("electricity|PM25|Asthma symptoms cough", US_national_yearly!$D:$AM, 25, FALSE) / VLOOKUP("electricity|PM25|Asthma symptoms cough", US_national_yearly!$D:$AM, 10, FALSE), 1)</f>
        <v>0.14657057156462155</v>
      </c>
      <c r="R6" s="7">
        <f>$B6 * IFERROR(VLOOKUP("electricity|PM25|Asthma symptoms cough", US_national_yearly!$D:$AM, 26, FALSE) / VLOOKUP("electricity|PM25|Asthma symptoms cough", US_national_yearly!$D:$AM, 10, FALSE), 1)</f>
        <v>0.14657057156462155</v>
      </c>
      <c r="S6" s="7">
        <f>$B6 * IFERROR(VLOOKUP("electricity|PM25|Asthma symptoms cough", US_national_yearly!$D:$AM, 27, FALSE) / VLOOKUP("electricity|PM25|Asthma symptoms cough", US_national_yearly!$D:$AM, 10, FALSE), 1)</f>
        <v>0.14657057156462155</v>
      </c>
      <c r="T6" s="7">
        <f>$B6 * IFERROR(VLOOKUP("electricity|PM25|Asthma symptoms cough", US_national_yearly!$D:$AM, 28, FALSE) / VLOOKUP("electricity|PM25|Asthma symptoms cough", US_national_yearly!$D:$AM, 10, FALSE), 1)</f>
        <v>0.14657057156462155</v>
      </c>
      <c r="U6" s="7">
        <f>$B6 * IFERROR(VLOOKUP("electricity|PM25|Asthma symptoms cough", US_national_yearly!$D:$AM, 29, FALSE) / VLOOKUP("electricity|PM25|Asthma symptoms cough", US_national_yearly!$D:$AM, 10, FALSE), 1)</f>
        <v>0.14657057156462155</v>
      </c>
      <c r="V6" s="7">
        <f>$B6 * IFERROR(VLOOKUP("electricity|PM25|Asthma symptoms cough", US_national_yearly!$D:$AM, 30, FALSE) / VLOOKUP("electricity|PM25|Asthma symptoms cough", US_national_yearly!$D:$AM, 10, FALSE), 1)</f>
        <v>0.14657057156462155</v>
      </c>
      <c r="W6" s="7">
        <f>$B6 * IFERROR(VLOOKUP("electricity|PM25|Asthma symptoms cough", US_national_yearly!$D:$AM, 31, FALSE) / VLOOKUP("electricity|PM25|Asthma symptoms cough", US_national_yearly!$D:$AM, 10, FALSE), 1)</f>
        <v>0.14657057156462155</v>
      </c>
      <c r="X6" s="7">
        <f>$B6 * IFERROR(VLOOKUP("electricity|PM25|Asthma symptoms cough", US_national_yearly!$D:$AM, 32, FALSE) / VLOOKUP("electricity|PM25|Asthma symptoms cough", US_national_yearly!$D:$AM, 10, FALSE), 1)</f>
        <v>0.14657057156462155</v>
      </c>
      <c r="Y6" s="7">
        <f>$B6 * IFERROR(VLOOKUP("electricity|PM25|Asthma symptoms cough", US_national_yearly!$D:$AM, 33, FALSE) / VLOOKUP("electricity|PM25|Asthma symptoms cough", US_national_yearly!$D:$AM, 10, FALSE), 1)</f>
        <v>0.14657057156462155</v>
      </c>
      <c r="Z6" s="7">
        <f>$B6 * IFERROR(VLOOKUP("electricity|PM25|Asthma symptoms cough", US_national_yearly!$D:$AM, 34, FALSE) / VLOOKUP("electricity|PM25|Asthma symptoms cough", US_national_yearly!$D:$AM, 10, FALSE), 1)</f>
        <v>0.14657057156462155</v>
      </c>
      <c r="AA6" s="7">
        <f>$B6 * IFERROR(VLOOKUP("electricity|PM25|Asthma symptoms cough", US_national_yearly!$D:$AM, 35, FALSE) / VLOOKUP("electricity|PM25|Asthma symptoms cough", US_national_yearly!$D:$AM, 10, FALSE), 1)</f>
        <v>0.14657057156462155</v>
      </c>
      <c r="AB6" s="7">
        <f>$B6 * IFERROR(VLOOKUP("electricity|PM25|Asthma symptoms cough", US_national_yearly!$D:$AM, 36, FALSE) / VLOOKUP("electricity|PM25|Asthma symptoms cough", US_national_yearly!$D:$AM, 10, FALSE), 1)</f>
        <v>0.14657057156462155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0.19737571072848906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0.19737571072848906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0.19737571072848906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0.19737571072848906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0.19737571072848906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0.19737571072848906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0.19737571072848906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0.19737571072848906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0.19737571072848906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0.19737571072848906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0.19737571072848906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0.19737571072848906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0.19737571072848906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0.19737571072848906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0.19737571072848906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0.19737571072848906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0.19737571072848906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0.19737571072848906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0.19737571072848906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0.19737571072848906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0.19737571072848906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0.19737571072848906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0.19737571072848906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0.19737571072848906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0.19737571072848906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0.19737571072848906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0.19737571072848906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0.30156673473758616</v>
      </c>
      <c r="C8" s="7">
        <f>$B8 * IFERROR(VLOOKUP("electricity|PM25|Asthma symptoms wheeze", US_national_yearly!$D:$AM, 11, FALSE) / VLOOKUP("electricity|PM25|Asthma symptoms wheeze", US_national_yearly!$D:$AM, 10, FALSE), 1)</f>
        <v>0.30156673473758616</v>
      </c>
      <c r="D8" s="7">
        <f>$B8 * IFERROR(VLOOKUP("electricity|PM25|Asthma symptoms wheeze", US_national_yearly!$D:$AM, 12, FALSE) / VLOOKUP("electricity|PM25|Asthma symptoms wheeze", US_national_yearly!$D:$AM, 10, FALSE), 1)</f>
        <v>0.30156673473758616</v>
      </c>
      <c r="E8" s="7">
        <f>$B8 * IFERROR(VLOOKUP("electricity|PM25|Asthma symptoms wheeze", US_national_yearly!$D:$AM, 13, FALSE) / VLOOKUP("electricity|PM25|Asthma symptoms wheeze", US_national_yearly!$D:$AM, 10, FALSE), 1)</f>
        <v>0.30156673473758616</v>
      </c>
      <c r="F8" s="7">
        <f>$B8 * IFERROR(VLOOKUP("electricity|PM25|Asthma symptoms wheeze", US_national_yearly!$D:$AM, 14, FALSE) / VLOOKUP("electricity|PM25|Asthma symptoms wheeze", US_national_yearly!$D:$AM, 10, FALSE), 1)</f>
        <v>0.30156673473758616</v>
      </c>
      <c r="G8" s="7">
        <f>$B8 * IFERROR(VLOOKUP("electricity|PM25|Asthma symptoms wheeze", US_national_yearly!$D:$AM, 15, FALSE) / VLOOKUP("electricity|PM25|Asthma symptoms wheeze", US_national_yearly!$D:$AM, 10, FALSE), 1)</f>
        <v>0.30156673473758616</v>
      </c>
      <c r="H8" s="7">
        <f>$B8 * IFERROR(VLOOKUP("electricity|PM25|Asthma symptoms wheeze", US_national_yearly!$D:$AM, 16, FALSE) / VLOOKUP("electricity|PM25|Asthma symptoms wheeze", US_national_yearly!$D:$AM, 10, FALSE), 1)</f>
        <v>0.30156673473758616</v>
      </c>
      <c r="I8" s="7">
        <f>$B8 * IFERROR(VLOOKUP("electricity|PM25|Asthma symptoms wheeze", US_national_yearly!$D:$AM, 17, FALSE) / VLOOKUP("electricity|PM25|Asthma symptoms wheeze", US_national_yearly!$D:$AM, 10, FALSE), 1)</f>
        <v>0.30156673473758616</v>
      </c>
      <c r="J8" s="7">
        <f>$B8 * IFERROR(VLOOKUP("electricity|PM25|Asthma symptoms wheeze", US_national_yearly!$D:$AM, 18, FALSE) / VLOOKUP("electricity|PM25|Asthma symptoms wheeze", US_national_yearly!$D:$AM, 10, FALSE), 1)</f>
        <v>0.30156673473758616</v>
      </c>
      <c r="K8" s="7">
        <f>$B8 * IFERROR(VLOOKUP("electricity|PM25|Asthma symptoms wheeze", US_national_yearly!$D:$AM, 19, FALSE) / VLOOKUP("electricity|PM25|Asthma symptoms wheeze", US_national_yearly!$D:$AM, 10, FALSE), 1)</f>
        <v>0.30156673473758616</v>
      </c>
      <c r="L8" s="7">
        <f>$B8 * IFERROR(VLOOKUP("electricity|PM25|Asthma symptoms wheeze", US_national_yearly!$D:$AM, 20, FALSE) / VLOOKUP("electricity|PM25|Asthma symptoms wheeze", US_national_yearly!$D:$AM, 10, FALSE), 1)</f>
        <v>0.30156673473758616</v>
      </c>
      <c r="M8" s="7">
        <f>$B8 * IFERROR(VLOOKUP("electricity|PM25|Asthma symptoms wheeze", US_national_yearly!$D:$AM, 21, FALSE) / VLOOKUP("electricity|PM25|Asthma symptoms wheeze", US_national_yearly!$D:$AM, 10, FALSE), 1)</f>
        <v>0.30156673473758616</v>
      </c>
      <c r="N8" s="7">
        <f>$B8 * IFERROR(VLOOKUP("electricity|PM25|Asthma symptoms wheeze", US_national_yearly!$D:$AM, 22, FALSE) / VLOOKUP("electricity|PM25|Asthma symptoms wheeze", US_national_yearly!$D:$AM, 10, FALSE), 1)</f>
        <v>0.30156673473758616</v>
      </c>
      <c r="O8" s="7">
        <f>$B8 * IFERROR(VLOOKUP("electricity|PM25|Asthma symptoms wheeze", US_national_yearly!$D:$AM, 23, FALSE) / VLOOKUP("electricity|PM25|Asthma symptoms wheeze", US_national_yearly!$D:$AM, 10, FALSE), 1)</f>
        <v>0.30156673473758616</v>
      </c>
      <c r="P8" s="7">
        <f>$B8 * IFERROR(VLOOKUP("electricity|PM25|Asthma symptoms wheeze", US_national_yearly!$D:$AM, 24, FALSE) / VLOOKUP("electricity|PM25|Asthma symptoms wheeze", US_national_yearly!$D:$AM, 10, FALSE), 1)</f>
        <v>0.30156673473758616</v>
      </c>
      <c r="Q8" s="7">
        <f>$B8 * IFERROR(VLOOKUP("electricity|PM25|Asthma symptoms wheeze", US_national_yearly!$D:$AM, 25, FALSE) / VLOOKUP("electricity|PM25|Asthma symptoms wheeze", US_national_yearly!$D:$AM, 10, FALSE), 1)</f>
        <v>0.30156673473758616</v>
      </c>
      <c r="R8" s="7">
        <f>$B8 * IFERROR(VLOOKUP("electricity|PM25|Asthma symptoms wheeze", US_national_yearly!$D:$AM, 26, FALSE) / VLOOKUP("electricity|PM25|Asthma symptoms wheeze", US_national_yearly!$D:$AM, 10, FALSE), 1)</f>
        <v>0.30156673473758616</v>
      </c>
      <c r="S8" s="7">
        <f>$B8 * IFERROR(VLOOKUP("electricity|PM25|Asthma symptoms wheeze", US_national_yearly!$D:$AM, 27, FALSE) / VLOOKUP("electricity|PM25|Asthma symptoms wheeze", US_national_yearly!$D:$AM, 10, FALSE), 1)</f>
        <v>0.30156673473758616</v>
      </c>
      <c r="T8" s="7">
        <f>$B8 * IFERROR(VLOOKUP("electricity|PM25|Asthma symptoms wheeze", US_national_yearly!$D:$AM, 28, FALSE) / VLOOKUP("electricity|PM25|Asthma symptoms wheeze", US_national_yearly!$D:$AM, 10, FALSE), 1)</f>
        <v>0.30156673473758616</v>
      </c>
      <c r="U8" s="7">
        <f>$B8 * IFERROR(VLOOKUP("electricity|PM25|Asthma symptoms wheeze", US_national_yearly!$D:$AM, 29, FALSE) / VLOOKUP("electricity|PM25|Asthma symptoms wheeze", US_national_yearly!$D:$AM, 10, FALSE), 1)</f>
        <v>0.30156673473758616</v>
      </c>
      <c r="V8" s="7">
        <f>$B8 * IFERROR(VLOOKUP("electricity|PM25|Asthma symptoms wheeze", US_national_yearly!$D:$AM, 30, FALSE) / VLOOKUP("electricity|PM25|Asthma symptoms wheeze", US_national_yearly!$D:$AM, 10, FALSE), 1)</f>
        <v>0.30156673473758616</v>
      </c>
      <c r="W8" s="7">
        <f>$B8 * IFERROR(VLOOKUP("electricity|PM25|Asthma symptoms wheeze", US_national_yearly!$D:$AM, 31, FALSE) / VLOOKUP("electricity|PM25|Asthma symptoms wheeze", US_national_yearly!$D:$AM, 10, FALSE), 1)</f>
        <v>0.30156673473758616</v>
      </c>
      <c r="X8" s="7">
        <f>$B8 * IFERROR(VLOOKUP("electricity|PM25|Asthma symptoms wheeze", US_national_yearly!$D:$AM, 32, FALSE) / VLOOKUP("electricity|PM25|Asthma symptoms wheeze", US_national_yearly!$D:$AM, 10, FALSE), 1)</f>
        <v>0.30156673473758616</v>
      </c>
      <c r="Y8" s="7">
        <f>$B8 * IFERROR(VLOOKUP("electricity|PM25|Asthma symptoms wheeze", US_national_yearly!$D:$AM, 33, FALSE) / VLOOKUP("electricity|PM25|Asthma symptoms wheeze", US_national_yearly!$D:$AM, 10, FALSE), 1)</f>
        <v>0.30156673473758616</v>
      </c>
      <c r="Z8" s="7">
        <f>$B8 * IFERROR(VLOOKUP("electricity|PM25|Asthma symptoms wheeze", US_national_yearly!$D:$AM, 34, FALSE) / VLOOKUP("electricity|PM25|Asthma symptoms wheeze", US_national_yearly!$D:$AM, 10, FALSE), 1)</f>
        <v>0.30156673473758616</v>
      </c>
      <c r="AA8" s="7">
        <f>$B8 * IFERROR(VLOOKUP("electricity|PM25|Asthma symptoms wheeze", US_national_yearly!$D:$AM, 35, FALSE) / VLOOKUP("electricity|PM25|Asthma symptoms wheeze", US_national_yearly!$D:$AM, 10, FALSE), 1)</f>
        <v>0.30156673473758616</v>
      </c>
      <c r="AB8" s="7">
        <f>$B8 * IFERROR(VLOOKUP("electricity|PM25|Asthma symptoms wheeze", US_national_yearly!$D:$AM, 36, FALSE) / VLOOKUP("electricity|PM25|Asthma symptoms wheeze", US_national_yearly!$D:$AM, 10, FALSE), 1)</f>
        <v>0.30156673473758616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3.6368864447239566E-3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3.6568743298639778E-3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3.676862215003998E-3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3.69685010014402E-3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3.7168379852840407E-3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3.7382645068375314E-3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3.7596910283910225E-3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3.7788334364887485E-3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3.7979758445864736E-3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3.8171182526841991E-3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3.8362606607819242E-3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3.8554030688796501E-3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3.8683153028756488E-3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3.8812275368716484E-3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3.8941397708676479E-3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3.9070520048636462E-3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3.9199642388596462E-3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3.9319966351441735E-3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3.9440290314286999E-3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3.9560614277132262E-3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3.9680938239977526E-3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3.980126220282279E-3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3.9920239688122638E-3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4.0039217173422478E-3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4.0158194658722326E-3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4.0277172144022166E-3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4.0396149629322023E-3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2.6414538250543282E-2</v>
      </c>
      <c r="C13" s="7">
        <f>$B13 * IFERROR(VLOOKUP("electricity|PM25|Non-fatal heart attacks", US_national_yearly!$D:$AM, 11, FALSE) / VLOOKUP("electricity|PM25|Non-fatal heart attacks", US_national_yearly!$D:$AM, 10, FALSE), 1)</f>
        <v>2.717963064449215E-2</v>
      </c>
      <c r="D13" s="7">
        <f>$B13 * IFERROR(VLOOKUP("electricity|PM25|Non-fatal heart attacks", US_national_yearly!$D:$AM, 12, FALSE) / VLOOKUP("electricity|PM25|Non-fatal heart attacks", US_national_yearly!$D:$AM, 10, FALSE), 1)</f>
        <v>2.7944723038441019E-2</v>
      </c>
      <c r="E13" s="7">
        <f>$B13 * IFERROR(VLOOKUP("electricity|PM25|Non-fatal heart attacks", US_national_yearly!$D:$AM, 13, FALSE) / VLOOKUP("electricity|PM25|Non-fatal heart attacks", US_national_yearly!$D:$AM, 10, FALSE), 1)</f>
        <v>2.870981543238988E-2</v>
      </c>
      <c r="F13" s="7">
        <f>$B13 * IFERROR(VLOOKUP("electricity|PM25|Non-fatal heart attacks", US_national_yearly!$D:$AM, 14, FALSE) / VLOOKUP("electricity|PM25|Non-fatal heart attacks", US_national_yearly!$D:$AM, 10, FALSE), 1)</f>
        <v>2.9474907826338749E-2</v>
      </c>
      <c r="G13" s="7">
        <f>$B13 * IFERROR(VLOOKUP("electricity|PM25|Non-fatal heart attacks", US_national_yearly!$D:$AM, 15, FALSE) / VLOOKUP("electricity|PM25|Non-fatal heart attacks", US_national_yearly!$D:$AM, 10, FALSE), 1)</f>
        <v>3.0201108275432383E-2</v>
      </c>
      <c r="H13" s="7">
        <f>$B13 * IFERROR(VLOOKUP("electricity|PM25|Non-fatal heart attacks", US_national_yearly!$D:$AM, 16, FALSE) / VLOOKUP("electricity|PM25|Non-fatal heart attacks", US_national_yearly!$D:$AM, 10, FALSE), 1)</f>
        <v>3.0927308724526013E-2</v>
      </c>
      <c r="I13" s="7">
        <f>$B13 * IFERROR(VLOOKUP("electricity|PM25|Non-fatal heart attacks", US_national_yearly!$D:$AM, 17, FALSE) / VLOOKUP("electricity|PM25|Non-fatal heart attacks", US_national_yearly!$D:$AM, 10, FALSE), 1)</f>
        <v>3.1519802558963209E-2</v>
      </c>
      <c r="J13" s="7">
        <f>$B13 * IFERROR(VLOOKUP("electricity|PM25|Non-fatal heart attacks", US_national_yearly!$D:$AM, 18, FALSE) / VLOOKUP("electricity|PM25|Non-fatal heart attacks", US_national_yearly!$D:$AM, 10, FALSE), 1)</f>
        <v>3.2112296393400401E-2</v>
      </c>
      <c r="K13" s="7">
        <f>$B13 * IFERROR(VLOOKUP("electricity|PM25|Non-fatal heart attacks", US_national_yearly!$D:$AM, 19, FALSE) / VLOOKUP("electricity|PM25|Non-fatal heart attacks", US_national_yearly!$D:$AM, 10, FALSE), 1)</f>
        <v>3.2704790227837587E-2</v>
      </c>
      <c r="L13" s="7">
        <f>$B13 * IFERROR(VLOOKUP("electricity|PM25|Non-fatal heart attacks", US_national_yearly!$D:$AM, 20, FALSE) / VLOOKUP("electricity|PM25|Non-fatal heart attacks", US_national_yearly!$D:$AM, 10, FALSE), 1)</f>
        <v>3.3297284062274779E-2</v>
      </c>
      <c r="M13" s="7">
        <f>$B13 * IFERROR(VLOOKUP("electricity|PM25|Non-fatal heart attacks", US_national_yearly!$D:$AM, 21, FALSE) / VLOOKUP("electricity|PM25|Non-fatal heart attacks", US_national_yearly!$D:$AM, 10, FALSE), 1)</f>
        <v>3.3889777896711978E-2</v>
      </c>
      <c r="N13" s="7">
        <f>$B13 * IFERROR(VLOOKUP("electricity|PM25|Non-fatal heart attacks", US_national_yearly!$D:$AM, 22, FALSE) / VLOOKUP("electricity|PM25|Non-fatal heart attacks", US_national_yearly!$D:$AM, 10, FALSE), 1)</f>
        <v>3.4274229908553604E-2</v>
      </c>
      <c r="O13" s="7">
        <f>$B13 * IFERROR(VLOOKUP("electricity|PM25|Non-fatal heart attacks", US_national_yearly!$D:$AM, 23, FALSE) / VLOOKUP("electricity|PM25|Non-fatal heart attacks", US_national_yearly!$D:$AM, 10, FALSE), 1)</f>
        <v>3.4658681920395236E-2</v>
      </c>
      <c r="P13" s="7">
        <f>$B13 * IFERROR(VLOOKUP("electricity|PM25|Non-fatal heart attacks", US_national_yearly!$D:$AM, 24, FALSE) / VLOOKUP("electricity|PM25|Non-fatal heart attacks", US_national_yearly!$D:$AM, 10, FALSE), 1)</f>
        <v>3.5043133932236861E-2</v>
      </c>
      <c r="Q13" s="7">
        <f>$B13 * IFERROR(VLOOKUP("electricity|PM25|Non-fatal heart attacks", US_national_yearly!$D:$AM, 25, FALSE) / VLOOKUP("electricity|PM25|Non-fatal heart attacks", US_national_yearly!$D:$AM, 10, FALSE), 1)</f>
        <v>3.5427585944078487E-2</v>
      </c>
      <c r="R13" s="7">
        <f>$B13 * IFERROR(VLOOKUP("electricity|PM25|Non-fatal heart attacks", US_national_yearly!$D:$AM, 26, FALSE) / VLOOKUP("electricity|PM25|Non-fatal heart attacks", US_national_yearly!$D:$AM, 10, FALSE), 1)</f>
        <v>3.5812037955920119E-2</v>
      </c>
      <c r="S13" s="7">
        <f>$B13 * IFERROR(VLOOKUP("electricity|PM25|Non-fatal heart attacks", US_national_yearly!$D:$AM, 27, FALSE) / VLOOKUP("electricity|PM25|Non-fatal heart attacks", US_national_yearly!$D:$AM, 10, FALSE), 1)</f>
        <v>3.602368866508833E-2</v>
      </c>
      <c r="T13" s="7">
        <f>$B13 * IFERROR(VLOOKUP("electricity|PM25|Non-fatal heart attacks", US_national_yearly!$D:$AM, 28, FALSE) / VLOOKUP("electricity|PM25|Non-fatal heart attacks", US_national_yearly!$D:$AM, 10, FALSE), 1)</f>
        <v>3.6235339374256548E-2</v>
      </c>
      <c r="U13" s="7">
        <f>$B13 * IFERROR(VLOOKUP("electricity|PM25|Non-fatal heart attacks", US_national_yearly!$D:$AM, 29, FALSE) / VLOOKUP("electricity|PM25|Non-fatal heart attacks", US_national_yearly!$D:$AM, 10, FALSE), 1)</f>
        <v>3.6446990083424759E-2</v>
      </c>
      <c r="V13" s="7">
        <f>$B13 * IFERROR(VLOOKUP("electricity|PM25|Non-fatal heart attacks", US_national_yearly!$D:$AM, 30, FALSE) / VLOOKUP("electricity|PM25|Non-fatal heart attacks", US_national_yearly!$D:$AM, 10, FALSE), 1)</f>
        <v>3.6658640792592963E-2</v>
      </c>
      <c r="W13" s="7">
        <f>$B13 * IFERROR(VLOOKUP("electricity|PM25|Non-fatal heart attacks", US_national_yearly!$D:$AM, 31, FALSE) / VLOOKUP("electricity|PM25|Non-fatal heart attacks", US_national_yearly!$D:$AM, 10, FALSE), 1)</f>
        <v>3.6870291501761181E-2</v>
      </c>
      <c r="X13" s="7">
        <f>$B13 * IFERROR(VLOOKUP("electricity|PM25|Non-fatal heart attacks", US_national_yearly!$D:$AM, 32, FALSE) / VLOOKUP("electricity|PM25|Non-fatal heart attacks", US_national_yearly!$D:$AM, 10, FALSE), 1)</f>
        <v>3.7035869192571902E-2</v>
      </c>
      <c r="Y13" s="7">
        <f>$B13 * IFERROR(VLOOKUP("electricity|PM25|Non-fatal heart attacks", US_national_yearly!$D:$AM, 33, FALSE) / VLOOKUP("electricity|PM25|Non-fatal heart attacks", US_national_yearly!$D:$AM, 10, FALSE), 1)</f>
        <v>3.7201446883382623E-2</v>
      </c>
      <c r="Z13" s="7">
        <f>$B13 * IFERROR(VLOOKUP("electricity|PM25|Non-fatal heart attacks", US_national_yearly!$D:$AM, 34, FALSE) / VLOOKUP("electricity|PM25|Non-fatal heart attacks", US_national_yearly!$D:$AM, 10, FALSE), 1)</f>
        <v>3.7367024574193337E-2</v>
      </c>
      <c r="AA13" s="7">
        <f>$B13 * IFERROR(VLOOKUP("electricity|PM25|Non-fatal heart attacks", US_national_yearly!$D:$AM, 35, FALSE) / VLOOKUP("electricity|PM25|Non-fatal heart attacks", US_national_yearly!$D:$AM, 10, FALSE), 1)</f>
        <v>3.7532602265004066E-2</v>
      </c>
      <c r="AB13" s="7">
        <f>$B13 * IFERROR(VLOOKUP("electricity|PM25|Non-fatal heart attacks", US_national_yearly!$D:$AM, 36, FALSE) / VLOOKUP("electricity|PM25|Non-fatal heart attacks", US_national_yearly!$D:$AM, 10, FALSE), 1)</f>
        <v>3.7698179955814787E-2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19.307990259096769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19.350852699635137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19.393715140173509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19.436577580711877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19.479440021250248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19.543042916373356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19.60664581149646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19.718951205028002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19.831256598559548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19.943561992091091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20.055867385622637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20.16817277915418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20.323972749298459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20.479772719442742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20.635572689587029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20.791372659731312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20.947172629875592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21.104316453762319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21.261460277649046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21.41860410153577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21.575747925422498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21.732891749309225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21.867596807013157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22.002301864717097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22.137006922421037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22.271711980124969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22.406417037828913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3.2620587977550173</v>
      </c>
      <c r="C15" s="7">
        <f>$B15 * IFERROR(VLOOKUP("electricity|PM25|Work loss days", US_national_yearly!$D:$AM, 11, FALSE) / VLOOKUP("electricity|PM25|Work loss days", US_national_yearly!$D:$AM, 10, FALSE), 1)</f>
        <v>3.2713933675677058</v>
      </c>
      <c r="D15" s="7">
        <f>$B15 * IFERROR(VLOOKUP("electricity|PM25|Work loss days", US_national_yearly!$D:$AM, 12, FALSE) / VLOOKUP("electricity|PM25|Work loss days", US_national_yearly!$D:$AM, 10, FALSE), 1)</f>
        <v>3.2807279373803948</v>
      </c>
      <c r="E15" s="7">
        <f>$B15 * IFERROR(VLOOKUP("electricity|PM25|Work loss days", US_national_yearly!$D:$AM, 13, FALSE) / VLOOKUP("electricity|PM25|Work loss days", US_national_yearly!$D:$AM, 10, FALSE), 1)</f>
        <v>3.2900625071930834</v>
      </c>
      <c r="F15" s="7">
        <f>$B15 * IFERROR(VLOOKUP("electricity|PM25|Work loss days", US_national_yearly!$D:$AM, 14, FALSE) / VLOOKUP("electricity|PM25|Work loss days", US_national_yearly!$D:$AM, 10, FALSE), 1)</f>
        <v>3.2993970770057719</v>
      </c>
      <c r="G15" s="7">
        <f>$B15 * IFERROR(VLOOKUP("electricity|PM25|Work loss days", US_national_yearly!$D:$AM, 15, FALSE) / VLOOKUP("electricity|PM25|Work loss days", US_national_yearly!$D:$AM, 10, FALSE), 1)</f>
        <v>3.3114895330094063</v>
      </c>
      <c r="H15" s="7">
        <f>$B15 * IFERROR(VLOOKUP("electricity|PM25|Work loss days", US_national_yearly!$D:$AM, 16, FALSE) / VLOOKUP("electricity|PM25|Work loss days", US_national_yearly!$D:$AM, 10, FALSE), 1)</f>
        <v>3.3235819890130411</v>
      </c>
      <c r="I15" s="7">
        <f>$B15 * IFERROR(VLOOKUP("electricity|PM25|Work loss days", US_national_yearly!$D:$AM, 17, FALSE) / VLOOKUP("electricity|PM25|Work loss days", US_national_yearly!$D:$AM, 10, FALSE), 1)</f>
        <v>3.3417609317173245</v>
      </c>
      <c r="J15" s="7">
        <f>$B15 * IFERROR(VLOOKUP("electricity|PM25|Work loss days", US_national_yearly!$D:$AM, 18, FALSE) / VLOOKUP("electricity|PM25|Work loss days", US_national_yearly!$D:$AM, 10, FALSE), 1)</f>
        <v>3.3599398744216069</v>
      </c>
      <c r="K15" s="7">
        <f>$B15 * IFERROR(VLOOKUP("electricity|PM25|Work loss days", US_national_yearly!$D:$AM, 19, FALSE) / VLOOKUP("electricity|PM25|Work loss days", US_national_yearly!$D:$AM, 10, FALSE), 1)</f>
        <v>3.3781188171258902</v>
      </c>
      <c r="L15" s="7">
        <f>$B15 * IFERROR(VLOOKUP("electricity|PM25|Work loss days", US_national_yearly!$D:$AM, 20, FALSE) / VLOOKUP("electricity|PM25|Work loss days", US_national_yearly!$D:$AM, 10, FALSE), 1)</f>
        <v>3.3962977598301736</v>
      </c>
      <c r="M15" s="7">
        <f>$B15 * IFERROR(VLOOKUP("electricity|PM25|Work loss days", US_national_yearly!$D:$AM, 21, FALSE) / VLOOKUP("electricity|PM25|Work loss days", US_national_yearly!$D:$AM, 10, FALSE), 1)</f>
        <v>3.4144767025344569</v>
      </c>
      <c r="N15" s="7">
        <f>$B15 * IFERROR(VLOOKUP("electricity|PM25|Work loss days", US_national_yearly!$D:$AM, 22, FALSE) / VLOOKUP("electricity|PM25|Work loss days", US_national_yearly!$D:$AM, 10, FALSE), 1)</f>
        <v>3.4379469795928963</v>
      </c>
      <c r="O15" s="7">
        <f>$B15 * IFERROR(VLOOKUP("electricity|PM25|Work loss days", US_national_yearly!$D:$AM, 23, FALSE) / VLOOKUP("electricity|PM25|Work loss days", US_national_yearly!$D:$AM, 10, FALSE), 1)</f>
        <v>3.4614172566513353</v>
      </c>
      <c r="P15" s="7">
        <f>$B15 * IFERROR(VLOOKUP("electricity|PM25|Work loss days", US_national_yearly!$D:$AM, 24, FALSE) / VLOOKUP("electricity|PM25|Work loss days", US_national_yearly!$D:$AM, 10, FALSE), 1)</f>
        <v>3.4848875337097738</v>
      </c>
      <c r="Q15" s="7">
        <f>$B15 * IFERROR(VLOOKUP("electricity|PM25|Work loss days", US_national_yearly!$D:$AM, 25, FALSE) / VLOOKUP("electricity|PM25|Work loss days", US_national_yearly!$D:$AM, 10, FALSE), 1)</f>
        <v>3.5083578107682123</v>
      </c>
      <c r="R15" s="7">
        <f>$B15 * IFERROR(VLOOKUP("electricity|PM25|Work loss days", US_national_yearly!$D:$AM, 26, FALSE) / VLOOKUP("electricity|PM25|Work loss days", US_national_yearly!$D:$AM, 10, FALSE), 1)</f>
        <v>3.5318280878266513</v>
      </c>
      <c r="S15" s="7">
        <f>$B15 * IFERROR(VLOOKUP("electricity|PM25|Work loss days", US_national_yearly!$D:$AM, 27, FALSE) / VLOOKUP("electricity|PM25|Work loss days", US_national_yearly!$D:$AM, 10, FALSE), 1)</f>
        <v>3.5578718076536</v>
      </c>
      <c r="T15" s="7">
        <f>$B15 * IFERROR(VLOOKUP("electricity|PM25|Work loss days", US_national_yearly!$D:$AM, 28, FALSE) / VLOOKUP("electricity|PM25|Work loss days", US_national_yearly!$D:$AM, 10, FALSE), 1)</f>
        <v>3.5839155274805496</v>
      </c>
      <c r="U15" s="7">
        <f>$B15 * IFERROR(VLOOKUP("electricity|PM25|Work loss days", US_national_yearly!$D:$AM, 29, FALSE) / VLOOKUP("electricity|PM25|Work loss days", US_national_yearly!$D:$AM, 10, FALSE), 1)</f>
        <v>3.6099592473074993</v>
      </c>
      <c r="V15" s="7">
        <f>$B15 * IFERROR(VLOOKUP("electricity|PM25|Work loss days", US_national_yearly!$D:$AM, 30, FALSE) / VLOOKUP("electricity|PM25|Work loss days", US_national_yearly!$D:$AM, 10, FALSE), 1)</f>
        <v>3.6360029671344489</v>
      </c>
      <c r="W15" s="7">
        <f>$B15 * IFERROR(VLOOKUP("electricity|PM25|Work loss days", US_national_yearly!$D:$AM, 31, FALSE) / VLOOKUP("electricity|PM25|Work loss days", US_national_yearly!$D:$AM, 10, FALSE), 1)</f>
        <v>3.6620466869613977</v>
      </c>
      <c r="X15" s="7">
        <f>$B15 * IFERROR(VLOOKUP("electricity|PM25|Work loss days", US_national_yearly!$D:$AM, 32, FALSE) / VLOOKUP("electricity|PM25|Work loss days", US_national_yearly!$D:$AM, 10, FALSE), 1)</f>
        <v>3.6850215212450048</v>
      </c>
      <c r="Y15" s="7">
        <f>$B15 * IFERROR(VLOOKUP("electricity|PM25|Work loss days", US_national_yearly!$D:$AM, 33, FALSE) / VLOOKUP("electricity|PM25|Work loss days", US_national_yearly!$D:$AM, 10, FALSE), 1)</f>
        <v>3.7079963555286106</v>
      </c>
      <c r="Z15" s="7">
        <f>$B15 * IFERROR(VLOOKUP("electricity|PM25|Work loss days", US_national_yearly!$D:$AM, 34, FALSE) / VLOOKUP("electricity|PM25|Work loss days", US_national_yearly!$D:$AM, 10, FALSE), 1)</f>
        <v>3.7309711898122173</v>
      </c>
      <c r="AA15" s="7">
        <f>$B15 * IFERROR(VLOOKUP("electricity|PM25|Work loss days", US_national_yearly!$D:$AM, 35, FALSE) / VLOOKUP("electricity|PM25|Work loss days", US_national_yearly!$D:$AM, 10, FALSE), 1)</f>
        <v>3.7539460240958249</v>
      </c>
      <c r="AB15" s="7">
        <f>$B15 * IFERROR(VLOOKUP("electricity|PM25|Work loss days", US_national_yearly!$D:$AM, 36, FALSE) / VLOOKUP("electricity|PM25|Work loss days", US_national_yearly!$D:$AM, 10, FALSE), 1)</f>
        <v>3.7769208583794311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5.9871088824010668E-3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6.1647757946529727E-3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6.3424427069048786E-3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6.5201096191567845E-3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6.6977765314086895E-3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6.8691359926445952E-3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7.0404954538805008E-3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7.1889406381557795E-3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7.3373858224310582E-3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7.4858310067063352E-3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7.6342761909816139E-3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7.7827213752568909E-3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7.8825096305932783E-3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7.9822978859296623E-3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8.0820861412660479E-3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8.1818743966024354E-3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8.281662651938821E-3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8.3367359232580616E-3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8.3918091945772988E-3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8.4468824658965394E-3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8.50195573721578E-3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8.5570290085350189E-3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8.5954511051231034E-3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8.6338732017111845E-3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8.672295298299269E-3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8.7107173948873552E-3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8.749139491475438E-3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1.4277652804037776E-4</v>
      </c>
      <c r="C2" s="7">
        <f>$B2 * IFERROR(VLOOKUP("electricity|NOx|Premature mortality", US_national_yearly!$D:$AM, 11, FALSE) / VLOOKUP("electricity|NOx|Premature mortality", US_national_yearly!$D:$AM, 10, FALSE), 1)</f>
        <v>1.4493682738818555E-4</v>
      </c>
      <c r="D2" s="7">
        <f>$B2 * IFERROR(VLOOKUP("electricity|NOx|Premature mortality", US_national_yearly!$D:$AM, 12, FALSE) / VLOOKUP("electricity|NOx|Premature mortality", US_national_yearly!$D:$AM, 10, FALSE), 1)</f>
        <v>1.470971267359934E-4</v>
      </c>
      <c r="E2" s="7">
        <f>$B2 * IFERROR(VLOOKUP("electricity|NOx|Premature mortality", US_national_yearly!$D:$AM, 13, FALSE) / VLOOKUP("electricity|NOx|Premature mortality", US_national_yearly!$D:$AM, 10, FALSE), 1)</f>
        <v>1.4925742608380119E-4</v>
      </c>
      <c r="F2" s="7">
        <f>$B2 * IFERROR(VLOOKUP("electricity|NOx|Premature mortality", US_national_yearly!$D:$AM, 14, FALSE) / VLOOKUP("electricity|NOx|Premature mortality", US_national_yearly!$D:$AM, 10, FALSE), 1)</f>
        <v>1.5141772543160898E-4</v>
      </c>
      <c r="G2" s="7">
        <f>$B2 * IFERROR(VLOOKUP("electricity|NOx|Premature mortality", US_national_yearly!$D:$AM, 15, FALSE) / VLOOKUP("electricity|NOx|Premature mortality", US_national_yearly!$D:$AM, 10, FALSE), 1)</f>
        <v>1.5527681568654341E-4</v>
      </c>
      <c r="H2" s="7">
        <f>$B2 * IFERROR(VLOOKUP("electricity|NOx|Premature mortality", US_national_yearly!$D:$AM, 16, FALSE) / VLOOKUP("electricity|NOx|Premature mortality", US_national_yearly!$D:$AM, 10, FALSE), 1)</f>
        <v>1.5913590594147779E-4</v>
      </c>
      <c r="I2" s="7">
        <f>$B2 * IFERROR(VLOOKUP("electricity|NOx|Premature mortality", US_national_yearly!$D:$AM, 17, FALSE) / VLOOKUP("electricity|NOx|Premature mortality", US_national_yearly!$D:$AM, 10, FALSE), 1)</f>
        <v>1.6170042992725146E-4</v>
      </c>
      <c r="J2" s="7">
        <f>$B2 * IFERROR(VLOOKUP("electricity|NOx|Premature mortality", US_national_yearly!$D:$AM, 18, FALSE) / VLOOKUP("electricity|NOx|Premature mortality", US_national_yearly!$D:$AM, 10, FALSE), 1)</f>
        <v>1.6426495391302516E-4</v>
      </c>
      <c r="K2" s="7">
        <f>$B2 * IFERROR(VLOOKUP("electricity|NOx|Premature mortality", US_national_yearly!$D:$AM, 19, FALSE) / VLOOKUP("electricity|NOx|Premature mortality", US_national_yearly!$D:$AM, 10, FALSE), 1)</f>
        <v>1.6682947789879881E-4</v>
      </c>
      <c r="L2" s="7">
        <f>$B2 * IFERROR(VLOOKUP("electricity|NOx|Premature mortality", US_national_yearly!$D:$AM, 20, FALSE) / VLOOKUP("electricity|NOx|Premature mortality", US_national_yearly!$D:$AM, 10, FALSE), 1)</f>
        <v>1.6939400188457248E-4</v>
      </c>
      <c r="M2" s="7">
        <f>$B2 * IFERROR(VLOOKUP("electricity|NOx|Premature mortality", US_national_yearly!$D:$AM, 21, FALSE) / VLOOKUP("electricity|NOx|Premature mortality", US_national_yearly!$D:$AM, 10, FALSE), 1)</f>
        <v>1.7195852587034613E-4</v>
      </c>
      <c r="N2" s="7">
        <f>$B2 * IFERROR(VLOOKUP("electricity|NOx|Premature mortality", US_national_yearly!$D:$AM, 22, FALSE) / VLOOKUP("electricity|NOx|Premature mortality", US_national_yearly!$D:$AM, 10, FALSE), 1)</f>
        <v>1.739373525968734E-4</v>
      </c>
      <c r="O2" s="7">
        <f>$B2 * IFERROR(VLOOKUP("electricity|NOx|Premature mortality", US_national_yearly!$D:$AM, 23, FALSE) / VLOOKUP("electricity|NOx|Premature mortality", US_national_yearly!$D:$AM, 10, FALSE), 1)</f>
        <v>1.7591617932340072E-4</v>
      </c>
      <c r="P2" s="7">
        <f>$B2 * IFERROR(VLOOKUP("electricity|NOx|Premature mortality", US_national_yearly!$D:$AM, 24, FALSE) / VLOOKUP("electricity|NOx|Premature mortality", US_national_yearly!$D:$AM, 10, FALSE), 1)</f>
        <v>1.7789500604992799E-4</v>
      </c>
      <c r="Q2" s="7">
        <f>$B2 * IFERROR(VLOOKUP("electricity|NOx|Premature mortality", US_national_yearly!$D:$AM, 25, FALSE) / VLOOKUP("electricity|NOx|Premature mortality", US_national_yearly!$D:$AM, 10, FALSE), 1)</f>
        <v>1.7987383277645529E-4</v>
      </c>
      <c r="R2" s="7">
        <f>$B2 * IFERROR(VLOOKUP("electricity|NOx|Premature mortality", US_national_yearly!$D:$AM, 26, FALSE) / VLOOKUP("electricity|NOx|Premature mortality", US_national_yearly!$D:$AM, 10, FALSE), 1)</f>
        <v>1.8185265950298256E-4</v>
      </c>
      <c r="S2" s="7">
        <f>$B2 * IFERROR(VLOOKUP("electricity|NOx|Premature mortality", US_national_yearly!$D:$AM, 27, FALSE) / VLOOKUP("electricity|NOx|Premature mortality", US_national_yearly!$D:$AM, 10, FALSE), 1)</f>
        <v>1.8287520212745002E-4</v>
      </c>
      <c r="T2" s="7">
        <f>$B2 * IFERROR(VLOOKUP("electricity|NOx|Premature mortality", US_national_yearly!$D:$AM, 28, FALSE) / VLOOKUP("electricity|NOx|Premature mortality", US_national_yearly!$D:$AM, 10, FALSE), 1)</f>
        <v>1.8389774475191745E-4</v>
      </c>
      <c r="U2" s="7">
        <f>$B2 * IFERROR(VLOOKUP("electricity|NOx|Premature mortality", US_national_yearly!$D:$AM, 29, FALSE) / VLOOKUP("electricity|NOx|Premature mortality", US_national_yearly!$D:$AM, 10, FALSE), 1)</f>
        <v>1.8492028737638496E-4</v>
      </c>
      <c r="V2" s="7">
        <f>$B2 * IFERROR(VLOOKUP("electricity|NOx|Premature mortality", US_national_yearly!$D:$AM, 30, FALSE) / VLOOKUP("electricity|NOx|Premature mortality", US_national_yearly!$D:$AM, 10, FALSE), 1)</f>
        <v>1.8594283000085242E-4</v>
      </c>
      <c r="W2" s="7">
        <f>$B2 * IFERROR(VLOOKUP("electricity|NOx|Premature mortality", US_national_yearly!$D:$AM, 31, FALSE) / VLOOKUP("electricity|NOx|Premature mortality", US_national_yearly!$D:$AM, 10, FALSE), 1)</f>
        <v>1.8696537262531988E-4</v>
      </c>
      <c r="X2" s="7">
        <f>$B2 * IFERROR(VLOOKUP("electricity|NOx|Premature mortality", US_national_yearly!$D:$AM, 32, FALSE) / VLOOKUP("electricity|NOx|Premature mortality", US_national_yearly!$D:$AM, 10, FALSE), 1)</f>
        <v>1.8719670353354719E-4</v>
      </c>
      <c r="Y2" s="7">
        <f>$B2 * IFERROR(VLOOKUP("electricity|NOx|Premature mortality", US_national_yearly!$D:$AM, 33, FALSE) / VLOOKUP("electricity|NOx|Premature mortality", US_national_yearly!$D:$AM, 10, FALSE), 1)</f>
        <v>1.874280344417745E-4</v>
      </c>
      <c r="Z2" s="7">
        <f>$B2 * IFERROR(VLOOKUP("electricity|NOx|Premature mortality", US_national_yearly!$D:$AM, 34, FALSE) / VLOOKUP("electricity|NOx|Premature mortality", US_national_yearly!$D:$AM, 10, FALSE), 1)</f>
        <v>1.8765936535000181E-4</v>
      </c>
      <c r="AA2" s="7">
        <f>$B2 * IFERROR(VLOOKUP("electricity|NOx|Premature mortality", US_national_yearly!$D:$AM, 35, FALSE) / VLOOKUP("electricity|NOx|Premature mortality", US_national_yearly!$D:$AM, 10, FALSE), 1)</f>
        <v>1.878906962582291E-4</v>
      </c>
      <c r="AB2" s="7">
        <f>$B2 * IFERROR(VLOOKUP("electricity|NOx|Premature mortality", US_national_yearly!$D:$AM, 36, FALSE) / VLOOKUP("electricity|NOx|Premature mortality", US_national_yearly!$D:$AM, 10, FALSE), 1)</f>
        <v>1.8812202716645641E-4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2.2809318175482422E-7</v>
      </c>
      <c r="C3" s="7">
        <f>$B3 * IFERROR(VLOOKUP("electricity|NOx|Infant mortality", US_national_yearly!$D:$AM, 11, FALSE) / VLOOKUP("electricity|NOx|Infant mortality", US_national_yearly!$D:$AM, 10, FALSE), 1)</f>
        <v>2.2595923971812532E-7</v>
      </c>
      <c r="D3" s="7">
        <f>$B3 * IFERROR(VLOOKUP("electricity|NOx|Infant mortality", US_national_yearly!$D:$AM, 12, FALSE) / VLOOKUP("electricity|NOx|Infant mortality", US_national_yearly!$D:$AM, 10, FALSE), 1)</f>
        <v>2.2382529768142636E-7</v>
      </c>
      <c r="E3" s="7">
        <f>$B3 * IFERROR(VLOOKUP("electricity|NOx|Infant mortality", US_national_yearly!$D:$AM, 13, FALSE) / VLOOKUP("electricity|NOx|Infant mortality", US_national_yearly!$D:$AM, 10, FALSE), 1)</f>
        <v>2.2169135564472745E-7</v>
      </c>
      <c r="F3" s="7">
        <f>$B3 * IFERROR(VLOOKUP("electricity|NOx|Infant mortality", US_national_yearly!$D:$AM, 14, FALSE) / VLOOKUP("electricity|NOx|Infant mortality", US_national_yearly!$D:$AM, 10, FALSE), 1)</f>
        <v>2.1955741360802849E-7</v>
      </c>
      <c r="G3" s="7">
        <f>$B3 * IFERROR(VLOOKUP("electricity|NOx|Infant mortality", US_national_yearly!$D:$AM, 15, FALSE) / VLOOKUP("electricity|NOx|Infant mortality", US_national_yearly!$D:$AM, 10, FALSE), 1)</f>
        <v>1.45467664183208E-7</v>
      </c>
      <c r="H3" s="7">
        <f>$B3 * IFERROR(VLOOKUP("electricity|NOx|Infant mortality", US_national_yearly!$D:$AM, 16, FALSE) / VLOOKUP("electricity|NOx|Infant mortality", US_national_yearly!$D:$AM, 10, FALSE), 1)</f>
        <v>7.1377914758387533E-8</v>
      </c>
      <c r="I3" s="7">
        <f>$B3 * IFERROR(VLOOKUP("electricity|NOx|Infant mortality", US_national_yearly!$D:$AM, 17, FALSE) / VLOOKUP("electricity|NOx|Infant mortality", US_national_yearly!$D:$AM, 10, FALSE), 1)</f>
        <v>7.0858815557218497E-8</v>
      </c>
      <c r="J3" s="7">
        <f>$B3 * IFERROR(VLOOKUP("electricity|NOx|Infant mortality", US_national_yearly!$D:$AM, 18, FALSE) / VLOOKUP("electricity|NOx|Infant mortality", US_national_yearly!$D:$AM, 10, FALSE), 1)</f>
        <v>7.0339716356049461E-8</v>
      </c>
      <c r="K3" s="7">
        <f>$B3 * IFERROR(VLOOKUP("electricity|NOx|Infant mortality", US_national_yearly!$D:$AM, 19, FALSE) / VLOOKUP("electricity|NOx|Infant mortality", US_national_yearly!$D:$AM, 10, FALSE), 1)</f>
        <v>6.9820617154880425E-8</v>
      </c>
      <c r="L3" s="7">
        <f>$B3 * IFERROR(VLOOKUP("electricity|NOx|Infant mortality", US_national_yearly!$D:$AM, 20, FALSE) / VLOOKUP("electricity|NOx|Infant mortality", US_national_yearly!$D:$AM, 10, FALSE), 1)</f>
        <v>6.9301517953711389E-8</v>
      </c>
      <c r="M3" s="7">
        <f>$B3 * IFERROR(VLOOKUP("electricity|NOx|Infant mortality", US_national_yearly!$D:$AM, 21, FALSE) / VLOOKUP("electricity|NOx|Infant mortality", US_national_yearly!$D:$AM, 10, FALSE), 1)</f>
        <v>6.878241875254234E-8</v>
      </c>
      <c r="N3" s="7">
        <f>$B3 * IFERROR(VLOOKUP("electricity|NOx|Infant mortality", US_national_yearly!$D:$AM, 22, FALSE) / VLOOKUP("electricity|NOx|Infant mortality", US_national_yearly!$D:$AM, 10, FALSE), 1)</f>
        <v>6.8433839910055164E-8</v>
      </c>
      <c r="O3" s="7">
        <f>$B3 * IFERROR(VLOOKUP("electricity|NOx|Infant mortality", US_national_yearly!$D:$AM, 23, FALSE) / VLOOKUP("electricity|NOx|Infant mortality", US_national_yearly!$D:$AM, 10, FALSE), 1)</f>
        <v>6.8085261067567975E-8</v>
      </c>
      <c r="P3" s="7">
        <f>$B3 * IFERROR(VLOOKUP("electricity|NOx|Infant mortality", US_national_yearly!$D:$AM, 24, FALSE) / VLOOKUP("electricity|NOx|Infant mortality", US_national_yearly!$D:$AM, 10, FALSE), 1)</f>
        <v>6.7736682225080799E-8</v>
      </c>
      <c r="Q3" s="7">
        <f>$B3 * IFERROR(VLOOKUP("electricity|NOx|Infant mortality", US_national_yearly!$D:$AM, 25, FALSE) / VLOOKUP("electricity|NOx|Infant mortality", US_national_yearly!$D:$AM, 10, FALSE), 1)</f>
        <v>6.7388103382593609E-8</v>
      </c>
      <c r="R3" s="7">
        <f>$B3 * IFERROR(VLOOKUP("electricity|NOx|Infant mortality", US_national_yearly!$D:$AM, 26, FALSE) / VLOOKUP("electricity|NOx|Infant mortality", US_national_yearly!$D:$AM, 10, FALSE), 1)</f>
        <v>6.7039524540106433E-8</v>
      </c>
      <c r="S3" s="7">
        <f>$B3 * IFERROR(VLOOKUP("electricity|NOx|Infant mortality", US_national_yearly!$D:$AM, 27, FALSE) / VLOOKUP("electricity|NOx|Infant mortality", US_national_yearly!$D:$AM, 10, FALSE), 1)</f>
        <v>6.6625700750995651E-8</v>
      </c>
      <c r="T3" s="7">
        <f>$B3 * IFERROR(VLOOKUP("electricity|NOx|Infant mortality", US_national_yearly!$D:$AM, 28, FALSE) / VLOOKUP("electricity|NOx|Infant mortality", US_national_yearly!$D:$AM, 10, FALSE), 1)</f>
        <v>6.6211876961884882E-8</v>
      </c>
      <c r="U3" s="7">
        <f>$B3 * IFERROR(VLOOKUP("electricity|NOx|Infant mortality", US_national_yearly!$D:$AM, 29, FALSE) / VLOOKUP("electricity|NOx|Infant mortality", US_national_yearly!$D:$AM, 10, FALSE), 1)</f>
        <v>6.5798053172774113E-8</v>
      </c>
      <c r="V3" s="7">
        <f>$B3 * IFERROR(VLOOKUP("electricity|NOx|Infant mortality", US_national_yearly!$D:$AM, 30, FALSE) / VLOOKUP("electricity|NOx|Infant mortality", US_national_yearly!$D:$AM, 10, FALSE), 1)</f>
        <v>6.5384229383663344E-8</v>
      </c>
      <c r="W3" s="7">
        <f>$B3 * IFERROR(VLOOKUP("electricity|NOx|Infant mortality", US_national_yearly!$D:$AM, 31, FALSE) / VLOOKUP("electricity|NOx|Infant mortality", US_national_yearly!$D:$AM, 10, FALSE), 1)</f>
        <v>6.4970405594552561E-8</v>
      </c>
      <c r="X3" s="7">
        <f>$B3 * IFERROR(VLOOKUP("electricity|NOx|Infant mortality", US_national_yearly!$D:$AM, 32, FALSE) / VLOOKUP("electricity|NOx|Infant mortality", US_national_yearly!$D:$AM, 10, FALSE), 1)</f>
        <v>6.4544301844331659E-8</v>
      </c>
      <c r="Y3" s="7">
        <f>$B3 * IFERROR(VLOOKUP("electricity|NOx|Infant mortality", US_national_yearly!$D:$AM, 33, FALSE) / VLOOKUP("electricity|NOx|Infant mortality", US_national_yearly!$D:$AM, 10, FALSE), 1)</f>
        <v>6.4118198094110756E-8</v>
      </c>
      <c r="Z3" s="7">
        <f>$B3 * IFERROR(VLOOKUP("electricity|NOx|Infant mortality", US_national_yearly!$D:$AM, 34, FALSE) / VLOOKUP("electricity|NOx|Infant mortality", US_national_yearly!$D:$AM, 10, FALSE), 1)</f>
        <v>6.369209434388984E-8</v>
      </c>
      <c r="AA3" s="7">
        <f>$B3 * IFERROR(VLOOKUP("electricity|NOx|Infant mortality", US_national_yearly!$D:$AM, 35, FALSE) / VLOOKUP("electricity|NOx|Infant mortality", US_national_yearly!$D:$AM, 10, FALSE), 1)</f>
        <v>6.3265990593668937E-8</v>
      </c>
      <c r="AB3" s="7">
        <f>$B3 * IFERROR(VLOOKUP("electricity|NOx|Infant mortality", US_national_yearly!$D:$AM, 36, FALSE) / VLOOKUP("electricity|NOx|Infant mortality", US_national_yearly!$D:$AM, 10, FALSE), 1)</f>
        <v>6.2839886843448022E-8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3.2548000429116308E-4</v>
      </c>
      <c r="C6" s="7">
        <f>$B6 * IFERROR(VLOOKUP("electricity|NOx|Asthma symptoms cough", US_national_yearly!$D:$AM, 11, FALSE) / VLOOKUP("electricity|NOx|Asthma symptoms cough", US_national_yearly!$D:$AM, 10, FALSE), 1)</f>
        <v>3.2994843169839735E-4</v>
      </c>
      <c r="D6" s="7">
        <f>$B6 * IFERROR(VLOOKUP("electricity|NOx|Asthma symptoms cough", US_national_yearly!$D:$AM, 12, FALSE) / VLOOKUP("electricity|NOx|Asthma symptoms cough", US_national_yearly!$D:$AM, 10, FALSE), 1)</f>
        <v>3.3441685910563172E-4</v>
      </c>
      <c r="E6" s="7">
        <f>$B6 * IFERROR(VLOOKUP("electricity|NOx|Asthma symptoms cough", US_national_yearly!$D:$AM, 13, FALSE) / VLOOKUP("electricity|NOx|Asthma symptoms cough", US_national_yearly!$D:$AM, 10, FALSE), 1)</f>
        <v>3.3888528651286598E-4</v>
      </c>
      <c r="F6" s="7">
        <f>$B6 * IFERROR(VLOOKUP("electricity|NOx|Asthma symptoms cough", US_national_yearly!$D:$AM, 14, FALSE) / VLOOKUP("electricity|NOx|Asthma symptoms cough", US_national_yearly!$D:$AM, 10, FALSE), 1)</f>
        <v>3.4335371392010025E-4</v>
      </c>
      <c r="G6" s="7">
        <f>$B6 * IFERROR(VLOOKUP("electricity|NOx|Asthma symptoms cough", US_national_yearly!$D:$AM, 15, FALSE) / VLOOKUP("electricity|NOx|Asthma symptoms cough", US_national_yearly!$D:$AM, 10, FALSE), 1)</f>
        <v>3.4698678232821461E-4</v>
      </c>
      <c r="H6" s="7">
        <f>$B6 * IFERROR(VLOOKUP("electricity|NOx|Asthma symptoms cough", US_national_yearly!$D:$AM, 16, FALSE) / VLOOKUP("electricity|NOx|Asthma symptoms cough", US_national_yearly!$D:$AM, 10, FALSE), 1)</f>
        <v>3.5061985073632902E-4</v>
      </c>
      <c r="I6" s="7">
        <f>$B6 * IFERROR(VLOOKUP("electricity|NOx|Asthma symptoms cough", US_national_yearly!$D:$AM, 17, FALSE) / VLOOKUP("electricity|NOx|Asthma symptoms cough", US_national_yearly!$D:$AM, 10, FALSE), 1)</f>
        <v>3.5197040047460043E-4</v>
      </c>
      <c r="J6" s="7">
        <f>$B6 * IFERROR(VLOOKUP("electricity|NOx|Asthma symptoms cough", US_national_yearly!$D:$AM, 18, FALSE) / VLOOKUP("electricity|NOx|Asthma symptoms cough", US_national_yearly!$D:$AM, 10, FALSE), 1)</f>
        <v>3.5332095021287178E-4</v>
      </c>
      <c r="K6" s="7">
        <f>$B6 * IFERROR(VLOOKUP("electricity|NOx|Asthma symptoms cough", US_national_yearly!$D:$AM, 19, FALSE) / VLOOKUP("electricity|NOx|Asthma symptoms cough", US_national_yearly!$D:$AM, 10, FALSE), 1)</f>
        <v>3.5467149995114324E-4</v>
      </c>
      <c r="L6" s="7">
        <f>$B6 * IFERROR(VLOOKUP("electricity|NOx|Asthma symptoms cough", US_national_yearly!$D:$AM, 20, FALSE) / VLOOKUP("electricity|NOx|Asthma symptoms cough", US_national_yearly!$D:$AM, 10, FALSE), 1)</f>
        <v>3.5602204968941464E-4</v>
      </c>
      <c r="M6" s="7">
        <f>$B6 * IFERROR(VLOOKUP("electricity|NOx|Asthma symptoms cough", US_national_yearly!$D:$AM, 21, FALSE) / VLOOKUP("electricity|NOx|Asthma symptoms cough", US_national_yearly!$D:$AM, 10, FALSE), 1)</f>
        <v>3.573725994276861E-4</v>
      </c>
      <c r="N6" s="7">
        <f>$B6 * IFERROR(VLOOKUP("electricity|NOx|Asthma symptoms cough", US_national_yearly!$D:$AM, 22, FALSE) / VLOOKUP("electricity|NOx|Asthma symptoms cough", US_national_yearly!$D:$AM, 10, FALSE), 1)</f>
        <v>3.5886899728825088E-4</v>
      </c>
      <c r="O6" s="7">
        <f>$B6 * IFERROR(VLOOKUP("electricity|NOx|Asthma symptoms cough", US_national_yearly!$D:$AM, 23, FALSE) / VLOOKUP("electricity|NOx|Asthma symptoms cough", US_national_yearly!$D:$AM, 10, FALSE), 1)</f>
        <v>3.6036539514881576E-4</v>
      </c>
      <c r="P6" s="7">
        <f>$B6 * IFERROR(VLOOKUP("electricity|NOx|Asthma symptoms cough", US_national_yearly!$D:$AM, 24, FALSE) / VLOOKUP("electricity|NOx|Asthma symptoms cough", US_national_yearly!$D:$AM, 10, FALSE), 1)</f>
        <v>3.6186179300938054E-4</v>
      </c>
      <c r="Q6" s="7">
        <f>$B6 * IFERROR(VLOOKUP("electricity|NOx|Asthma symptoms cough", US_national_yearly!$D:$AM, 25, FALSE) / VLOOKUP("electricity|NOx|Asthma symptoms cough", US_national_yearly!$D:$AM, 10, FALSE), 1)</f>
        <v>3.6335819086994543E-4</v>
      </c>
      <c r="R6" s="7">
        <f>$B6 * IFERROR(VLOOKUP("electricity|NOx|Asthma symptoms cough", US_national_yearly!$D:$AM, 26, FALSE) / VLOOKUP("electricity|NOx|Asthma symptoms cough", US_national_yearly!$D:$AM, 10, FALSE), 1)</f>
        <v>3.6485458873051021E-4</v>
      </c>
      <c r="S6" s="7">
        <f>$B6 * IFERROR(VLOOKUP("electricity|NOx|Asthma symptoms cough", US_national_yearly!$D:$AM, 27, FALSE) / VLOOKUP("electricity|NOx|Asthma symptoms cough", US_national_yearly!$D:$AM, 10, FALSE), 1)</f>
        <v>3.6672148286170074E-4</v>
      </c>
      <c r="T6" s="7">
        <f>$B6 * IFERROR(VLOOKUP("electricity|NOx|Asthma symptoms cough", US_national_yearly!$D:$AM, 28, FALSE) / VLOOKUP("electricity|NOx|Asthma symptoms cough", US_national_yearly!$D:$AM, 10, FALSE), 1)</f>
        <v>3.6858837699289121E-4</v>
      </c>
      <c r="U6" s="7">
        <f>$B6 * IFERROR(VLOOKUP("electricity|NOx|Asthma symptoms cough", US_national_yearly!$D:$AM, 29, FALSE) / VLOOKUP("electricity|NOx|Asthma symptoms cough", US_national_yearly!$D:$AM, 10, FALSE), 1)</f>
        <v>3.7045527112408185E-4</v>
      </c>
      <c r="V6" s="7">
        <f>$B6 * IFERROR(VLOOKUP("electricity|NOx|Asthma symptoms cough", US_national_yearly!$D:$AM, 30, FALSE) / VLOOKUP("electricity|NOx|Asthma symptoms cough", US_national_yearly!$D:$AM, 10, FALSE), 1)</f>
        <v>3.7232216525527232E-4</v>
      </c>
      <c r="W6" s="7">
        <f>$B6 * IFERROR(VLOOKUP("electricity|NOx|Asthma symptoms cough", US_national_yearly!$D:$AM, 31, FALSE) / VLOOKUP("electricity|NOx|Asthma symptoms cough", US_national_yearly!$D:$AM, 10, FALSE), 1)</f>
        <v>3.7418905938646285E-4</v>
      </c>
      <c r="X6" s="7">
        <f>$B6 * IFERROR(VLOOKUP("electricity|NOx|Asthma symptoms cough", US_national_yearly!$D:$AM, 32, FALSE) / VLOOKUP("electricity|NOx|Asthma symptoms cough", US_national_yearly!$D:$AM, 10, FALSE), 1)</f>
        <v>3.7590904141137315E-4</v>
      </c>
      <c r="Y6" s="7">
        <f>$B6 * IFERROR(VLOOKUP("electricity|NOx|Asthma symptoms cough", US_national_yearly!$D:$AM, 33, FALSE) / VLOOKUP("electricity|NOx|Asthma symptoms cough", US_national_yearly!$D:$AM, 10, FALSE), 1)</f>
        <v>3.7762902343628355E-4</v>
      </c>
      <c r="Z6" s="7">
        <f>$B6 * IFERROR(VLOOKUP("electricity|NOx|Asthma symptoms cough", US_national_yearly!$D:$AM, 34, FALSE) / VLOOKUP("electricity|NOx|Asthma symptoms cough", US_national_yearly!$D:$AM, 10, FALSE), 1)</f>
        <v>3.7934900546119396E-4</v>
      </c>
      <c r="AA6" s="7">
        <f>$B6 * IFERROR(VLOOKUP("electricity|NOx|Asthma symptoms cough", US_national_yearly!$D:$AM, 35, FALSE) / VLOOKUP("electricity|NOx|Asthma symptoms cough", US_national_yearly!$D:$AM, 10, FALSE), 1)</f>
        <v>3.8106898748610426E-4</v>
      </c>
      <c r="AB6" s="7">
        <f>$B6 * IFERROR(VLOOKUP("electricity|NOx|Asthma symptoms cough", US_national_yearly!$D:$AM, 36, FALSE) / VLOOKUP("electricity|NOx|Asthma symptoms cough", US_national_yearly!$D:$AM, 10, FALSE), 1)</f>
        <v>3.8278896951101466E-4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4.3830654271548102E-4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4.443239353010927E-4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4.5034132788670449E-4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4.5635872047231616E-4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4.6237611305792779E-4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4.6726857227943647E-4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4.7216103150094499E-4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4.7397974470329948E-4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4.7579845790565381E-4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4.7761717110800819E-4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4.7943588431036246E-4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4.812545975127169E-4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4.8326971659566994E-4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4.8528483567862303E-4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4.8729995476157607E-4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4.8931507384452917E-4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4.9133019292748226E-4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4.9384423955800766E-4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4.9635828618853285E-4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4.9887233281905826E-4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5.0138637944958356E-4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5.0390042608010896E-4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5.0621663402111716E-4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5.0853284196212547E-4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5.1084904990313367E-4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5.1316525784414187E-4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5.1548146578515028E-4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6.6965637315826517E-4</v>
      </c>
      <c r="C8" s="7">
        <f>$B8 * IFERROR(VLOOKUP("electricity|NOx|Asthma symptoms wheeze", US_national_yearly!$D:$AM, 11, FALSE) / VLOOKUP("electricity|NOx|Asthma symptoms wheeze", US_national_yearly!$D:$AM, 10, FALSE), 1)</f>
        <v>6.7884990532928E-4</v>
      </c>
      <c r="D8" s="7">
        <f>$B8 * IFERROR(VLOOKUP("electricity|NOx|Asthma symptoms wheeze", US_national_yearly!$D:$AM, 12, FALSE) / VLOOKUP("electricity|NOx|Asthma symptoms wheeze", US_national_yearly!$D:$AM, 10, FALSE), 1)</f>
        <v>6.8804343750029494E-4</v>
      </c>
      <c r="E8" s="7">
        <f>$B8 * IFERROR(VLOOKUP("electricity|NOx|Asthma symptoms wheeze", US_national_yearly!$D:$AM, 13, FALSE) / VLOOKUP("electricity|NOx|Asthma symptoms wheeze", US_national_yearly!$D:$AM, 10, FALSE), 1)</f>
        <v>6.9723696967130978E-4</v>
      </c>
      <c r="F8" s="7">
        <f>$B8 * IFERROR(VLOOKUP("electricity|NOx|Asthma symptoms wheeze", US_national_yearly!$D:$AM, 14, FALSE) / VLOOKUP("electricity|NOx|Asthma symptoms wheeze", US_national_yearly!$D:$AM, 10, FALSE), 1)</f>
        <v>7.0643050184232483E-4</v>
      </c>
      <c r="G8" s="7">
        <f>$B8 * IFERROR(VLOOKUP("electricity|NOx|Asthma symptoms wheeze", US_national_yearly!$D:$AM, 15, FALSE) / VLOOKUP("electricity|NOx|Asthma symptoms wheeze", US_national_yearly!$D:$AM, 10, FALSE), 1)</f>
        <v>7.1390533095737482E-4</v>
      </c>
      <c r="H8" s="7">
        <f>$B8 * IFERROR(VLOOKUP("electricity|NOx|Asthma symptoms wheeze", US_national_yearly!$D:$AM, 16, FALSE) / VLOOKUP("electricity|NOx|Asthma symptoms wheeze", US_national_yearly!$D:$AM, 10, FALSE), 1)</f>
        <v>7.2138016007242491E-4</v>
      </c>
      <c r="I8" s="7">
        <f>$B8 * IFERROR(VLOOKUP("electricity|NOx|Asthma symptoms wheeze", US_national_yearly!$D:$AM, 17, FALSE) / VLOOKUP("electricity|NOx|Asthma symptoms wheeze", US_national_yearly!$D:$AM, 10, FALSE), 1)</f>
        <v>7.2415883841180247E-4</v>
      </c>
      <c r="J8" s="7">
        <f>$B8 * IFERROR(VLOOKUP("electricity|NOx|Asthma symptoms wheeze", US_national_yearly!$D:$AM, 18, FALSE) / VLOOKUP("electricity|NOx|Asthma symptoms wheeze", US_national_yearly!$D:$AM, 10, FALSE), 1)</f>
        <v>7.2693751675118013E-4</v>
      </c>
      <c r="K8" s="7">
        <f>$B8 * IFERROR(VLOOKUP("electricity|NOx|Asthma symptoms wheeze", US_national_yearly!$D:$AM, 19, FALSE) / VLOOKUP("electricity|NOx|Asthma symptoms wheeze", US_national_yearly!$D:$AM, 10, FALSE), 1)</f>
        <v>7.2971619509055801E-4</v>
      </c>
      <c r="L8" s="7">
        <f>$B8 * IFERROR(VLOOKUP("electricity|NOx|Asthma symptoms wheeze", US_national_yearly!$D:$AM, 20, FALSE) / VLOOKUP("electricity|NOx|Asthma symptoms wheeze", US_national_yearly!$D:$AM, 10, FALSE), 1)</f>
        <v>7.3249487342993567E-4</v>
      </c>
      <c r="M8" s="7">
        <f>$B8 * IFERROR(VLOOKUP("electricity|NOx|Asthma symptoms wheeze", US_national_yearly!$D:$AM, 21, FALSE) / VLOOKUP("electricity|NOx|Asthma symptoms wheeze", US_national_yearly!$D:$AM, 10, FALSE), 1)</f>
        <v>7.3527355176931323E-4</v>
      </c>
      <c r="N8" s="7">
        <f>$B8 * IFERROR(VLOOKUP("electricity|NOx|Asthma symptoms wheeze", US_national_yearly!$D:$AM, 22, FALSE) / VLOOKUP("electricity|NOx|Asthma symptoms wheeze", US_national_yearly!$D:$AM, 10, FALSE), 1)</f>
        <v>7.3835230422461616E-4</v>
      </c>
      <c r="O8" s="7">
        <f>$B8 * IFERROR(VLOOKUP("electricity|NOx|Asthma symptoms wheeze", US_national_yearly!$D:$AM, 23, FALSE) / VLOOKUP("electricity|NOx|Asthma symptoms wheeze", US_national_yearly!$D:$AM, 10, FALSE), 1)</f>
        <v>7.414310566799193E-4</v>
      </c>
      <c r="P8" s="7">
        <f>$B8 * IFERROR(VLOOKUP("electricity|NOx|Asthma symptoms wheeze", US_national_yearly!$D:$AM, 24, FALSE) / VLOOKUP("electricity|NOx|Asthma symptoms wheeze", US_national_yearly!$D:$AM, 10, FALSE), 1)</f>
        <v>7.4450980913522244E-4</v>
      </c>
      <c r="Q8" s="7">
        <f>$B8 * IFERROR(VLOOKUP("electricity|NOx|Asthma symptoms wheeze", US_national_yearly!$D:$AM, 25, FALSE) / VLOOKUP("electricity|NOx|Asthma symptoms wheeze", US_national_yearly!$D:$AM, 10, FALSE), 1)</f>
        <v>7.4758856159052537E-4</v>
      </c>
      <c r="R8" s="7">
        <f>$B8 * IFERROR(VLOOKUP("electricity|NOx|Asthma symptoms wheeze", US_national_yearly!$D:$AM, 26, FALSE) / VLOOKUP("electricity|NOx|Asthma symptoms wheeze", US_national_yearly!$D:$AM, 10, FALSE), 1)</f>
        <v>7.506673140458283E-4</v>
      </c>
      <c r="S8" s="7">
        <f>$B8 * IFERROR(VLOOKUP("electricity|NOx|Asthma symptoms wheeze", US_national_yearly!$D:$AM, 27, FALSE) / VLOOKUP("electricity|NOx|Asthma symptoms wheeze", US_national_yearly!$D:$AM, 10, FALSE), 1)</f>
        <v>7.5450834125080038E-4</v>
      </c>
      <c r="T8" s="7">
        <f>$B8 * IFERROR(VLOOKUP("electricity|NOx|Asthma symptoms wheeze", US_national_yearly!$D:$AM, 28, FALSE) / VLOOKUP("electricity|NOx|Asthma symptoms wheeze", US_national_yearly!$D:$AM, 10, FALSE), 1)</f>
        <v>7.5834936845577236E-4</v>
      </c>
      <c r="U8" s="7">
        <f>$B8 * IFERROR(VLOOKUP("electricity|NOx|Asthma symptoms wheeze", US_national_yearly!$D:$AM, 29, FALSE) / VLOOKUP("electricity|NOx|Asthma symptoms wheeze", US_national_yearly!$D:$AM, 10, FALSE), 1)</f>
        <v>7.6219039566074423E-4</v>
      </c>
      <c r="V8" s="7">
        <f>$B8 * IFERROR(VLOOKUP("electricity|NOx|Asthma symptoms wheeze", US_national_yearly!$D:$AM, 30, FALSE) / VLOOKUP("electricity|NOx|Asthma symptoms wheeze", US_national_yearly!$D:$AM, 10, FALSE), 1)</f>
        <v>7.6603142286571621E-4</v>
      </c>
      <c r="W8" s="7">
        <f>$B8 * IFERROR(VLOOKUP("electricity|NOx|Asthma symptoms wheeze", US_national_yearly!$D:$AM, 31, FALSE) / VLOOKUP("electricity|NOx|Asthma symptoms wheeze", US_national_yearly!$D:$AM, 10, FALSE), 1)</f>
        <v>7.6987245007068819E-4</v>
      </c>
      <c r="X8" s="7">
        <f>$B8 * IFERROR(VLOOKUP("electricity|NOx|Asthma symptoms wheeze", US_national_yearly!$D:$AM, 32, FALSE) / VLOOKUP("electricity|NOx|Asthma symptoms wheeze", US_national_yearly!$D:$AM, 10, FALSE), 1)</f>
        <v>7.7341121407356974E-4</v>
      </c>
      <c r="Y8" s="7">
        <f>$B8 * IFERROR(VLOOKUP("electricity|NOx|Asthma symptoms wheeze", US_national_yearly!$D:$AM, 33, FALSE) / VLOOKUP("electricity|NOx|Asthma symptoms wheeze", US_national_yearly!$D:$AM, 10, FALSE), 1)</f>
        <v>7.7694997807645151E-4</v>
      </c>
      <c r="Z8" s="7">
        <f>$B8 * IFERROR(VLOOKUP("electricity|NOx|Asthma symptoms wheeze", US_national_yearly!$D:$AM, 34, FALSE) / VLOOKUP("electricity|NOx|Asthma symptoms wheeze", US_national_yearly!$D:$AM, 10, FALSE), 1)</f>
        <v>7.8048874207933296E-4</v>
      </c>
      <c r="AA8" s="7">
        <f>$B8 * IFERROR(VLOOKUP("electricity|NOx|Asthma symptoms wheeze", US_national_yearly!$D:$AM, 35, FALSE) / VLOOKUP("electricity|NOx|Asthma symptoms wheeze", US_national_yearly!$D:$AM, 10, FALSE), 1)</f>
        <v>7.8402750608221473E-4</v>
      </c>
      <c r="AB8" s="7">
        <f>$B8 * IFERROR(VLOOKUP("electricity|NOx|Asthma symptoms wheeze", US_national_yearly!$D:$AM, 36, FALSE) / VLOOKUP("electricity|NOx|Asthma symptoms wheeze", US_national_yearly!$D:$AM, 10, FALSE), 1)</f>
        <v>7.8756627008509639E-4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1.0636471903799191E-5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1.0908889714686222E-5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1.1181307525573256E-5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1.1453725336460288E-5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1.1726143147347316E-5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1.1988387320277845E-5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1.2250631493208377E-5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1.247613990752548E-5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1.2701648321842581E-5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1.2927156736159689E-5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1.3152665150476792E-5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1.3378173564793896E-5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1.3532717312855236E-5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1.3687261060916575E-5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1.3841804808977915E-5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1.3996348557039254E-5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1.4150892305100592E-5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1.4238909900060191E-5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1.432692749501979E-5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1.4414945089979386E-5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1.4502962684938984E-5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1.4590980279898582E-5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1.465499948966553E-5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1.4719018699432476E-5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1.4783037909199425E-5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1.4847057118966373E-5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1.4911076328733319E-5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7.1582061784039033E-5</v>
      </c>
      <c r="C13" s="7">
        <f>$B13 * IFERROR(VLOOKUP("electricity|NOx|Non-fatal heart attacks", US_national_yearly!$D:$AM, 11, FALSE) / VLOOKUP("electricity|NOx|Non-fatal heart attacks", US_national_yearly!$D:$AM, 10, FALSE), 1)</f>
        <v>7.3636269752278279E-5</v>
      </c>
      <c r="D13" s="7">
        <f>$B13 * IFERROR(VLOOKUP("electricity|NOx|Non-fatal heart attacks", US_national_yearly!$D:$AM, 12, FALSE) / VLOOKUP("electricity|NOx|Non-fatal heart attacks", US_national_yearly!$D:$AM, 10, FALSE), 1)</f>
        <v>7.5690477720517525E-5</v>
      </c>
      <c r="E13" s="7">
        <f>$B13 * IFERROR(VLOOKUP("electricity|NOx|Non-fatal heart attacks", US_national_yearly!$D:$AM, 13, FALSE) / VLOOKUP("electricity|NOx|Non-fatal heart attacks", US_national_yearly!$D:$AM, 10, FALSE), 1)</f>
        <v>7.7744685688756771E-5</v>
      </c>
      <c r="F13" s="7">
        <f>$B13 * IFERROR(VLOOKUP("electricity|NOx|Non-fatal heart attacks", US_national_yearly!$D:$AM, 14, FALSE) / VLOOKUP("electricity|NOx|Non-fatal heart attacks", US_national_yearly!$D:$AM, 10, FALSE), 1)</f>
        <v>7.979889365699603E-5</v>
      </c>
      <c r="G13" s="7">
        <f>$B13 * IFERROR(VLOOKUP("electricity|NOx|Non-fatal heart attacks", US_national_yearly!$D:$AM, 15, FALSE) / VLOOKUP("electricity|NOx|Non-fatal heart attacks", US_national_yearly!$D:$AM, 10, FALSE), 1)</f>
        <v>8.1734036379638926E-5</v>
      </c>
      <c r="H13" s="7">
        <f>$B13 * IFERROR(VLOOKUP("electricity|NOx|Non-fatal heart attacks", US_national_yearly!$D:$AM, 16, FALSE) / VLOOKUP("electricity|NOx|Non-fatal heart attacks", US_national_yearly!$D:$AM, 10, FALSE), 1)</f>
        <v>8.3669179102281821E-5</v>
      </c>
      <c r="I13" s="7">
        <f>$B13 * IFERROR(VLOOKUP("electricity|NOx|Non-fatal heart attacks", US_national_yearly!$D:$AM, 17, FALSE) / VLOOKUP("electricity|NOx|Non-fatal heart attacks", US_national_yearly!$D:$AM, 10, FALSE), 1)</f>
        <v>8.5220967788777666E-5</v>
      </c>
      <c r="J13" s="7">
        <f>$B13 * IFERROR(VLOOKUP("electricity|NOx|Non-fatal heart attacks", US_national_yearly!$D:$AM, 18, FALSE) / VLOOKUP("electricity|NOx|Non-fatal heart attacks", US_national_yearly!$D:$AM, 10, FALSE), 1)</f>
        <v>8.6772756475273497E-5</v>
      </c>
      <c r="K13" s="7">
        <f>$B13 * IFERROR(VLOOKUP("electricity|NOx|Non-fatal heart attacks", US_national_yearly!$D:$AM, 19, FALSE) / VLOOKUP("electricity|NOx|Non-fatal heart attacks", US_national_yearly!$D:$AM, 10, FALSE), 1)</f>
        <v>8.832454516176926E-5</v>
      </c>
      <c r="L13" s="7">
        <f>$B13 * IFERROR(VLOOKUP("electricity|NOx|Non-fatal heart attacks", US_national_yearly!$D:$AM, 20, FALSE) / VLOOKUP("electricity|NOx|Non-fatal heart attacks", US_national_yearly!$D:$AM, 10, FALSE), 1)</f>
        <v>8.9876333848265105E-5</v>
      </c>
      <c r="M13" s="7">
        <f>$B13 * IFERROR(VLOOKUP("electricity|NOx|Non-fatal heart attacks", US_national_yearly!$D:$AM, 21, FALSE) / VLOOKUP("electricity|NOx|Non-fatal heart attacks", US_national_yearly!$D:$AM, 10, FALSE), 1)</f>
        <v>9.1428122534760949E-5</v>
      </c>
      <c r="N13" s="7">
        <f>$B13 * IFERROR(VLOOKUP("electricity|NOx|Non-fatal heart attacks", US_national_yearly!$D:$AM, 22, FALSE) / VLOOKUP("electricity|NOx|Non-fatal heart attacks", US_national_yearly!$D:$AM, 10, FALSE), 1)</f>
        <v>9.2385142859932641E-5</v>
      </c>
      <c r="O13" s="7">
        <f>$B13 * IFERROR(VLOOKUP("electricity|NOx|Non-fatal heart attacks", US_national_yearly!$D:$AM, 23, FALSE) / VLOOKUP("electricity|NOx|Non-fatal heart attacks", US_national_yearly!$D:$AM, 10, FALSE), 1)</f>
        <v>9.3342163185104361E-5</v>
      </c>
      <c r="P13" s="7">
        <f>$B13 * IFERROR(VLOOKUP("electricity|NOx|Non-fatal heart attacks", US_national_yearly!$D:$AM, 24, FALSE) / VLOOKUP("electricity|NOx|Non-fatal heart attacks", US_national_yearly!$D:$AM, 10, FALSE), 1)</f>
        <v>9.4299183510276066E-5</v>
      </c>
      <c r="Q13" s="7">
        <f>$B13 * IFERROR(VLOOKUP("electricity|NOx|Non-fatal heart attacks", US_national_yearly!$D:$AM, 25, FALSE) / VLOOKUP("electricity|NOx|Non-fatal heart attacks", US_national_yearly!$D:$AM, 10, FALSE), 1)</f>
        <v>9.5256203835447772E-5</v>
      </c>
      <c r="R13" s="7">
        <f>$B13 * IFERROR(VLOOKUP("electricity|NOx|Non-fatal heart attacks", US_national_yearly!$D:$AM, 26, FALSE) / VLOOKUP("electricity|NOx|Non-fatal heart attacks", US_national_yearly!$D:$AM, 10, FALSE), 1)</f>
        <v>9.6213224160619478E-5</v>
      </c>
      <c r="S13" s="7">
        <f>$B13 * IFERROR(VLOOKUP("electricity|NOx|Non-fatal heart attacks", US_national_yearly!$D:$AM, 27, FALSE) / VLOOKUP("electricity|NOx|Non-fatal heart attacks", US_national_yearly!$D:$AM, 10, FALSE), 1)</f>
        <v>9.6680821103168805E-5</v>
      </c>
      <c r="T13" s="7">
        <f>$B13 * IFERROR(VLOOKUP("electricity|NOx|Non-fatal heart attacks", US_national_yearly!$D:$AM, 28, FALSE) / VLOOKUP("electricity|NOx|Non-fatal heart attacks", US_national_yearly!$D:$AM, 10, FALSE), 1)</f>
        <v>9.7148418045718118E-5</v>
      </c>
      <c r="U13" s="7">
        <f>$B13 * IFERROR(VLOOKUP("electricity|NOx|Non-fatal heart attacks", US_national_yearly!$D:$AM, 29, FALSE) / VLOOKUP("electricity|NOx|Non-fatal heart attacks", US_national_yearly!$D:$AM, 10, FALSE), 1)</f>
        <v>9.7616014988267458E-5</v>
      </c>
      <c r="V13" s="7">
        <f>$B13 * IFERROR(VLOOKUP("electricity|NOx|Non-fatal heart attacks", US_national_yearly!$D:$AM, 30, FALSE) / VLOOKUP("electricity|NOx|Non-fatal heart attacks", US_national_yearly!$D:$AM, 10, FALSE), 1)</f>
        <v>9.8083611930816771E-5</v>
      </c>
      <c r="W13" s="7">
        <f>$B13 * IFERROR(VLOOKUP("electricity|NOx|Non-fatal heart attacks", US_national_yearly!$D:$AM, 31, FALSE) / VLOOKUP("electricity|NOx|Non-fatal heart attacks", US_national_yearly!$D:$AM, 10, FALSE), 1)</f>
        <v>9.8551208873366112E-5</v>
      </c>
      <c r="X13" s="7">
        <f>$B13 * IFERROR(VLOOKUP("electricity|NOx|Non-fatal heart attacks", US_national_yearly!$D:$AM, 32, FALSE) / VLOOKUP("electricity|NOx|Non-fatal heart attacks", US_national_yearly!$D:$AM, 10, FALSE), 1)</f>
        <v>9.887757911281747E-5</v>
      </c>
      <c r="Y13" s="7">
        <f>$B13 * IFERROR(VLOOKUP("electricity|NOx|Non-fatal heart attacks", US_national_yearly!$D:$AM, 33, FALSE) / VLOOKUP("electricity|NOx|Non-fatal heart attacks", US_national_yearly!$D:$AM, 10, FALSE), 1)</f>
        <v>9.9203949352268854E-5</v>
      </c>
      <c r="Z13" s="7">
        <f>$B13 * IFERROR(VLOOKUP("electricity|NOx|Non-fatal heart attacks", US_national_yearly!$D:$AM, 34, FALSE) / VLOOKUP("electricity|NOx|Non-fatal heart attacks", US_national_yearly!$D:$AM, 10, FALSE), 1)</f>
        <v>9.9530319591720212E-5</v>
      </c>
      <c r="AA13" s="7">
        <f>$B13 * IFERROR(VLOOKUP("electricity|NOx|Non-fatal heart attacks", US_national_yearly!$D:$AM, 35, FALSE) / VLOOKUP("electricity|NOx|Non-fatal heart attacks", US_national_yearly!$D:$AM, 10, FALSE), 1)</f>
        <v>9.9856689831171556E-5</v>
      </c>
      <c r="AB13" s="7">
        <f>$B13 * IFERROR(VLOOKUP("electricity|NOx|Non-fatal heart attacks", US_national_yearly!$D:$AM, 36, FALSE) / VLOOKUP("electricity|NOx|Non-fatal heart attacks", US_national_yearly!$D:$AM, 10, FALSE), 1)</f>
        <v>1.0018306007062295E-4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4.182392636074489E-2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4.1888051571706893E-2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4.1952176782668896E-2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4.2016301993630899E-2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4.2080427204592909E-2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4.219228398155659E-2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4.2304140758520258E-2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4.2525448634232119E-2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4.2746756509943966E-2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4.2968064385655827E-2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4.3189372261367674E-2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4.3410680137079542E-2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4.3730709919724789E-2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4.4050739702370029E-2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4.4370769485015268E-2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4.4690799267660515E-2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4.5010829050305769E-2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4.5333279001348523E-2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4.5655728952391277E-2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4.5978178903434037E-2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4.6300628854476791E-2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4.6623078805519545E-2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4.6895775905376046E-2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4.7168473005232511E-2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4.7441170105089046E-2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4.7713867204945533E-2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4.7986564304802019E-2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7.039395992921727E-3</v>
      </c>
      <c r="C15" s="7">
        <f>$B15 * IFERROR(VLOOKUP("electricity|NOx|Work loss days", US_national_yearly!$D:$AM, 11, FALSE) / VLOOKUP("electricity|NOx|Work loss days", US_national_yearly!$D:$AM, 10, FALSE), 1)</f>
        <v>7.0550963618686196E-3</v>
      </c>
      <c r="D15" s="7">
        <f>$B15 * IFERROR(VLOOKUP("electricity|NOx|Work loss days", US_national_yearly!$D:$AM, 12, FALSE) / VLOOKUP("electricity|NOx|Work loss days", US_national_yearly!$D:$AM, 10, FALSE), 1)</f>
        <v>7.0707967308155121E-3</v>
      </c>
      <c r="E15" s="7">
        <f>$B15 * IFERROR(VLOOKUP("electricity|NOx|Work loss days", US_national_yearly!$D:$AM, 13, FALSE) / VLOOKUP("electricity|NOx|Work loss days", US_national_yearly!$D:$AM, 10, FALSE), 1)</f>
        <v>7.0864970997624047E-3</v>
      </c>
      <c r="F15" s="7">
        <f>$B15 * IFERROR(VLOOKUP("electricity|NOx|Work loss days", US_national_yearly!$D:$AM, 14, FALSE) / VLOOKUP("electricity|NOx|Work loss days", US_national_yearly!$D:$AM, 10, FALSE), 1)</f>
        <v>7.1021974687092973E-3</v>
      </c>
      <c r="G15" s="7">
        <f>$B15 * IFERROR(VLOOKUP("electricity|NOx|Work loss days", US_national_yearly!$D:$AM, 15, FALSE) / VLOOKUP("electricity|NOx|Work loss days", US_national_yearly!$D:$AM, 10, FALSE), 1)</f>
        <v>7.1243313897431E-3</v>
      </c>
      <c r="H15" s="7">
        <f>$B15 * IFERROR(VLOOKUP("electricity|NOx|Work loss days", US_national_yearly!$D:$AM, 16, FALSE) / VLOOKUP("electricity|NOx|Work loss days", US_national_yearly!$D:$AM, 10, FALSE), 1)</f>
        <v>7.146465310776901E-3</v>
      </c>
      <c r="I15" s="7">
        <f>$B15 * IFERROR(VLOOKUP("electricity|NOx|Work loss days", US_national_yearly!$D:$AM, 17, FALSE) / VLOOKUP("electricity|NOx|Work loss days", US_national_yearly!$D:$AM, 10, FALSE), 1)</f>
        <v>7.1824048567392055E-3</v>
      </c>
      <c r="J15" s="7">
        <f>$B15 * IFERROR(VLOOKUP("electricity|NOx|Work loss days", US_national_yearly!$D:$AM, 18, FALSE) / VLOOKUP("electricity|NOx|Work loss days", US_national_yearly!$D:$AM, 10, FALSE), 1)</f>
        <v>7.2183444027015091E-3</v>
      </c>
      <c r="K15" s="7">
        <f>$B15 * IFERROR(VLOOKUP("electricity|NOx|Work loss days", US_national_yearly!$D:$AM, 19, FALSE) / VLOOKUP("electricity|NOx|Work loss days", US_national_yearly!$D:$AM, 10, FALSE), 1)</f>
        <v>7.2542839486638118E-3</v>
      </c>
      <c r="L15" s="7">
        <f>$B15 * IFERROR(VLOOKUP("electricity|NOx|Work loss days", US_national_yearly!$D:$AM, 20, FALSE) / VLOOKUP("electricity|NOx|Work loss days", US_national_yearly!$D:$AM, 10, FALSE), 1)</f>
        <v>7.2902234946261146E-3</v>
      </c>
      <c r="M15" s="7">
        <f>$B15 * IFERROR(VLOOKUP("electricity|NOx|Work loss days", US_national_yearly!$D:$AM, 21, FALSE) / VLOOKUP("electricity|NOx|Work loss days", US_national_yearly!$D:$AM, 10, FALSE), 1)</f>
        <v>7.3261630405884164E-3</v>
      </c>
      <c r="N15" s="7">
        <f>$B15 * IFERROR(VLOOKUP("electricity|NOx|Work loss days", US_national_yearly!$D:$AM, 22, FALSE) / VLOOKUP("electricity|NOx|Work loss days", US_national_yearly!$D:$AM, 10, FALSE), 1)</f>
        <v>7.373580565654069E-3</v>
      </c>
      <c r="O15" s="7">
        <f>$B15 * IFERROR(VLOOKUP("electricity|NOx|Work loss days", US_national_yearly!$D:$AM, 23, FALSE) / VLOOKUP("electricity|NOx|Work loss days", US_national_yearly!$D:$AM, 10, FALSE), 1)</f>
        <v>7.4209980907197189E-3</v>
      </c>
      <c r="P15" s="7">
        <f>$B15 * IFERROR(VLOOKUP("electricity|NOx|Work loss days", US_national_yearly!$D:$AM, 24, FALSE) / VLOOKUP("electricity|NOx|Work loss days", US_national_yearly!$D:$AM, 10, FALSE), 1)</f>
        <v>7.4684156157853706E-3</v>
      </c>
      <c r="Q15" s="7">
        <f>$B15 * IFERROR(VLOOKUP("electricity|NOx|Work loss days", US_national_yearly!$D:$AM, 25, FALSE) / VLOOKUP("electricity|NOx|Work loss days", US_national_yearly!$D:$AM, 10, FALSE), 1)</f>
        <v>7.5158331408510222E-3</v>
      </c>
      <c r="R15" s="7">
        <f>$B15 * IFERROR(VLOOKUP("electricity|NOx|Work loss days", US_national_yearly!$D:$AM, 26, FALSE) / VLOOKUP("electricity|NOx|Work loss days", US_national_yearly!$D:$AM, 10, FALSE), 1)</f>
        <v>7.5632506659166713E-3</v>
      </c>
      <c r="S15" s="7">
        <f>$B15 * IFERROR(VLOOKUP("electricity|NOx|Work loss days", US_national_yearly!$D:$AM, 27, FALSE) / VLOOKUP("electricity|NOx|Work loss days", US_national_yearly!$D:$AM, 10, FALSE), 1)</f>
        <v>7.6163880409070277E-3</v>
      </c>
      <c r="T15" s="7">
        <f>$B15 * IFERROR(VLOOKUP("electricity|NOx|Work loss days", US_national_yearly!$D:$AM, 28, FALSE) / VLOOKUP("electricity|NOx|Work loss days", US_national_yearly!$D:$AM, 10, FALSE), 1)</f>
        <v>7.6695254158973825E-3</v>
      </c>
      <c r="U15" s="7">
        <f>$B15 * IFERROR(VLOOKUP("electricity|NOx|Work loss days", US_national_yearly!$D:$AM, 29, FALSE) / VLOOKUP("electricity|NOx|Work loss days", US_national_yearly!$D:$AM, 10, FALSE), 1)</f>
        <v>7.7226627908877372E-3</v>
      </c>
      <c r="V15" s="7">
        <f>$B15 * IFERROR(VLOOKUP("electricity|NOx|Work loss days", US_national_yearly!$D:$AM, 30, FALSE) / VLOOKUP("electricity|NOx|Work loss days", US_national_yearly!$D:$AM, 10, FALSE), 1)</f>
        <v>7.7758001658780928E-3</v>
      </c>
      <c r="W15" s="7">
        <f>$B15 * IFERROR(VLOOKUP("electricity|NOx|Work loss days", US_national_yearly!$D:$AM, 31, FALSE) / VLOOKUP("electricity|NOx|Work loss days", US_national_yearly!$D:$AM, 10, FALSE), 1)</f>
        <v>7.8289375408684483E-3</v>
      </c>
      <c r="X15" s="7">
        <f>$B15 * IFERROR(VLOOKUP("electricity|NOx|Work loss days", US_national_yearly!$D:$AM, 32, FALSE) / VLOOKUP("electricity|NOx|Work loss days", US_national_yearly!$D:$AM, 10, FALSE), 1)</f>
        <v>7.8752576207137322E-3</v>
      </c>
      <c r="Y15" s="7">
        <f>$B15 * IFERROR(VLOOKUP("electricity|NOx|Work loss days", US_national_yearly!$D:$AM, 33, FALSE) / VLOOKUP("electricity|NOx|Work loss days", US_national_yearly!$D:$AM, 10, FALSE), 1)</f>
        <v>7.9215777005590161E-3</v>
      </c>
      <c r="Z15" s="7">
        <f>$B15 * IFERROR(VLOOKUP("electricity|NOx|Work loss days", US_national_yearly!$D:$AM, 34, FALSE) / VLOOKUP("electricity|NOx|Work loss days", US_national_yearly!$D:$AM, 10, FALSE), 1)</f>
        <v>7.9678977804043E-3</v>
      </c>
      <c r="AA15" s="7">
        <f>$B15 * IFERROR(VLOOKUP("electricity|NOx|Work loss days", US_national_yearly!$D:$AM, 35, FALSE) / VLOOKUP("electricity|NOx|Work loss days", US_national_yearly!$D:$AM, 10, FALSE), 1)</f>
        <v>8.0142178602495839E-3</v>
      </c>
      <c r="AB15" s="7">
        <f>$B15 * IFERROR(VLOOKUP("electricity|NOx|Work loss days", US_national_yearly!$D:$AM, 36, FALSE) / VLOOKUP("electricity|NOx|Work loss days", US_national_yearly!$D:$AM, 10, FALSE), 1)</f>
        <v>8.0605379400948678E-3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1.7317319528027667E-5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1.7827429460961453E-5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1.8337539393895245E-5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1.8847649326829031E-5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1.935775925976282E-5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1.9846229127209586E-5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2.0334698994656351E-5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2.0751633101998664E-5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2.1168567209340983E-5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2.1585501316683299E-5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2.2002435424025619E-5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2.2419369531367931E-5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2.2686946218918156E-5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2.295452290646838E-5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2.3222099594018605E-5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2.348967628156883E-5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2.3757252969119054E-5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2.3888932172618615E-5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2.4020611376118175E-5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2.4152290579617732E-5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2.4283969783117296E-5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2.4415648986616857E-5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2.4494569334928367E-5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2.4573489683239877E-5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2.4652410031551386E-5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2.4731330379862896E-5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2.4810250728174406E-5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4.2036388982647804E-2</v>
      </c>
      <c r="C2" s="7">
        <f>$B2 * IFERROR(VLOOKUP("electricity|SO2|Premature mortality", US_national_yearly!$D:$AM, 11, FALSE) / VLOOKUP("electricity|SO2|Premature mortality", US_national_yearly!$D:$AM, 10, FALSE), 1)</f>
        <v>4.2575305187474023E-2</v>
      </c>
      <c r="D2" s="7">
        <f>$B2 * IFERROR(VLOOKUP("electricity|SO2|Premature mortality", US_national_yearly!$D:$AM, 12, FALSE) / VLOOKUP("electricity|SO2|Premature mortality", US_national_yearly!$D:$AM, 10, FALSE), 1)</f>
        <v>4.3114221392300242E-2</v>
      </c>
      <c r="E2" s="7">
        <f>$B2 * IFERROR(VLOOKUP("electricity|SO2|Premature mortality", US_national_yearly!$D:$AM, 13, FALSE) / VLOOKUP("electricity|SO2|Premature mortality", US_national_yearly!$D:$AM, 10, FALSE), 1)</f>
        <v>4.3653137597126461E-2</v>
      </c>
      <c r="F2" s="7">
        <f>$B2 * IFERROR(VLOOKUP("electricity|SO2|Premature mortality", US_national_yearly!$D:$AM, 14, FALSE) / VLOOKUP("electricity|SO2|Premature mortality", US_national_yearly!$D:$AM, 10, FALSE), 1)</f>
        <v>4.4192053801952673E-2</v>
      </c>
      <c r="G2" s="7">
        <f>$B2 * IFERROR(VLOOKUP("electricity|SO2|Premature mortality", US_national_yearly!$D:$AM, 15, FALSE) / VLOOKUP("electricity|SO2|Premature mortality", US_national_yearly!$D:$AM, 10, FALSE), 1)</f>
        <v>4.5230222569374312E-2</v>
      </c>
      <c r="H2" s="7">
        <f>$B2 * IFERROR(VLOOKUP("electricity|SO2|Premature mortality", US_national_yearly!$D:$AM, 16, FALSE) / VLOOKUP("electricity|SO2|Premature mortality", US_national_yearly!$D:$AM, 10, FALSE), 1)</f>
        <v>4.6268391336795944E-2</v>
      </c>
      <c r="I2" s="7">
        <f>$B2 * IFERROR(VLOOKUP("electricity|SO2|Premature mortality", US_national_yearly!$D:$AM, 17, FALSE) / VLOOKUP("electricity|SO2|Premature mortality", US_national_yearly!$D:$AM, 10, FALSE), 1)</f>
        <v>4.6967222305440925E-2</v>
      </c>
      <c r="J2" s="7">
        <f>$B2 * IFERROR(VLOOKUP("electricity|SO2|Premature mortality", US_national_yearly!$D:$AM, 18, FALSE) / VLOOKUP("electricity|SO2|Premature mortality", US_national_yearly!$D:$AM, 10, FALSE), 1)</f>
        <v>4.7666053274085907E-2</v>
      </c>
      <c r="K2" s="7">
        <f>$B2 * IFERROR(VLOOKUP("electricity|SO2|Premature mortality", US_national_yearly!$D:$AM, 19, FALSE) / VLOOKUP("electricity|SO2|Premature mortality", US_national_yearly!$D:$AM, 10, FALSE), 1)</f>
        <v>4.8364884242730881E-2</v>
      </c>
      <c r="L2" s="7">
        <f>$B2 * IFERROR(VLOOKUP("electricity|SO2|Premature mortality", US_national_yearly!$D:$AM, 20, FALSE) / VLOOKUP("electricity|SO2|Premature mortality", US_national_yearly!$D:$AM, 10, FALSE), 1)</f>
        <v>4.9063715211375869E-2</v>
      </c>
      <c r="M2" s="7">
        <f>$B2 * IFERROR(VLOOKUP("electricity|SO2|Premature mortality", US_national_yearly!$D:$AM, 21, FALSE) / VLOOKUP("electricity|SO2|Premature mortality", US_national_yearly!$D:$AM, 10, FALSE), 1)</f>
        <v>4.9762546180020843E-2</v>
      </c>
      <c r="N2" s="7">
        <f>$B2 * IFERROR(VLOOKUP("electricity|SO2|Premature mortality", US_national_yearly!$D:$AM, 22, FALSE) / VLOOKUP("electricity|SO2|Premature mortality", US_national_yearly!$D:$AM, 10, FALSE), 1)</f>
        <v>5.0322603501514837E-2</v>
      </c>
      <c r="O2" s="7">
        <f>$B2 * IFERROR(VLOOKUP("electricity|SO2|Premature mortality", US_national_yearly!$D:$AM, 23, FALSE) / VLOOKUP("electricity|SO2|Premature mortality", US_national_yearly!$D:$AM, 10, FALSE), 1)</f>
        <v>5.0882660823008845E-2</v>
      </c>
      <c r="P2" s="7">
        <f>$B2 * IFERROR(VLOOKUP("electricity|SO2|Premature mortality", US_national_yearly!$D:$AM, 24, FALSE) / VLOOKUP("electricity|SO2|Premature mortality", US_national_yearly!$D:$AM, 10, FALSE), 1)</f>
        <v>5.1442718144502832E-2</v>
      </c>
      <c r="Q2" s="7">
        <f>$B2 * IFERROR(VLOOKUP("electricity|SO2|Premature mortality", US_national_yearly!$D:$AM, 25, FALSE) / VLOOKUP("electricity|SO2|Premature mortality", US_national_yearly!$D:$AM, 10, FALSE), 1)</f>
        <v>5.2002775465996826E-2</v>
      </c>
      <c r="R2" s="7">
        <f>$B2 * IFERROR(VLOOKUP("electricity|SO2|Premature mortality", US_national_yearly!$D:$AM, 26, FALSE) / VLOOKUP("electricity|SO2|Premature mortality", US_national_yearly!$D:$AM, 10, FALSE), 1)</f>
        <v>5.2562832787490826E-2</v>
      </c>
      <c r="S2" s="7">
        <f>$B2 * IFERROR(VLOOKUP("electricity|SO2|Premature mortality", US_national_yearly!$D:$AM, 27, FALSE) / VLOOKUP("electricity|SO2|Premature mortality", US_national_yearly!$D:$AM, 10, FALSE), 1)</f>
        <v>5.2883930008923177E-2</v>
      </c>
      <c r="T2" s="7">
        <f>$B2 * IFERROR(VLOOKUP("electricity|SO2|Premature mortality", US_national_yearly!$D:$AM, 28, FALSE) / VLOOKUP("electricity|SO2|Premature mortality", US_national_yearly!$D:$AM, 10, FALSE), 1)</f>
        <v>5.3205027230355535E-2</v>
      </c>
      <c r="U2" s="7">
        <f>$B2 * IFERROR(VLOOKUP("electricity|SO2|Premature mortality", US_national_yearly!$D:$AM, 29, FALSE) / VLOOKUP("electricity|SO2|Premature mortality", US_national_yearly!$D:$AM, 10, FALSE), 1)</f>
        <v>5.3526124451787886E-2</v>
      </c>
      <c r="V2" s="7">
        <f>$B2 * IFERROR(VLOOKUP("electricity|SO2|Premature mortality", US_national_yearly!$D:$AM, 30, FALSE) / VLOOKUP("electricity|SO2|Premature mortality", US_national_yearly!$D:$AM, 10, FALSE), 1)</f>
        <v>5.3847221673220244E-2</v>
      </c>
      <c r="W2" s="7">
        <f>$B2 * IFERROR(VLOOKUP("electricity|SO2|Premature mortality", US_national_yearly!$D:$AM, 31, FALSE) / VLOOKUP("electricity|SO2|Premature mortality", US_national_yearly!$D:$AM, 10, FALSE), 1)</f>
        <v>5.4168318894652595E-2</v>
      </c>
      <c r="X2" s="7">
        <f>$B2 * IFERROR(VLOOKUP("electricity|SO2|Premature mortality", US_national_yearly!$D:$AM, 32, FALSE) / VLOOKUP("electricity|SO2|Premature mortality", US_national_yearly!$D:$AM, 10, FALSE), 1)</f>
        <v>5.4262928800069367E-2</v>
      </c>
      <c r="Y2" s="7">
        <f>$B2 * IFERROR(VLOOKUP("electricity|SO2|Premature mortality", US_national_yearly!$D:$AM, 33, FALSE) / VLOOKUP("electricity|SO2|Premature mortality", US_national_yearly!$D:$AM, 10, FALSE), 1)</f>
        <v>5.4357538705486125E-2</v>
      </c>
      <c r="Z2" s="7">
        <f>$B2 * IFERROR(VLOOKUP("electricity|SO2|Premature mortality", US_national_yearly!$D:$AM, 34, FALSE) / VLOOKUP("electricity|SO2|Premature mortality", US_national_yearly!$D:$AM, 10, FALSE), 1)</f>
        <v>5.445214861090289E-2</v>
      </c>
      <c r="AA2" s="7">
        <f>$B2 * IFERROR(VLOOKUP("electricity|SO2|Premature mortality", US_national_yearly!$D:$AM, 35, FALSE) / VLOOKUP("electricity|SO2|Premature mortality", US_national_yearly!$D:$AM, 10, FALSE), 1)</f>
        <v>5.4546758516319661E-2</v>
      </c>
      <c r="AB2" s="7">
        <f>$B2 * IFERROR(VLOOKUP("electricity|SO2|Premature mortality", US_national_yearly!$D:$AM, 36, FALSE) / VLOOKUP("electricity|SO2|Premature mortality", US_national_yearly!$D:$AM, 10, FALSE), 1)</f>
        <v>5.4641368421736419E-2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7.0202642657785918E-5</v>
      </c>
      <c r="C3" s="7">
        <f>$B3 * IFERROR(VLOOKUP("electricity|SO2|Infant mortality", US_national_yearly!$D:$AM, 11, FALSE) / VLOOKUP("electricity|SO2|Infant mortality", US_national_yearly!$D:$AM, 10, FALSE), 1)</f>
        <v>6.9609563808198429E-5</v>
      </c>
      <c r="D3" s="7">
        <f>$B3 * IFERROR(VLOOKUP("electricity|SO2|Infant mortality", US_national_yearly!$D:$AM, 12, FALSE) / VLOOKUP("electricity|SO2|Infant mortality", US_national_yearly!$D:$AM, 10, FALSE), 1)</f>
        <v>6.9016484958610926E-5</v>
      </c>
      <c r="E3" s="7">
        <f>$B3 * IFERROR(VLOOKUP("electricity|SO2|Infant mortality", US_national_yearly!$D:$AM, 13, FALSE) / VLOOKUP("electricity|SO2|Infant mortality", US_national_yearly!$D:$AM, 10, FALSE), 1)</f>
        <v>6.8423406109023436E-5</v>
      </c>
      <c r="F3" s="7">
        <f>$B3 * IFERROR(VLOOKUP("electricity|SO2|Infant mortality", US_national_yearly!$D:$AM, 14, FALSE) / VLOOKUP("electricity|SO2|Infant mortality", US_national_yearly!$D:$AM, 10, FALSE), 1)</f>
        <v>6.7830327259435947E-5</v>
      </c>
      <c r="G3" s="7">
        <f>$B3 * IFERROR(VLOOKUP("electricity|SO2|Infant mortality", US_national_yearly!$D:$AM, 15, FALSE) / VLOOKUP("electricity|SO2|Infant mortality", US_national_yearly!$D:$AM, 10, FALSE), 1)</f>
        <v>4.5110681324402217E-5</v>
      </c>
      <c r="H3" s="7">
        <f>$B3 * IFERROR(VLOOKUP("electricity|SO2|Infant mortality", US_national_yearly!$D:$AM, 16, FALSE) / VLOOKUP("electricity|SO2|Infant mortality", US_national_yearly!$D:$AM, 10, FALSE), 1)</f>
        <v>2.2391035389368488E-5</v>
      </c>
      <c r="I3" s="7">
        <f>$B3 * IFERROR(VLOOKUP("electricity|SO2|Infant mortality", US_national_yearly!$D:$AM, 17, FALSE) / VLOOKUP("electricity|SO2|Infant mortality", US_national_yearly!$D:$AM, 10, FALSE), 1)</f>
        <v>2.2247789173965325E-5</v>
      </c>
      <c r="J3" s="7">
        <f>$B3 * IFERROR(VLOOKUP("electricity|SO2|Infant mortality", US_national_yearly!$D:$AM, 18, FALSE) / VLOOKUP("electricity|SO2|Infant mortality", US_national_yearly!$D:$AM, 10, FALSE), 1)</f>
        <v>2.2104542958562158E-5</v>
      </c>
      <c r="K3" s="7">
        <f>$B3 * IFERROR(VLOOKUP("electricity|SO2|Infant mortality", US_national_yearly!$D:$AM, 19, FALSE) / VLOOKUP("electricity|SO2|Infant mortality", US_national_yearly!$D:$AM, 10, FALSE), 1)</f>
        <v>2.1961296743158998E-5</v>
      </c>
      <c r="L3" s="7">
        <f>$B3 * IFERROR(VLOOKUP("electricity|SO2|Infant mortality", US_national_yearly!$D:$AM, 20, FALSE) / VLOOKUP("electricity|SO2|Infant mortality", US_national_yearly!$D:$AM, 10, FALSE), 1)</f>
        <v>2.1818050527755828E-5</v>
      </c>
      <c r="M3" s="7">
        <f>$B3 * IFERROR(VLOOKUP("electricity|SO2|Infant mortality", US_national_yearly!$D:$AM, 21, FALSE) / VLOOKUP("electricity|SO2|Infant mortality", US_national_yearly!$D:$AM, 10, FALSE), 1)</f>
        <v>2.1674804312352665E-5</v>
      </c>
      <c r="N3" s="7">
        <f>$B3 * IFERROR(VLOOKUP("electricity|SO2|Infant mortality", US_national_yearly!$D:$AM, 22, FALSE) / VLOOKUP("electricity|SO2|Infant mortality", US_national_yearly!$D:$AM, 10, FALSE), 1)</f>
        <v>2.1584037162599436E-5</v>
      </c>
      <c r="O3" s="7">
        <f>$B3 * IFERROR(VLOOKUP("electricity|SO2|Infant mortality", US_national_yearly!$D:$AM, 23, FALSE) / VLOOKUP("electricity|SO2|Infant mortality", US_national_yearly!$D:$AM, 10, FALSE), 1)</f>
        <v>2.1493270012846204E-5</v>
      </c>
      <c r="P3" s="7">
        <f>$B3 * IFERROR(VLOOKUP("electricity|SO2|Infant mortality", US_national_yearly!$D:$AM, 24, FALSE) / VLOOKUP("electricity|SO2|Infant mortality", US_national_yearly!$D:$AM, 10, FALSE), 1)</f>
        <v>2.1402502863092972E-5</v>
      </c>
      <c r="Q3" s="7">
        <f>$B3 * IFERROR(VLOOKUP("electricity|SO2|Infant mortality", US_national_yearly!$D:$AM, 25, FALSE) / VLOOKUP("electricity|SO2|Infant mortality", US_national_yearly!$D:$AM, 10, FALSE), 1)</f>
        <v>2.1311735713339744E-5</v>
      </c>
      <c r="R3" s="7">
        <f>$B3 * IFERROR(VLOOKUP("electricity|SO2|Infant mortality", US_national_yearly!$D:$AM, 26, FALSE) / VLOOKUP("electricity|SO2|Infant mortality", US_national_yearly!$D:$AM, 10, FALSE), 1)</f>
        <v>2.1220968563586515E-5</v>
      </c>
      <c r="S3" s="7">
        <f>$B3 * IFERROR(VLOOKUP("electricity|SO2|Infant mortality", US_national_yearly!$D:$AM, 27, FALSE) / VLOOKUP("electricity|SO2|Infant mortality", US_national_yearly!$D:$AM, 10, FALSE), 1)</f>
        <v>2.1107838812598851E-5</v>
      </c>
      <c r="T3" s="7">
        <f>$B3 * IFERROR(VLOOKUP("electricity|SO2|Infant mortality", US_national_yearly!$D:$AM, 28, FALSE) / VLOOKUP("electricity|SO2|Infant mortality", US_national_yearly!$D:$AM, 10, FALSE), 1)</f>
        <v>2.0994709061611186E-5</v>
      </c>
      <c r="U3" s="7">
        <f>$B3 * IFERROR(VLOOKUP("electricity|SO2|Infant mortality", US_national_yearly!$D:$AM, 29, FALSE) / VLOOKUP("electricity|SO2|Infant mortality", US_national_yearly!$D:$AM, 10, FALSE), 1)</f>
        <v>2.0881579310623525E-5</v>
      </c>
      <c r="V3" s="7">
        <f>$B3 * IFERROR(VLOOKUP("electricity|SO2|Infant mortality", US_national_yearly!$D:$AM, 30, FALSE) / VLOOKUP("electricity|SO2|Infant mortality", US_national_yearly!$D:$AM, 10, FALSE), 1)</f>
        <v>2.0768449559635861E-5</v>
      </c>
      <c r="W3" s="7">
        <f>$B3 * IFERROR(VLOOKUP("electricity|SO2|Infant mortality", US_national_yearly!$D:$AM, 31, FALSE) / VLOOKUP("electricity|SO2|Infant mortality", US_national_yearly!$D:$AM, 10, FALSE), 1)</f>
        <v>2.0655319808648193E-5</v>
      </c>
      <c r="X3" s="7">
        <f>$B3 * IFERROR(VLOOKUP("electricity|SO2|Infant mortality", US_national_yearly!$D:$AM, 32, FALSE) / VLOOKUP("electricity|SO2|Infant mortality", US_national_yearly!$D:$AM, 10, FALSE), 1)</f>
        <v>2.0534613677226586E-5</v>
      </c>
      <c r="Y3" s="7">
        <f>$B3 * IFERROR(VLOOKUP("electricity|SO2|Infant mortality", US_national_yearly!$D:$AM, 33, FALSE) / VLOOKUP("electricity|SO2|Infant mortality", US_national_yearly!$D:$AM, 10, FALSE), 1)</f>
        <v>2.0413907545804969E-5</v>
      </c>
      <c r="Z3" s="7">
        <f>$B3 * IFERROR(VLOOKUP("electricity|SO2|Infant mortality", US_national_yearly!$D:$AM, 34, FALSE) / VLOOKUP("electricity|SO2|Infant mortality", US_national_yearly!$D:$AM, 10, FALSE), 1)</f>
        <v>2.0293201414383361E-5</v>
      </c>
      <c r="AA3" s="7">
        <f>$B3 * IFERROR(VLOOKUP("electricity|SO2|Infant mortality", US_national_yearly!$D:$AM, 35, FALSE) / VLOOKUP("electricity|SO2|Infant mortality", US_national_yearly!$D:$AM, 10, FALSE), 1)</f>
        <v>2.0172495282961754E-5</v>
      </c>
      <c r="AB3" s="7">
        <f>$B3 * IFERROR(VLOOKUP("electricity|SO2|Infant mortality", US_national_yearly!$D:$AM, 36, FALSE) / VLOOKUP("electricity|SO2|Infant mortality", US_national_yearly!$D:$AM, 10, FALSE), 1)</f>
        <v>2.005178915154014E-5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0.10867289814820466</v>
      </c>
      <c r="C6" s="7">
        <f>$B6 * IFERROR(VLOOKUP("electricity|SO2|Asthma symptoms cough", US_national_yearly!$D:$AM, 11, FALSE) / VLOOKUP("electricity|SO2|Asthma symptoms cough", US_national_yearly!$D:$AM, 10, FALSE), 1)</f>
        <v>0.10867289814820466</v>
      </c>
      <c r="D6" s="7">
        <f>$B6 * IFERROR(VLOOKUP("electricity|SO2|Asthma symptoms cough", US_national_yearly!$D:$AM, 12, FALSE) / VLOOKUP("electricity|SO2|Asthma symptoms cough", US_national_yearly!$D:$AM, 10, FALSE), 1)</f>
        <v>0.10867289814820466</v>
      </c>
      <c r="E6" s="7">
        <f>$B6 * IFERROR(VLOOKUP("electricity|SO2|Asthma symptoms cough", US_national_yearly!$D:$AM, 13, FALSE) / VLOOKUP("electricity|SO2|Asthma symptoms cough", US_national_yearly!$D:$AM, 10, FALSE), 1)</f>
        <v>0.10867289814820466</v>
      </c>
      <c r="F6" s="7">
        <f>$B6 * IFERROR(VLOOKUP("electricity|SO2|Asthma symptoms cough", US_national_yearly!$D:$AM, 14, FALSE) / VLOOKUP("electricity|SO2|Asthma symptoms cough", US_national_yearly!$D:$AM, 10, FALSE), 1)</f>
        <v>0.10867289814820466</v>
      </c>
      <c r="G6" s="7">
        <f>$B6 * IFERROR(VLOOKUP("electricity|SO2|Asthma symptoms cough", US_national_yearly!$D:$AM, 15, FALSE) / VLOOKUP("electricity|SO2|Asthma symptoms cough", US_national_yearly!$D:$AM, 10, FALSE), 1)</f>
        <v>0.10867289814820466</v>
      </c>
      <c r="H6" s="7">
        <f>$B6 * IFERROR(VLOOKUP("electricity|SO2|Asthma symptoms cough", US_national_yearly!$D:$AM, 16, FALSE) / VLOOKUP("electricity|SO2|Asthma symptoms cough", US_national_yearly!$D:$AM, 10, FALSE), 1)</f>
        <v>0.10867289814820466</v>
      </c>
      <c r="I6" s="7">
        <f>$B6 * IFERROR(VLOOKUP("electricity|SO2|Asthma symptoms cough", US_national_yearly!$D:$AM, 17, FALSE) / VLOOKUP("electricity|SO2|Asthma symptoms cough", US_national_yearly!$D:$AM, 10, FALSE), 1)</f>
        <v>0.10867289814820466</v>
      </c>
      <c r="J6" s="7">
        <f>$B6 * IFERROR(VLOOKUP("electricity|SO2|Asthma symptoms cough", US_national_yearly!$D:$AM, 18, FALSE) / VLOOKUP("electricity|SO2|Asthma symptoms cough", US_national_yearly!$D:$AM, 10, FALSE), 1)</f>
        <v>0.10867289814820466</v>
      </c>
      <c r="K6" s="7">
        <f>$B6 * IFERROR(VLOOKUP("electricity|SO2|Asthma symptoms cough", US_national_yearly!$D:$AM, 19, FALSE) / VLOOKUP("electricity|SO2|Asthma symptoms cough", US_national_yearly!$D:$AM, 10, FALSE), 1)</f>
        <v>0.10867289814820466</v>
      </c>
      <c r="L6" s="7">
        <f>$B6 * IFERROR(VLOOKUP("electricity|SO2|Asthma symptoms cough", US_national_yearly!$D:$AM, 20, FALSE) / VLOOKUP("electricity|SO2|Asthma symptoms cough", US_national_yearly!$D:$AM, 10, FALSE), 1)</f>
        <v>0.10867289814820466</v>
      </c>
      <c r="M6" s="7">
        <f>$B6 * IFERROR(VLOOKUP("electricity|SO2|Asthma symptoms cough", US_national_yearly!$D:$AM, 21, FALSE) / VLOOKUP("electricity|SO2|Asthma symptoms cough", US_national_yearly!$D:$AM, 10, FALSE), 1)</f>
        <v>0.10867289814820466</v>
      </c>
      <c r="N6" s="7">
        <f>$B6 * IFERROR(VLOOKUP("electricity|SO2|Asthma symptoms cough", US_national_yearly!$D:$AM, 22, FALSE) / VLOOKUP("electricity|SO2|Asthma symptoms cough", US_national_yearly!$D:$AM, 10, FALSE), 1)</f>
        <v>0.10867289814820466</v>
      </c>
      <c r="O6" s="7">
        <f>$B6 * IFERROR(VLOOKUP("electricity|SO2|Asthma symptoms cough", US_national_yearly!$D:$AM, 23, FALSE) / VLOOKUP("electricity|SO2|Asthma symptoms cough", US_national_yearly!$D:$AM, 10, FALSE), 1)</f>
        <v>0.10867289814820466</v>
      </c>
      <c r="P6" s="7">
        <f>$B6 * IFERROR(VLOOKUP("electricity|SO2|Asthma symptoms cough", US_national_yearly!$D:$AM, 24, FALSE) / VLOOKUP("electricity|SO2|Asthma symptoms cough", US_national_yearly!$D:$AM, 10, FALSE), 1)</f>
        <v>0.10867289814820466</v>
      </c>
      <c r="Q6" s="7">
        <f>$B6 * IFERROR(VLOOKUP("electricity|SO2|Asthma symptoms cough", US_national_yearly!$D:$AM, 25, FALSE) / VLOOKUP("electricity|SO2|Asthma symptoms cough", US_national_yearly!$D:$AM, 10, FALSE), 1)</f>
        <v>0.10867289814820466</v>
      </c>
      <c r="R6" s="7">
        <f>$B6 * IFERROR(VLOOKUP("electricity|SO2|Asthma symptoms cough", US_national_yearly!$D:$AM, 26, FALSE) / VLOOKUP("electricity|SO2|Asthma symptoms cough", US_national_yearly!$D:$AM, 10, FALSE), 1)</f>
        <v>0.10867289814820466</v>
      </c>
      <c r="S6" s="7">
        <f>$B6 * IFERROR(VLOOKUP("electricity|SO2|Asthma symptoms cough", US_national_yearly!$D:$AM, 27, FALSE) / VLOOKUP("electricity|SO2|Asthma symptoms cough", US_national_yearly!$D:$AM, 10, FALSE), 1)</f>
        <v>0.10867289814820466</v>
      </c>
      <c r="T6" s="7">
        <f>$B6 * IFERROR(VLOOKUP("electricity|SO2|Asthma symptoms cough", US_national_yearly!$D:$AM, 28, FALSE) / VLOOKUP("electricity|SO2|Asthma symptoms cough", US_national_yearly!$D:$AM, 10, FALSE), 1)</f>
        <v>0.10867289814820466</v>
      </c>
      <c r="U6" s="7">
        <f>$B6 * IFERROR(VLOOKUP("electricity|SO2|Asthma symptoms cough", US_national_yearly!$D:$AM, 29, FALSE) / VLOOKUP("electricity|SO2|Asthma symptoms cough", US_national_yearly!$D:$AM, 10, FALSE), 1)</f>
        <v>0.10867289814820466</v>
      </c>
      <c r="V6" s="7">
        <f>$B6 * IFERROR(VLOOKUP("electricity|SO2|Asthma symptoms cough", US_national_yearly!$D:$AM, 30, FALSE) / VLOOKUP("electricity|SO2|Asthma symptoms cough", US_national_yearly!$D:$AM, 10, FALSE), 1)</f>
        <v>0.10867289814820466</v>
      </c>
      <c r="W6" s="7">
        <f>$B6 * IFERROR(VLOOKUP("electricity|SO2|Asthma symptoms cough", US_national_yearly!$D:$AM, 31, FALSE) / VLOOKUP("electricity|SO2|Asthma symptoms cough", US_national_yearly!$D:$AM, 10, FALSE), 1)</f>
        <v>0.10867289814820466</v>
      </c>
      <c r="X6" s="7">
        <f>$B6 * IFERROR(VLOOKUP("electricity|SO2|Asthma symptoms cough", US_national_yearly!$D:$AM, 32, FALSE) / VLOOKUP("electricity|SO2|Asthma symptoms cough", US_national_yearly!$D:$AM, 10, FALSE), 1)</f>
        <v>0.10867289814820466</v>
      </c>
      <c r="Y6" s="7">
        <f>$B6 * IFERROR(VLOOKUP("electricity|SO2|Asthma symptoms cough", US_national_yearly!$D:$AM, 33, FALSE) / VLOOKUP("electricity|SO2|Asthma symptoms cough", US_national_yearly!$D:$AM, 10, FALSE), 1)</f>
        <v>0.10867289814820466</v>
      </c>
      <c r="Z6" s="7">
        <f>$B6 * IFERROR(VLOOKUP("electricity|SO2|Asthma symptoms cough", US_national_yearly!$D:$AM, 34, FALSE) / VLOOKUP("electricity|SO2|Asthma symptoms cough", US_national_yearly!$D:$AM, 10, FALSE), 1)</f>
        <v>0.10867289814820466</v>
      </c>
      <c r="AA6" s="7">
        <f>$B6 * IFERROR(VLOOKUP("electricity|SO2|Asthma symptoms cough", US_national_yearly!$D:$AM, 35, FALSE) / VLOOKUP("electricity|SO2|Asthma symptoms cough", US_national_yearly!$D:$AM, 10, FALSE), 1)</f>
        <v>0.10867289814820466</v>
      </c>
      <c r="AB6" s="7">
        <f>$B6 * IFERROR(VLOOKUP("electricity|SO2|Asthma symptoms cough", US_national_yearly!$D:$AM, 36, FALSE) / VLOOKUP("electricity|SO2|Asthma symptoms cough", US_national_yearly!$D:$AM, 10, FALSE), 1)</f>
        <v>0.10867289814820466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0.14634379109491608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0.14634379109491608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0.14634379109491608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0.14634379109491608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0.14634379109491608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0.14634379109491608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0.14634379109491608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0.14634379109491608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0.14634379109491608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0.14634379109491608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0.14634379109491608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0.14634379109491608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0.14634379109491608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0.14634379109491608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0.14634379109491608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0.14634379109491608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0.14634379109491608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0.14634379109491608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0.14634379109491608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0.14634379109491608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0.14634379109491608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0.14634379109491608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0.14634379109491608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0.14634379109491608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0.14634379109491608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0.14634379109491608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0.14634379109491608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0.22358863653070998</v>
      </c>
      <c r="C8" s="7">
        <f>$B8 * IFERROR(VLOOKUP("electricity|SO2|Asthma symptoms wheeze", US_national_yearly!$D:$AM, 11, FALSE) / VLOOKUP("electricity|SO2|Asthma symptoms wheeze", US_national_yearly!$D:$AM, 10, FALSE), 1)</f>
        <v>0.22358863653070998</v>
      </c>
      <c r="D8" s="7">
        <f>$B8 * IFERROR(VLOOKUP("electricity|SO2|Asthma symptoms wheeze", US_national_yearly!$D:$AM, 12, FALSE) / VLOOKUP("electricity|SO2|Asthma symptoms wheeze", US_national_yearly!$D:$AM, 10, FALSE), 1)</f>
        <v>0.22358863653070998</v>
      </c>
      <c r="E8" s="7">
        <f>$B8 * IFERROR(VLOOKUP("electricity|SO2|Asthma symptoms wheeze", US_national_yearly!$D:$AM, 13, FALSE) / VLOOKUP("electricity|SO2|Asthma symptoms wheeze", US_national_yearly!$D:$AM, 10, FALSE), 1)</f>
        <v>0.22358863653070998</v>
      </c>
      <c r="F8" s="7">
        <f>$B8 * IFERROR(VLOOKUP("electricity|SO2|Asthma symptoms wheeze", US_national_yearly!$D:$AM, 14, FALSE) / VLOOKUP("electricity|SO2|Asthma symptoms wheeze", US_national_yearly!$D:$AM, 10, FALSE), 1)</f>
        <v>0.22358863653070998</v>
      </c>
      <c r="G8" s="7">
        <f>$B8 * IFERROR(VLOOKUP("electricity|SO2|Asthma symptoms wheeze", US_national_yearly!$D:$AM, 15, FALSE) / VLOOKUP("electricity|SO2|Asthma symptoms wheeze", US_national_yearly!$D:$AM, 10, FALSE), 1)</f>
        <v>0.22358863653070998</v>
      </c>
      <c r="H8" s="7">
        <f>$B8 * IFERROR(VLOOKUP("electricity|SO2|Asthma symptoms wheeze", US_national_yearly!$D:$AM, 16, FALSE) / VLOOKUP("electricity|SO2|Asthma symptoms wheeze", US_national_yearly!$D:$AM, 10, FALSE), 1)</f>
        <v>0.22358863653070998</v>
      </c>
      <c r="I8" s="7">
        <f>$B8 * IFERROR(VLOOKUP("electricity|SO2|Asthma symptoms wheeze", US_national_yearly!$D:$AM, 17, FALSE) / VLOOKUP("electricity|SO2|Asthma symptoms wheeze", US_national_yearly!$D:$AM, 10, FALSE), 1)</f>
        <v>0.22358863653070998</v>
      </c>
      <c r="J8" s="7">
        <f>$B8 * IFERROR(VLOOKUP("electricity|SO2|Asthma symptoms wheeze", US_national_yearly!$D:$AM, 18, FALSE) / VLOOKUP("electricity|SO2|Asthma symptoms wheeze", US_national_yearly!$D:$AM, 10, FALSE), 1)</f>
        <v>0.22358863653070998</v>
      </c>
      <c r="K8" s="7">
        <f>$B8 * IFERROR(VLOOKUP("electricity|SO2|Asthma symptoms wheeze", US_national_yearly!$D:$AM, 19, FALSE) / VLOOKUP("electricity|SO2|Asthma symptoms wheeze", US_national_yearly!$D:$AM, 10, FALSE), 1)</f>
        <v>0.22358863653070998</v>
      </c>
      <c r="L8" s="7">
        <f>$B8 * IFERROR(VLOOKUP("electricity|SO2|Asthma symptoms wheeze", US_national_yearly!$D:$AM, 20, FALSE) / VLOOKUP("electricity|SO2|Asthma symptoms wheeze", US_national_yearly!$D:$AM, 10, FALSE), 1)</f>
        <v>0.22358863653070998</v>
      </c>
      <c r="M8" s="7">
        <f>$B8 * IFERROR(VLOOKUP("electricity|SO2|Asthma symptoms wheeze", US_national_yearly!$D:$AM, 21, FALSE) / VLOOKUP("electricity|SO2|Asthma symptoms wheeze", US_national_yearly!$D:$AM, 10, FALSE), 1)</f>
        <v>0.22358863653070998</v>
      </c>
      <c r="N8" s="7">
        <f>$B8 * IFERROR(VLOOKUP("electricity|SO2|Asthma symptoms wheeze", US_national_yearly!$D:$AM, 22, FALSE) / VLOOKUP("electricity|SO2|Asthma symptoms wheeze", US_national_yearly!$D:$AM, 10, FALSE), 1)</f>
        <v>0.22358863653070998</v>
      </c>
      <c r="O8" s="7">
        <f>$B8 * IFERROR(VLOOKUP("electricity|SO2|Asthma symptoms wheeze", US_national_yearly!$D:$AM, 23, FALSE) / VLOOKUP("electricity|SO2|Asthma symptoms wheeze", US_national_yearly!$D:$AM, 10, FALSE), 1)</f>
        <v>0.22358863653070998</v>
      </c>
      <c r="P8" s="7">
        <f>$B8 * IFERROR(VLOOKUP("electricity|SO2|Asthma symptoms wheeze", US_national_yearly!$D:$AM, 24, FALSE) / VLOOKUP("electricity|SO2|Asthma symptoms wheeze", US_national_yearly!$D:$AM, 10, FALSE), 1)</f>
        <v>0.22358863653070998</v>
      </c>
      <c r="Q8" s="7">
        <f>$B8 * IFERROR(VLOOKUP("electricity|SO2|Asthma symptoms wheeze", US_national_yearly!$D:$AM, 25, FALSE) / VLOOKUP("electricity|SO2|Asthma symptoms wheeze", US_national_yearly!$D:$AM, 10, FALSE), 1)</f>
        <v>0.22358863653070998</v>
      </c>
      <c r="R8" s="7">
        <f>$B8 * IFERROR(VLOOKUP("electricity|SO2|Asthma symptoms wheeze", US_national_yearly!$D:$AM, 26, FALSE) / VLOOKUP("electricity|SO2|Asthma symptoms wheeze", US_national_yearly!$D:$AM, 10, FALSE), 1)</f>
        <v>0.22358863653070998</v>
      </c>
      <c r="S8" s="7">
        <f>$B8 * IFERROR(VLOOKUP("electricity|SO2|Asthma symptoms wheeze", US_national_yearly!$D:$AM, 27, FALSE) / VLOOKUP("electricity|SO2|Asthma symptoms wheeze", US_national_yearly!$D:$AM, 10, FALSE), 1)</f>
        <v>0.22358863653070998</v>
      </c>
      <c r="T8" s="7">
        <f>$B8 * IFERROR(VLOOKUP("electricity|SO2|Asthma symptoms wheeze", US_national_yearly!$D:$AM, 28, FALSE) / VLOOKUP("electricity|SO2|Asthma symptoms wheeze", US_national_yearly!$D:$AM, 10, FALSE), 1)</f>
        <v>0.22358863653070998</v>
      </c>
      <c r="U8" s="7">
        <f>$B8 * IFERROR(VLOOKUP("electricity|SO2|Asthma symptoms wheeze", US_national_yearly!$D:$AM, 29, FALSE) / VLOOKUP("electricity|SO2|Asthma symptoms wheeze", US_national_yearly!$D:$AM, 10, FALSE), 1)</f>
        <v>0.22358863653070998</v>
      </c>
      <c r="V8" s="7">
        <f>$B8 * IFERROR(VLOOKUP("electricity|SO2|Asthma symptoms wheeze", US_national_yearly!$D:$AM, 30, FALSE) / VLOOKUP("electricity|SO2|Asthma symptoms wheeze", US_national_yearly!$D:$AM, 10, FALSE), 1)</f>
        <v>0.22358863653070998</v>
      </c>
      <c r="W8" s="7">
        <f>$B8 * IFERROR(VLOOKUP("electricity|SO2|Asthma symptoms wheeze", US_national_yearly!$D:$AM, 31, FALSE) / VLOOKUP("electricity|SO2|Asthma symptoms wheeze", US_national_yearly!$D:$AM, 10, FALSE), 1)</f>
        <v>0.22358863653070998</v>
      </c>
      <c r="X8" s="7">
        <f>$B8 * IFERROR(VLOOKUP("electricity|SO2|Asthma symptoms wheeze", US_national_yearly!$D:$AM, 32, FALSE) / VLOOKUP("electricity|SO2|Asthma symptoms wheeze", US_national_yearly!$D:$AM, 10, FALSE), 1)</f>
        <v>0.22358863653070998</v>
      </c>
      <c r="Y8" s="7">
        <f>$B8 * IFERROR(VLOOKUP("electricity|SO2|Asthma symptoms wheeze", US_national_yearly!$D:$AM, 33, FALSE) / VLOOKUP("electricity|SO2|Asthma symptoms wheeze", US_national_yearly!$D:$AM, 10, FALSE), 1)</f>
        <v>0.22358863653070998</v>
      </c>
      <c r="Z8" s="7">
        <f>$B8 * IFERROR(VLOOKUP("electricity|SO2|Asthma symptoms wheeze", US_national_yearly!$D:$AM, 34, FALSE) / VLOOKUP("electricity|SO2|Asthma symptoms wheeze", US_national_yearly!$D:$AM, 10, FALSE), 1)</f>
        <v>0.22358863653070998</v>
      </c>
      <c r="AA8" s="7">
        <f>$B8 * IFERROR(VLOOKUP("electricity|SO2|Asthma symptoms wheeze", US_national_yearly!$D:$AM, 35, FALSE) / VLOOKUP("electricity|SO2|Asthma symptoms wheeze", US_national_yearly!$D:$AM, 10, FALSE), 1)</f>
        <v>0.22358863653070998</v>
      </c>
      <c r="AB8" s="7">
        <f>$B8 * IFERROR(VLOOKUP("electricity|SO2|Asthma symptoms wheeze", US_national_yearly!$D:$AM, 36, FALSE) / VLOOKUP("electricity|SO2|Asthma symptoms wheeze", US_national_yearly!$D:$AM, 10, FALSE), 1)</f>
        <v>0.22358863653070998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2.9206937514430291E-3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2.9378955596615066E-3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2.9550973678799846E-3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2.9722991760984621E-3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2.98950098431694E-3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3.0082457184141338E-3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3.0269904525113281E-3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3.0450231606523955E-3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3.0630558687934628E-3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3.0810885769345306E-3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3.0991212850755975E-3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3.1171539932166653E-3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3.1300881407092802E-3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3.143022288201896E-3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3.155956435694511E-3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3.1688905831871259E-3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3.1818247306797417E-3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3.1940326620170335E-3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3.2062405933543261E-3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3.2184485246916179E-3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3.2306564560289105E-3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3.2428643873662027E-3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3.2545757847903022E-3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3.266287182214403E-3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3.2779985796385037E-3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3.2897099770626032E-3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3.3014213744867039E-3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2.0503690384173962E-2</v>
      </c>
      <c r="C13" s="7">
        <f>$B13 * IFERROR(VLOOKUP("electricity|SO2|Non-fatal heart attacks", US_national_yearly!$D:$AM, 11, FALSE) / VLOOKUP("electricity|SO2|Non-fatal heart attacks", US_national_yearly!$D:$AM, 10, FALSE), 1)</f>
        <v>2.1107638261646744E-2</v>
      </c>
      <c r="D13" s="7">
        <f>$B13 * IFERROR(VLOOKUP("electricity|SO2|Non-fatal heart attacks", US_national_yearly!$D:$AM, 12, FALSE) / VLOOKUP("electricity|SO2|Non-fatal heart attacks", US_national_yearly!$D:$AM, 10, FALSE), 1)</f>
        <v>2.1711586139119516E-2</v>
      </c>
      <c r="E13" s="7">
        <f>$B13 * IFERROR(VLOOKUP("electricity|SO2|Non-fatal heart attacks", US_national_yearly!$D:$AM, 13, FALSE) / VLOOKUP("electricity|SO2|Non-fatal heart attacks", US_national_yearly!$D:$AM, 10, FALSE), 1)</f>
        <v>2.2315534016592298E-2</v>
      </c>
      <c r="F13" s="7">
        <f>$B13 * IFERROR(VLOOKUP("electricity|SO2|Non-fatal heart attacks", US_national_yearly!$D:$AM, 14, FALSE) / VLOOKUP("electricity|SO2|Non-fatal heart attacks", US_national_yearly!$D:$AM, 10, FALSE), 1)</f>
        <v>2.2919481894065077E-2</v>
      </c>
      <c r="G13" s="7">
        <f>$B13 * IFERROR(VLOOKUP("electricity|SO2|Non-fatal heart attacks", US_national_yearly!$D:$AM, 15, FALSE) / VLOOKUP("electricity|SO2|Non-fatal heart attacks", US_national_yearly!$D:$AM, 10, FALSE), 1)</f>
        <v>2.3492646550073371E-2</v>
      </c>
      <c r="H13" s="7">
        <f>$B13 * IFERROR(VLOOKUP("electricity|SO2|Non-fatal heart attacks", US_national_yearly!$D:$AM, 16, FALSE) / VLOOKUP("electricity|SO2|Non-fatal heart attacks", US_national_yearly!$D:$AM, 10, FALSE), 1)</f>
        <v>2.4065811206081672E-2</v>
      </c>
      <c r="I13" s="7">
        <f>$B13 * IFERROR(VLOOKUP("electricity|SO2|Non-fatal heart attacks", US_national_yearly!$D:$AM, 17, FALSE) / VLOOKUP("electricity|SO2|Non-fatal heart attacks", US_national_yearly!$D:$AM, 10, FALSE), 1)</f>
        <v>2.4532588212958104E-2</v>
      </c>
      <c r="J13" s="7">
        <f>$B13 * IFERROR(VLOOKUP("electricity|SO2|Non-fatal heart attacks", US_national_yearly!$D:$AM, 18, FALSE) / VLOOKUP("electricity|SO2|Non-fatal heart attacks", US_national_yearly!$D:$AM, 10, FALSE), 1)</f>
        <v>2.4999365219834532E-2</v>
      </c>
      <c r="K13" s="7">
        <f>$B13 * IFERROR(VLOOKUP("electricity|SO2|Non-fatal heart attacks", US_national_yearly!$D:$AM, 19, FALSE) / VLOOKUP("electricity|SO2|Non-fatal heart attacks", US_national_yearly!$D:$AM, 10, FALSE), 1)</f>
        <v>2.5466142226710963E-2</v>
      </c>
      <c r="L13" s="7">
        <f>$B13 * IFERROR(VLOOKUP("electricity|SO2|Non-fatal heart attacks", US_national_yearly!$D:$AM, 20, FALSE) / VLOOKUP("electricity|SO2|Non-fatal heart attacks", US_national_yearly!$D:$AM, 10, FALSE), 1)</f>
        <v>2.5932919233587391E-2</v>
      </c>
      <c r="M13" s="7">
        <f>$B13 * IFERROR(VLOOKUP("electricity|SO2|Non-fatal heart attacks", US_national_yearly!$D:$AM, 21, FALSE) / VLOOKUP("electricity|SO2|Non-fatal heart attacks", US_national_yearly!$D:$AM, 10, FALSE), 1)</f>
        <v>2.6399696240463823E-2</v>
      </c>
      <c r="N13" s="7">
        <f>$B13 * IFERROR(VLOOKUP("electricity|SO2|Non-fatal heart attacks", US_national_yearly!$D:$AM, 22, FALSE) / VLOOKUP("electricity|SO2|Non-fatal heart attacks", US_national_yearly!$D:$AM, 10, FALSE), 1)</f>
        <v>2.6707513701362488E-2</v>
      </c>
      <c r="O13" s="7">
        <f>$B13 * IFERROR(VLOOKUP("electricity|SO2|Non-fatal heart attacks", US_national_yearly!$D:$AM, 23, FALSE) / VLOOKUP("electricity|SO2|Non-fatal heart attacks", US_national_yearly!$D:$AM, 10, FALSE), 1)</f>
        <v>2.7015331162261146E-2</v>
      </c>
      <c r="P13" s="7">
        <f>$B13 * IFERROR(VLOOKUP("electricity|SO2|Non-fatal heart attacks", US_national_yearly!$D:$AM, 24, FALSE) / VLOOKUP("electricity|SO2|Non-fatal heart attacks", US_national_yearly!$D:$AM, 10, FALSE), 1)</f>
        <v>2.7323148623159807E-2</v>
      </c>
      <c r="Q13" s="7">
        <f>$B13 * IFERROR(VLOOKUP("electricity|SO2|Non-fatal heart attacks", US_national_yearly!$D:$AM, 25, FALSE) / VLOOKUP("electricity|SO2|Non-fatal heart attacks", US_national_yearly!$D:$AM, 10, FALSE), 1)</f>
        <v>2.7630966084058468E-2</v>
      </c>
      <c r="R13" s="7">
        <f>$B13 * IFERROR(VLOOKUP("electricity|SO2|Non-fatal heart attacks", US_national_yearly!$D:$AM, 26, FALSE) / VLOOKUP("electricity|SO2|Non-fatal heart attacks", US_national_yearly!$D:$AM, 10, FALSE), 1)</f>
        <v>2.7938783544957133E-2</v>
      </c>
      <c r="S13" s="7">
        <f>$B13 * IFERROR(VLOOKUP("electricity|SO2|Non-fatal heart attacks", US_national_yearly!$D:$AM, 27, FALSE) / VLOOKUP("electricity|SO2|Non-fatal heart attacks", US_national_yearly!$D:$AM, 10, FALSE), 1)</f>
        <v>2.8106290482038346E-2</v>
      </c>
      <c r="T13" s="7">
        <f>$B13 * IFERROR(VLOOKUP("electricity|SO2|Non-fatal heart attacks", US_national_yearly!$D:$AM, 28, FALSE) / VLOOKUP("electricity|SO2|Non-fatal heart attacks", US_national_yearly!$D:$AM, 10, FALSE), 1)</f>
        <v>2.8273797419119565E-2</v>
      </c>
      <c r="U13" s="7">
        <f>$B13 * IFERROR(VLOOKUP("electricity|SO2|Non-fatal heart attacks", US_national_yearly!$D:$AM, 29, FALSE) / VLOOKUP("electricity|SO2|Non-fatal heart attacks", US_national_yearly!$D:$AM, 10, FALSE), 1)</f>
        <v>2.8441304356200785E-2</v>
      </c>
      <c r="V13" s="7">
        <f>$B13 * IFERROR(VLOOKUP("electricity|SO2|Non-fatal heart attacks", US_national_yearly!$D:$AM, 30, FALSE) / VLOOKUP("electricity|SO2|Non-fatal heart attacks", US_national_yearly!$D:$AM, 10, FALSE), 1)</f>
        <v>2.8608811293281994E-2</v>
      </c>
      <c r="W13" s="7">
        <f>$B13 * IFERROR(VLOOKUP("electricity|SO2|Non-fatal heart attacks", US_national_yearly!$D:$AM, 31, FALSE) / VLOOKUP("electricity|SO2|Non-fatal heart attacks", US_national_yearly!$D:$AM, 10, FALSE), 1)</f>
        <v>2.8776318230363213E-2</v>
      </c>
      <c r="X13" s="7">
        <f>$B13 * IFERROR(VLOOKUP("electricity|SO2|Non-fatal heart attacks", US_national_yearly!$D:$AM, 32, FALSE) / VLOOKUP("electricity|SO2|Non-fatal heart attacks", US_national_yearly!$D:$AM, 10, FALSE), 1)</f>
        <v>2.8904991522641164E-2</v>
      </c>
      <c r="Y13" s="7">
        <f>$B13 * IFERROR(VLOOKUP("electricity|SO2|Non-fatal heart attacks", US_national_yearly!$D:$AM, 33, FALSE) / VLOOKUP("electricity|SO2|Non-fatal heart attacks", US_national_yearly!$D:$AM, 10, FALSE), 1)</f>
        <v>2.9033664814919122E-2</v>
      </c>
      <c r="Z13" s="7">
        <f>$B13 * IFERROR(VLOOKUP("electricity|SO2|Non-fatal heart attacks", US_national_yearly!$D:$AM, 34, FALSE) / VLOOKUP("electricity|SO2|Non-fatal heart attacks", US_national_yearly!$D:$AM, 10, FALSE), 1)</f>
        <v>2.916233810719707E-2</v>
      </c>
      <c r="AA13" s="7">
        <f>$B13 * IFERROR(VLOOKUP("electricity|SO2|Non-fatal heart attacks", US_national_yearly!$D:$AM, 35, FALSE) / VLOOKUP("electricity|SO2|Non-fatal heart attacks", US_national_yearly!$D:$AM, 10, FALSE), 1)</f>
        <v>2.9291011399475025E-2</v>
      </c>
      <c r="AB13" s="7">
        <f>$B13 * IFERROR(VLOOKUP("electricity|SO2|Non-fatal heart attacks", US_national_yearly!$D:$AM, 36, FALSE) / VLOOKUP("electricity|SO2|Non-fatal heart attacks", US_national_yearly!$D:$AM, 10, FALSE), 1)</f>
        <v>2.9419684691752976E-2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14.25921393087542</v>
      </c>
      <c r="C14" s="7">
        <f>$B14 * IFERROR(VLOOKUP("electricity|SO2|Minor restricted activity days", US_national_yearly!$D:$AM, 11, FALSE) / VLOOKUP("electricity|SO2|Minor restricted activity days", US_national_yearly!$D:$AM, 10, FALSE), 1)</f>
        <v>14.295046653359099</v>
      </c>
      <c r="D14" s="7">
        <f>$B14 * IFERROR(VLOOKUP("electricity|SO2|Minor restricted activity days", US_national_yearly!$D:$AM, 12, FALSE) / VLOOKUP("electricity|SO2|Minor restricted activity days", US_national_yearly!$D:$AM, 10, FALSE), 1)</f>
        <v>14.330879375842779</v>
      </c>
      <c r="E14" s="7">
        <f>$B14 * IFERROR(VLOOKUP("electricity|SO2|Minor restricted activity days", US_national_yearly!$D:$AM, 13, FALSE) / VLOOKUP("electricity|SO2|Minor restricted activity days", US_national_yearly!$D:$AM, 10, FALSE), 1)</f>
        <v>14.36671209832646</v>
      </c>
      <c r="F14" s="7">
        <f>$B14 * IFERROR(VLOOKUP("electricity|SO2|Minor restricted activity days", US_national_yearly!$D:$AM, 14, FALSE) / VLOOKUP("electricity|SO2|Minor restricted activity days", US_national_yearly!$D:$AM, 10, FALSE), 1)</f>
        <v>14.402544820810137</v>
      </c>
      <c r="G14" s="7">
        <f>$B14 * IFERROR(VLOOKUP("electricity|SO2|Minor restricted activity days", US_national_yearly!$D:$AM, 15, FALSE) / VLOOKUP("electricity|SO2|Minor restricted activity days", US_national_yearly!$D:$AM, 10, FALSE), 1)</f>
        <v>14.454315357998571</v>
      </c>
      <c r="H14" s="7">
        <f>$B14 * IFERROR(VLOOKUP("electricity|SO2|Minor restricted activity days", US_national_yearly!$D:$AM, 16, FALSE) / VLOOKUP("electricity|SO2|Minor restricted activity days", US_national_yearly!$D:$AM, 10, FALSE), 1)</f>
        <v>14.506085895187004</v>
      </c>
      <c r="I14" s="7">
        <f>$B14 * IFERROR(VLOOKUP("electricity|SO2|Minor restricted activity days", US_national_yearly!$D:$AM, 17, FALSE) / VLOOKUP("electricity|SO2|Minor restricted activity days", US_national_yearly!$D:$AM, 10, FALSE), 1)</f>
        <v>14.594876352340211</v>
      </c>
      <c r="J14" s="7">
        <f>$B14 * IFERROR(VLOOKUP("electricity|SO2|Minor restricted activity days", US_national_yearly!$D:$AM, 18, FALSE) / VLOOKUP("electricity|SO2|Minor restricted activity days", US_national_yearly!$D:$AM, 10, FALSE), 1)</f>
        <v>14.68366680949342</v>
      </c>
      <c r="K14" s="7">
        <f>$B14 * IFERROR(VLOOKUP("electricity|SO2|Minor restricted activity days", US_national_yearly!$D:$AM, 19, FALSE) / VLOOKUP("electricity|SO2|Minor restricted activity days", US_national_yearly!$D:$AM, 10, FALSE), 1)</f>
        <v>14.772457266646628</v>
      </c>
      <c r="L14" s="7">
        <f>$B14 * IFERROR(VLOOKUP("electricity|SO2|Minor restricted activity days", US_national_yearly!$D:$AM, 20, FALSE) / VLOOKUP("electricity|SO2|Minor restricted activity days", US_national_yearly!$D:$AM, 10, FALSE), 1)</f>
        <v>14.86124772379984</v>
      </c>
      <c r="M14" s="7">
        <f>$B14 * IFERROR(VLOOKUP("electricity|SO2|Minor restricted activity days", US_national_yearly!$D:$AM, 21, FALSE) / VLOOKUP("electricity|SO2|Minor restricted activity days", US_national_yearly!$D:$AM, 10, FALSE), 1)</f>
        <v>14.950038180953047</v>
      </c>
      <c r="N14" s="7">
        <f>$B14 * IFERROR(VLOOKUP("electricity|SO2|Minor restricted activity days", US_national_yearly!$D:$AM, 22, FALSE) / VLOOKUP("electricity|SO2|Minor restricted activity days", US_national_yearly!$D:$AM, 10, FALSE), 1)</f>
        <v>15.072315466007582</v>
      </c>
      <c r="O14" s="7">
        <f>$B14 * IFERROR(VLOOKUP("electricity|SO2|Minor restricted activity days", US_national_yearly!$D:$AM, 23, FALSE) / VLOOKUP("electricity|SO2|Minor restricted activity days", US_national_yearly!$D:$AM, 10, FALSE), 1)</f>
        <v>15.194592751062114</v>
      </c>
      <c r="P14" s="7">
        <f>$B14 * IFERROR(VLOOKUP("electricity|SO2|Minor restricted activity days", US_national_yearly!$D:$AM, 24, FALSE) / VLOOKUP("electricity|SO2|Minor restricted activity days", US_national_yearly!$D:$AM, 10, FALSE), 1)</f>
        <v>15.316870036116645</v>
      </c>
      <c r="Q14" s="7">
        <f>$B14 * IFERROR(VLOOKUP("electricity|SO2|Minor restricted activity days", US_national_yearly!$D:$AM, 25, FALSE) / VLOOKUP("electricity|SO2|Minor restricted activity days", US_national_yearly!$D:$AM, 10, FALSE), 1)</f>
        <v>15.43914732117118</v>
      </c>
      <c r="R14" s="7">
        <f>$B14 * IFERROR(VLOOKUP("electricity|SO2|Minor restricted activity days", US_national_yearly!$D:$AM, 26, FALSE) / VLOOKUP("electricity|SO2|Minor restricted activity days", US_national_yearly!$D:$AM, 10, FALSE), 1)</f>
        <v>15.561424606225712</v>
      </c>
      <c r="S14" s="7">
        <f>$B14 * IFERROR(VLOOKUP("electricity|SO2|Minor restricted activity days", US_national_yearly!$D:$AM, 27, FALSE) / VLOOKUP("electricity|SO2|Minor restricted activity days", US_national_yearly!$D:$AM, 10, FALSE), 1)</f>
        <v>15.686778101472441</v>
      </c>
      <c r="T14" s="7">
        <f>$B14 * IFERROR(VLOOKUP("electricity|SO2|Minor restricted activity days", US_national_yearly!$D:$AM, 28, FALSE) / VLOOKUP("electricity|SO2|Minor restricted activity days", US_national_yearly!$D:$AM, 10, FALSE), 1)</f>
        <v>15.812131596719171</v>
      </c>
      <c r="U14" s="7">
        <f>$B14 * IFERROR(VLOOKUP("electricity|SO2|Minor restricted activity days", US_national_yearly!$D:$AM, 29, FALSE) / VLOOKUP("electricity|SO2|Minor restricted activity days", US_national_yearly!$D:$AM, 10, FALSE), 1)</f>
        <v>15.937485091965897</v>
      </c>
      <c r="V14" s="7">
        <f>$B14 * IFERROR(VLOOKUP("electricity|SO2|Minor restricted activity days", US_national_yearly!$D:$AM, 30, FALSE) / VLOOKUP("electricity|SO2|Minor restricted activity days", US_national_yearly!$D:$AM, 10, FALSE), 1)</f>
        <v>16.062838587212628</v>
      </c>
      <c r="W14" s="7">
        <f>$B14 * IFERROR(VLOOKUP("electricity|SO2|Minor restricted activity days", US_national_yearly!$D:$AM, 31, FALSE) / VLOOKUP("electricity|SO2|Minor restricted activity days", US_national_yearly!$D:$AM, 10, FALSE), 1)</f>
        <v>16.188192082459356</v>
      </c>
      <c r="X14" s="7">
        <f>$B14 * IFERROR(VLOOKUP("electricity|SO2|Minor restricted activity days", US_national_yearly!$D:$AM, 32, FALSE) / VLOOKUP("electricity|SO2|Minor restricted activity days", US_national_yearly!$D:$AM, 10, FALSE), 1)</f>
        <v>16.298489419854199</v>
      </c>
      <c r="Y14" s="7">
        <f>$B14 * IFERROR(VLOOKUP("electricity|SO2|Minor restricted activity days", US_national_yearly!$D:$AM, 33, FALSE) / VLOOKUP("electricity|SO2|Minor restricted activity days", US_national_yearly!$D:$AM, 10, FALSE), 1)</f>
        <v>16.40878675724904</v>
      </c>
      <c r="Z14" s="7">
        <f>$B14 * IFERROR(VLOOKUP("electricity|SO2|Minor restricted activity days", US_national_yearly!$D:$AM, 34, FALSE) / VLOOKUP("electricity|SO2|Minor restricted activity days", US_national_yearly!$D:$AM, 10, FALSE), 1)</f>
        <v>16.51908409464388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16.629381432038723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16.739678769433564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2.4062864653646434</v>
      </c>
      <c r="C15" s="7">
        <f>$B15 * IFERROR(VLOOKUP("electricity|SO2|Work loss days", US_national_yearly!$D:$AM, 11, FALSE) / VLOOKUP("electricity|SO2|Work loss days", US_national_yearly!$D:$AM, 10, FALSE), 1)</f>
        <v>2.4140780937132296</v>
      </c>
      <c r="D15" s="7">
        <f>$B15 * IFERROR(VLOOKUP("electricity|SO2|Work loss days", US_national_yearly!$D:$AM, 12, FALSE) / VLOOKUP("electricity|SO2|Work loss days", US_national_yearly!$D:$AM, 10, FALSE), 1)</f>
        <v>2.4218697220618162</v>
      </c>
      <c r="E15" s="7">
        <f>$B15 * IFERROR(VLOOKUP("electricity|SO2|Work loss days", US_national_yearly!$D:$AM, 13, FALSE) / VLOOKUP("electricity|SO2|Work loss days", US_national_yearly!$D:$AM, 10, FALSE), 1)</f>
        <v>2.4296613504104028</v>
      </c>
      <c r="F15" s="7">
        <f>$B15 * IFERROR(VLOOKUP("electricity|SO2|Work loss days", US_national_yearly!$D:$AM, 14, FALSE) / VLOOKUP("electricity|SO2|Work loss days", US_national_yearly!$D:$AM, 10, FALSE), 1)</f>
        <v>2.4374529787589889</v>
      </c>
      <c r="G15" s="7">
        <f>$B15 * IFERROR(VLOOKUP("electricity|SO2|Work loss days", US_national_yearly!$D:$AM, 15, FALSE) / VLOOKUP("electricity|SO2|Work loss days", US_national_yearly!$D:$AM, 10, FALSE), 1)</f>
        <v>2.4474345374735855</v>
      </c>
      <c r="H15" s="7">
        <f>$B15 * IFERROR(VLOOKUP("electricity|SO2|Work loss days", US_national_yearly!$D:$AM, 16, FALSE) / VLOOKUP("electricity|SO2|Work loss days", US_national_yearly!$D:$AM, 10, FALSE), 1)</f>
        <v>2.4574160961881821</v>
      </c>
      <c r="I15" s="7">
        <f>$B15 * IFERROR(VLOOKUP("electricity|SO2|Work loss days", US_national_yearly!$D:$AM, 17, FALSE) / VLOOKUP("electricity|SO2|Work loss days", US_national_yearly!$D:$AM, 10, FALSE), 1)</f>
        <v>2.4720202907089943</v>
      </c>
      <c r="J15" s="7">
        <f>$B15 * IFERROR(VLOOKUP("electricity|SO2|Work loss days", US_national_yearly!$D:$AM, 18, FALSE) / VLOOKUP("electricity|SO2|Work loss days", US_national_yearly!$D:$AM, 10, FALSE), 1)</f>
        <v>2.4866244852298061</v>
      </c>
      <c r="K15" s="7">
        <f>$B15 * IFERROR(VLOOKUP("electricity|SO2|Work loss days", US_national_yearly!$D:$AM, 19, FALSE) / VLOOKUP("electricity|SO2|Work loss days", US_national_yearly!$D:$AM, 10, FALSE), 1)</f>
        <v>2.5012286797506191</v>
      </c>
      <c r="L15" s="7">
        <f>$B15 * IFERROR(VLOOKUP("electricity|SO2|Work loss days", US_national_yearly!$D:$AM, 20, FALSE) / VLOOKUP("electricity|SO2|Work loss days", US_national_yearly!$D:$AM, 10, FALSE), 1)</f>
        <v>2.5158328742714309</v>
      </c>
      <c r="M15" s="7">
        <f>$B15 * IFERROR(VLOOKUP("electricity|SO2|Work loss days", US_national_yearly!$D:$AM, 21, FALSE) / VLOOKUP("electricity|SO2|Work loss days", US_national_yearly!$D:$AM, 10, FALSE), 1)</f>
        <v>2.5304370687922435</v>
      </c>
      <c r="N15" s="7">
        <f>$B15 * IFERROR(VLOOKUP("electricity|SO2|Work loss days", US_national_yearly!$D:$AM, 22, FALSE) / VLOOKUP("electricity|SO2|Work loss days", US_national_yearly!$D:$AM, 10, FALSE), 1)</f>
        <v>2.5489150068401423</v>
      </c>
      <c r="O15" s="7">
        <f>$B15 * IFERROR(VLOOKUP("electricity|SO2|Work loss days", US_national_yearly!$D:$AM, 23, FALSE) / VLOOKUP("electricity|SO2|Work loss days", US_national_yearly!$D:$AM, 10, FALSE), 1)</f>
        <v>2.5673929448880415</v>
      </c>
      <c r="P15" s="7">
        <f>$B15 * IFERROR(VLOOKUP("electricity|SO2|Work loss days", US_national_yearly!$D:$AM, 24, FALSE) / VLOOKUP("electricity|SO2|Work loss days", US_national_yearly!$D:$AM, 10, FALSE), 1)</f>
        <v>2.5858708829359407</v>
      </c>
      <c r="Q15" s="7">
        <f>$B15 * IFERROR(VLOOKUP("electricity|SO2|Work loss days", US_national_yearly!$D:$AM, 25, FALSE) / VLOOKUP("electricity|SO2|Work loss days", US_national_yearly!$D:$AM, 10, FALSE), 1)</f>
        <v>2.6043488209838395</v>
      </c>
      <c r="R15" s="7">
        <f>$B15 * IFERROR(VLOOKUP("electricity|SO2|Work loss days", US_national_yearly!$D:$AM, 26, FALSE) / VLOOKUP("electricity|SO2|Work loss days", US_national_yearly!$D:$AM, 10, FALSE), 1)</f>
        <v>2.6228267590317387</v>
      </c>
      <c r="S15" s="7">
        <f>$B15 * IFERROR(VLOOKUP("electricity|SO2|Work loss days", US_national_yearly!$D:$AM, 27, FALSE) / VLOOKUP("electricity|SO2|Work loss days", US_national_yearly!$D:$AM, 10, FALSE), 1)</f>
        <v>2.6435422518903477</v>
      </c>
      <c r="T15" s="7">
        <f>$B15 * IFERROR(VLOOKUP("electricity|SO2|Work loss days", US_national_yearly!$D:$AM, 28, FALSE) / VLOOKUP("electricity|SO2|Work loss days", US_national_yearly!$D:$AM, 10, FALSE), 1)</f>
        <v>2.6642577447489577</v>
      </c>
      <c r="U15" s="7">
        <f>$B15 * IFERROR(VLOOKUP("electricity|SO2|Work loss days", US_national_yearly!$D:$AM, 29, FALSE) / VLOOKUP("electricity|SO2|Work loss days", US_national_yearly!$D:$AM, 10, FALSE), 1)</f>
        <v>2.6849732376075672</v>
      </c>
      <c r="V15" s="7">
        <f>$B15 * IFERROR(VLOOKUP("electricity|SO2|Work loss days", US_national_yearly!$D:$AM, 30, FALSE) / VLOOKUP("electricity|SO2|Work loss days", US_national_yearly!$D:$AM, 10, FALSE), 1)</f>
        <v>2.7056887304661768</v>
      </c>
      <c r="W15" s="7">
        <f>$B15 * IFERROR(VLOOKUP("electricity|SO2|Work loss days", US_national_yearly!$D:$AM, 31, FALSE) / VLOOKUP("electricity|SO2|Work loss days", US_national_yearly!$D:$AM, 10, FALSE), 1)</f>
        <v>2.7264042233247867</v>
      </c>
      <c r="X15" s="7">
        <f>$B15 * IFERROR(VLOOKUP("electricity|SO2|Work loss days", US_national_yearly!$D:$AM, 32, FALSE) / VLOOKUP("electricity|SO2|Work loss days", US_national_yearly!$D:$AM, 10, FALSE), 1)</f>
        <v>2.7450668335064741</v>
      </c>
      <c r="Y15" s="7">
        <f>$B15 * IFERROR(VLOOKUP("electricity|SO2|Work loss days", US_national_yearly!$D:$AM, 33, FALSE) / VLOOKUP("electricity|SO2|Work loss days", US_national_yearly!$D:$AM, 10, FALSE), 1)</f>
        <v>2.7637294436881619</v>
      </c>
      <c r="Z15" s="7">
        <f>$B15 * IFERROR(VLOOKUP("electricity|SO2|Work loss days", US_national_yearly!$D:$AM, 34, FALSE) / VLOOKUP("electricity|SO2|Work loss days", US_national_yearly!$D:$AM, 10, FALSE), 1)</f>
        <v>2.7823920538698488</v>
      </c>
      <c r="AA15" s="7">
        <f>$B15 * IFERROR(VLOOKUP("electricity|SO2|Work loss days", US_national_yearly!$D:$AM, 35, FALSE) / VLOOKUP("electricity|SO2|Work loss days", US_national_yearly!$D:$AM, 10, FALSE), 1)</f>
        <v>2.8010546640515361</v>
      </c>
      <c r="AB15" s="7">
        <f>$B15 * IFERROR(VLOOKUP("electricity|SO2|Work loss days", US_national_yearly!$D:$AM, 36, FALSE) / VLOOKUP("electricity|SO2|Work loss days", US_national_yearly!$D:$AM, 10, FALSE), 1)</f>
        <v>2.8197172742332239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4.7707078551317119E-3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4.9152735648608772E-3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5.0598392745900417E-3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5.2044049843192079E-3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5.3489706940483732E-3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5.4883228262762327E-3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5.6276749585040938E-3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5.7483177487083151E-3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5.8689605389125356E-3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5.989603329116756E-3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6.1102461193209764E-3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6.2308889095251969E-3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6.3132272921918595E-3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6.3955656748585204E-3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6.4779040575251847E-3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6.5602424401918465E-3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6.6425808228585083E-3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6.6877202326234833E-3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6.7328596423884574E-3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6.7779990521534316E-3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6.8231384619184057E-3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6.868277871683379E-3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6.8994370564917163E-3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6.9305962413000509E-3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6.9617554261083873E-3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6.9929146109167228E-3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7.0240737957250592E-3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6.6837773600926575E-2</v>
      </c>
      <c r="C2" s="7">
        <f>$B2 * IFERROR(VLOOKUP("buildings|PM25|Premature mortality", US_national_yearly!$D:$AM, 11, FALSE) / VLOOKUP("buildings|PM25|Premature mortality", US_national_yearly!$D:$AM, 10, FALSE), 1)</f>
        <v>6.7667015716156964E-2</v>
      </c>
      <c r="D2" s="7">
        <f>$B2 * IFERROR(VLOOKUP("buildings|PM25|Premature mortality", US_national_yearly!$D:$AM, 12, FALSE) / VLOOKUP("buildings|PM25|Premature mortality", US_national_yearly!$D:$AM, 10, FALSE), 1)</f>
        <v>6.8496257831387353E-2</v>
      </c>
      <c r="E2" s="7">
        <f>$B2 * IFERROR(VLOOKUP("buildings|PM25|Premature mortality", US_national_yearly!$D:$AM, 13, FALSE) / VLOOKUP("buildings|PM25|Premature mortality", US_national_yearly!$D:$AM, 10, FALSE), 1)</f>
        <v>6.9325499946617741E-2</v>
      </c>
      <c r="F2" s="7">
        <f>$B2 * IFERROR(VLOOKUP("buildings|PM25|Premature mortality", US_national_yearly!$D:$AM, 14, FALSE) / VLOOKUP("buildings|PM25|Premature mortality", US_national_yearly!$D:$AM, 10, FALSE), 1)</f>
        <v>7.015474206184813E-2</v>
      </c>
      <c r="G2" s="7">
        <f>$B2 * IFERROR(VLOOKUP("buildings|PM25|Premature mortality", US_national_yearly!$D:$AM, 15, FALSE) / VLOOKUP("buildings|PM25|Premature mortality", US_national_yearly!$D:$AM, 10, FALSE), 1)</f>
        <v>7.1769446513775273E-2</v>
      </c>
      <c r="H2" s="7">
        <f>$B2 * IFERROR(VLOOKUP("buildings|PM25|Premature mortality", US_national_yearly!$D:$AM, 16, FALSE) / VLOOKUP("buildings|PM25|Premature mortality", US_national_yearly!$D:$AM, 10, FALSE), 1)</f>
        <v>7.3384150965702416E-2</v>
      </c>
      <c r="I2" s="7">
        <f>$B2 * IFERROR(VLOOKUP("buildings|PM25|Premature mortality", US_national_yearly!$D:$AM, 17, FALSE) / VLOOKUP("buildings|PM25|Premature mortality", US_national_yearly!$D:$AM, 10, FALSE), 1)</f>
        <v>7.4446114272008035E-2</v>
      </c>
      <c r="J2" s="7">
        <f>$B2 * IFERROR(VLOOKUP("buildings|PM25|Premature mortality", US_national_yearly!$D:$AM, 18, FALSE) / VLOOKUP("buildings|PM25|Premature mortality", US_national_yearly!$D:$AM, 10, FALSE), 1)</f>
        <v>7.5508077578313654E-2</v>
      </c>
      <c r="K2" s="7">
        <f>$B2 * IFERROR(VLOOKUP("buildings|PM25|Premature mortality", US_national_yearly!$D:$AM, 19, FALSE) / VLOOKUP("buildings|PM25|Premature mortality", US_national_yearly!$D:$AM, 10, FALSE), 1)</f>
        <v>7.6570040884619273E-2</v>
      </c>
      <c r="L2" s="7">
        <f>$B2 * IFERROR(VLOOKUP("buildings|PM25|Premature mortality", US_national_yearly!$D:$AM, 20, FALSE) / VLOOKUP("buildings|PM25|Premature mortality", US_national_yearly!$D:$AM, 10, FALSE), 1)</f>
        <v>7.7632004190924891E-2</v>
      </c>
      <c r="M2" s="7">
        <f>$B2 * IFERROR(VLOOKUP("buildings|PM25|Premature mortality", US_national_yearly!$D:$AM, 21, FALSE) / VLOOKUP("buildings|PM25|Premature mortality", US_national_yearly!$D:$AM, 10, FALSE), 1)</f>
        <v>7.869396749723051E-2</v>
      </c>
      <c r="N2" s="7">
        <f>$B2 * IFERROR(VLOOKUP("buildings|PM25|Premature mortality", US_national_yearly!$D:$AM, 22, FALSE) / VLOOKUP("buildings|PM25|Premature mortality", US_national_yearly!$D:$AM, 10, FALSE), 1)</f>
        <v>7.9519761996409463E-2</v>
      </c>
      <c r="O2" s="7">
        <f>$B2 * IFERROR(VLOOKUP("buildings|PM25|Premature mortality", US_national_yearly!$D:$AM, 23, FALSE) / VLOOKUP("buildings|PM25|Premature mortality", US_national_yearly!$D:$AM, 10, FALSE), 1)</f>
        <v>8.034555649558843E-2</v>
      </c>
      <c r="P2" s="7">
        <f>$B2 * IFERROR(VLOOKUP("buildings|PM25|Premature mortality", US_national_yearly!$D:$AM, 24, FALSE) / VLOOKUP("buildings|PM25|Premature mortality", US_national_yearly!$D:$AM, 10, FALSE), 1)</f>
        <v>8.1171350994767383E-2</v>
      </c>
      <c r="Q2" s="7">
        <f>$B2 * IFERROR(VLOOKUP("buildings|PM25|Premature mortality", US_national_yearly!$D:$AM, 25, FALSE) / VLOOKUP("buildings|PM25|Premature mortality", US_national_yearly!$D:$AM, 10, FALSE), 1)</f>
        <v>8.1997145493946363E-2</v>
      </c>
      <c r="R2" s="7">
        <f>$B2 * IFERROR(VLOOKUP("buildings|PM25|Premature mortality", US_national_yearly!$D:$AM, 26, FALSE) / VLOOKUP("buildings|PM25|Premature mortality", US_national_yearly!$D:$AM, 10, FALSE), 1)</f>
        <v>8.2822939993125316E-2</v>
      </c>
      <c r="S2" s="7">
        <f>$B2 * IFERROR(VLOOKUP("buildings|PM25|Premature mortality", US_national_yearly!$D:$AM, 27, FALSE) / VLOOKUP("buildings|PM25|Premature mortality", US_national_yearly!$D:$AM, 10, FALSE), 1)</f>
        <v>8.3261857971954734E-2</v>
      </c>
      <c r="T2" s="7">
        <f>$B2 * IFERROR(VLOOKUP("buildings|PM25|Premature mortality", US_national_yearly!$D:$AM, 28, FALSE) / VLOOKUP("buildings|PM25|Premature mortality", US_national_yearly!$D:$AM, 10, FALSE), 1)</f>
        <v>8.3700775950784179E-2</v>
      </c>
      <c r="U2" s="7">
        <f>$B2 * IFERROR(VLOOKUP("buildings|PM25|Premature mortality", US_national_yearly!$D:$AM, 29, FALSE) / VLOOKUP("buildings|PM25|Premature mortality", US_national_yearly!$D:$AM, 10, FALSE), 1)</f>
        <v>8.4139693929613624E-2</v>
      </c>
      <c r="V2" s="7">
        <f>$B2 * IFERROR(VLOOKUP("buildings|PM25|Premature mortality", US_national_yearly!$D:$AM, 30, FALSE) / VLOOKUP("buildings|PM25|Premature mortality", US_national_yearly!$D:$AM, 10, FALSE), 1)</f>
        <v>8.4578611908443069E-2</v>
      </c>
      <c r="W2" s="7">
        <f>$B2 * IFERROR(VLOOKUP("buildings|PM25|Premature mortality", US_national_yearly!$D:$AM, 31, FALSE) / VLOOKUP("buildings|PM25|Premature mortality", US_national_yearly!$D:$AM, 10, FALSE), 1)</f>
        <v>8.50175298872725E-2</v>
      </c>
      <c r="X2" s="7">
        <f>$B2 * IFERROR(VLOOKUP("buildings|PM25|Premature mortality", US_national_yearly!$D:$AM, 32, FALSE) / VLOOKUP("buildings|PM25|Premature mortality", US_national_yearly!$D:$AM, 10, FALSE), 1)</f>
        <v>8.5096312140766295E-2</v>
      </c>
      <c r="Y2" s="7">
        <f>$B2 * IFERROR(VLOOKUP("buildings|PM25|Premature mortality", US_national_yearly!$D:$AM, 33, FALSE) / VLOOKUP("buildings|PM25|Premature mortality", US_national_yearly!$D:$AM, 10, FALSE), 1)</f>
        <v>8.5175094394260076E-2</v>
      </c>
      <c r="Z2" s="7">
        <f>$B2 * IFERROR(VLOOKUP("buildings|PM25|Premature mortality", US_national_yearly!$D:$AM, 34, FALSE) / VLOOKUP("buildings|PM25|Premature mortality", US_national_yearly!$D:$AM, 10, FALSE), 1)</f>
        <v>8.5253876647753871E-2</v>
      </c>
      <c r="AA2" s="7">
        <f>$B2 * IFERROR(VLOOKUP("buildings|PM25|Premature mortality", US_national_yearly!$D:$AM, 35, FALSE) / VLOOKUP("buildings|PM25|Premature mortality", US_national_yearly!$D:$AM, 10, FALSE), 1)</f>
        <v>8.5332658901247679E-2</v>
      </c>
      <c r="AB2" s="7">
        <f>$B2 * IFERROR(VLOOKUP("buildings|PM25|Premature mortality", US_national_yearly!$D:$AM, 36, FALSE) / VLOOKUP("buildings|PM25|Premature mortality", US_national_yearly!$D:$AM, 10, FALSE), 1)</f>
        <v>8.541144115474146E-2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1.2453401602610276E-4</v>
      </c>
      <c r="C3" s="7">
        <f>$B3 * IFERROR(VLOOKUP("buildings|PM25|Infant mortality", US_national_yearly!$D:$AM, 11, FALSE) / VLOOKUP("buildings|PM25|Infant mortality", US_national_yearly!$D:$AM, 10, FALSE), 1)</f>
        <v>1.2345534999464499E-4</v>
      </c>
      <c r="D3" s="7">
        <f>$B3 * IFERROR(VLOOKUP("buildings|PM25|Infant mortality", US_national_yearly!$D:$AM, 12, FALSE) / VLOOKUP("buildings|PM25|Infant mortality", US_national_yearly!$D:$AM, 10, FALSE), 1)</f>
        <v>1.2237668396318719E-4</v>
      </c>
      <c r="E3" s="7">
        <f>$B3 * IFERROR(VLOOKUP("buildings|PM25|Infant mortality", US_national_yearly!$D:$AM, 13, FALSE) / VLOOKUP("buildings|PM25|Infant mortality", US_national_yearly!$D:$AM, 10, FALSE), 1)</f>
        <v>1.212980179317294E-4</v>
      </c>
      <c r="F3" s="7">
        <f>$B3 * IFERROR(VLOOKUP("buildings|PM25|Infant mortality", US_national_yearly!$D:$AM, 14, FALSE) / VLOOKUP("buildings|PM25|Infant mortality", US_national_yearly!$D:$AM, 10, FALSE), 1)</f>
        <v>1.2021935190027163E-4</v>
      </c>
      <c r="G3" s="7">
        <f>$B3 * IFERROR(VLOOKUP("buildings|PM25|Infant mortality", US_national_yearly!$D:$AM, 15, FALSE) / VLOOKUP("buildings|PM25|Infant mortality", US_national_yearly!$D:$AM, 10, FALSE), 1)</f>
        <v>7.9941507554747945E-5</v>
      </c>
      <c r="H3" s="7">
        <f>$B3 * IFERROR(VLOOKUP("buildings|PM25|Infant mortality", US_national_yearly!$D:$AM, 16, FALSE) / VLOOKUP("buildings|PM25|Infant mortality", US_national_yearly!$D:$AM, 10, FALSE), 1)</f>
        <v>3.9663663209224283E-5</v>
      </c>
      <c r="I3" s="7">
        <f>$B3 * IFERROR(VLOOKUP("buildings|PM25|Infant mortality", US_national_yearly!$D:$AM, 17, FALSE) / VLOOKUP("buildings|PM25|Infant mortality", US_national_yearly!$D:$AM, 10, FALSE), 1)</f>
        <v>3.9405198690948094E-5</v>
      </c>
      <c r="J3" s="7">
        <f>$B3 * IFERROR(VLOOKUP("buildings|PM25|Infant mortality", US_national_yearly!$D:$AM, 18, FALSE) / VLOOKUP("buildings|PM25|Infant mortality", US_national_yearly!$D:$AM, 10, FALSE), 1)</f>
        <v>3.9146734172671904E-5</v>
      </c>
      <c r="K3" s="7">
        <f>$B3 * IFERROR(VLOOKUP("buildings|PM25|Infant mortality", US_national_yearly!$D:$AM, 19, FALSE) / VLOOKUP("buildings|PM25|Infant mortality", US_national_yearly!$D:$AM, 10, FALSE), 1)</f>
        <v>3.888826965439572E-5</v>
      </c>
      <c r="L3" s="7">
        <f>$B3 * IFERROR(VLOOKUP("buildings|PM25|Infant mortality", US_national_yearly!$D:$AM, 20, FALSE) / VLOOKUP("buildings|PM25|Infant mortality", US_national_yearly!$D:$AM, 10, FALSE), 1)</f>
        <v>3.8629805136119531E-5</v>
      </c>
      <c r="M3" s="7">
        <f>$B3 * IFERROR(VLOOKUP("buildings|PM25|Infant mortality", US_national_yearly!$D:$AM, 21, FALSE) / VLOOKUP("buildings|PM25|Infant mortality", US_national_yearly!$D:$AM, 10, FALSE), 1)</f>
        <v>3.8371340617843347E-5</v>
      </c>
      <c r="N3" s="7">
        <f>$B3 * IFERROR(VLOOKUP("buildings|PM25|Infant mortality", US_national_yearly!$D:$AM, 22, FALSE) / VLOOKUP("buildings|PM25|Infant mortality", US_national_yearly!$D:$AM, 10, FALSE), 1)</f>
        <v>3.8209620477991523E-5</v>
      </c>
      <c r="O3" s="7">
        <f>$B3 * IFERROR(VLOOKUP("buildings|PM25|Infant mortality", US_national_yearly!$D:$AM, 23, FALSE) / VLOOKUP("buildings|PM25|Infant mortality", US_national_yearly!$D:$AM, 10, FALSE), 1)</f>
        <v>3.8047900338139705E-5</v>
      </c>
      <c r="P3" s="7">
        <f>$B3 * IFERROR(VLOOKUP("buildings|PM25|Infant mortality", US_national_yearly!$D:$AM, 24, FALSE) / VLOOKUP("buildings|PM25|Infant mortality", US_national_yearly!$D:$AM, 10, FALSE), 1)</f>
        <v>3.7886180198287887E-5</v>
      </c>
      <c r="Q3" s="7">
        <f>$B3 * IFERROR(VLOOKUP("buildings|PM25|Infant mortality", US_national_yearly!$D:$AM, 25, FALSE) / VLOOKUP("buildings|PM25|Infant mortality", US_national_yearly!$D:$AM, 10, FALSE), 1)</f>
        <v>3.7724460058436069E-5</v>
      </c>
      <c r="R3" s="7">
        <f>$B3 * IFERROR(VLOOKUP("buildings|PM25|Infant mortality", US_national_yearly!$D:$AM, 26, FALSE) / VLOOKUP("buildings|PM25|Infant mortality", US_national_yearly!$D:$AM, 10, FALSE), 1)</f>
        <v>3.7562739918584252E-5</v>
      </c>
      <c r="S3" s="7">
        <f>$B3 * IFERROR(VLOOKUP("buildings|PM25|Infant mortality", US_national_yearly!$D:$AM, 27, FALSE) / VLOOKUP("buildings|PM25|Infant mortality", US_national_yearly!$D:$AM, 10, FALSE), 1)</f>
        <v>3.7360821203684902E-5</v>
      </c>
      <c r="T3" s="7">
        <f>$B3 * IFERROR(VLOOKUP("buildings|PM25|Infant mortality", US_national_yearly!$D:$AM, 28, FALSE) / VLOOKUP("buildings|PM25|Infant mortality", US_national_yearly!$D:$AM, 10, FALSE), 1)</f>
        <v>3.7158902488785559E-5</v>
      </c>
      <c r="U3" s="7">
        <f>$B3 * IFERROR(VLOOKUP("buildings|PM25|Infant mortality", US_national_yearly!$D:$AM, 29, FALSE) / VLOOKUP("buildings|PM25|Infant mortality", US_national_yearly!$D:$AM, 10, FALSE), 1)</f>
        <v>3.695698377388621E-5</v>
      </c>
      <c r="V3" s="7">
        <f>$B3 * IFERROR(VLOOKUP("buildings|PM25|Infant mortality", US_national_yearly!$D:$AM, 30, FALSE) / VLOOKUP("buildings|PM25|Infant mortality", US_national_yearly!$D:$AM, 10, FALSE), 1)</f>
        <v>3.6755065058986867E-5</v>
      </c>
      <c r="W3" s="7">
        <f>$B3 * IFERROR(VLOOKUP("buildings|PM25|Infant mortality", US_national_yearly!$D:$AM, 31, FALSE) / VLOOKUP("buildings|PM25|Infant mortality", US_national_yearly!$D:$AM, 10, FALSE), 1)</f>
        <v>3.6553146344087517E-5</v>
      </c>
      <c r="X3" s="7">
        <f>$B3 * IFERROR(VLOOKUP("buildings|PM25|Infant mortality", US_national_yearly!$D:$AM, 32, FALSE) / VLOOKUP("buildings|PM25|Infant mortality", US_national_yearly!$D:$AM, 10, FALSE), 1)</f>
        <v>3.6335754849689852E-5</v>
      </c>
      <c r="Y3" s="7">
        <f>$B3 * IFERROR(VLOOKUP("buildings|PM25|Infant mortality", US_national_yearly!$D:$AM, 33, FALSE) / VLOOKUP("buildings|PM25|Infant mortality", US_national_yearly!$D:$AM, 10, FALSE), 1)</f>
        <v>3.6118363355292193E-5</v>
      </c>
      <c r="Z3" s="7">
        <f>$B3 * IFERROR(VLOOKUP("buildings|PM25|Infant mortality", US_national_yearly!$D:$AM, 34, FALSE) / VLOOKUP("buildings|PM25|Infant mortality", US_national_yearly!$D:$AM, 10, FALSE), 1)</f>
        <v>3.5900971860894528E-5</v>
      </c>
      <c r="AA3" s="7">
        <f>$B3 * IFERROR(VLOOKUP("buildings|PM25|Infant mortality", US_national_yearly!$D:$AM, 35, FALSE) / VLOOKUP("buildings|PM25|Infant mortality", US_national_yearly!$D:$AM, 10, FALSE), 1)</f>
        <v>3.5683580366496855E-5</v>
      </c>
      <c r="AB3" s="7">
        <f>$B3 * IFERROR(VLOOKUP("buildings|PM25|Infant mortality", US_national_yearly!$D:$AM, 36, FALSE) / VLOOKUP("buildings|PM25|Infant mortality", US_national_yearly!$D:$AM, 10, FALSE), 1)</f>
        <v>3.5466188872099197E-5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0.18161293219811672</v>
      </c>
      <c r="C6" s="7">
        <f>$B6 * IFERROR(VLOOKUP("buildings|PM25|Asthma symptoms cough", US_national_yearly!$D:$AM, 11, FALSE) / VLOOKUP("buildings|PM25|Asthma symptoms cough", US_national_yearly!$D:$AM, 10, FALSE), 1)</f>
        <v>0.18161293219811672</v>
      </c>
      <c r="D6" s="7">
        <f>$B6 * IFERROR(VLOOKUP("buildings|PM25|Asthma symptoms cough", US_national_yearly!$D:$AM, 12, FALSE) / VLOOKUP("buildings|PM25|Asthma symptoms cough", US_national_yearly!$D:$AM, 10, FALSE), 1)</f>
        <v>0.18161293219811672</v>
      </c>
      <c r="E6" s="7">
        <f>$B6 * IFERROR(VLOOKUP("buildings|PM25|Asthma symptoms cough", US_national_yearly!$D:$AM, 13, FALSE) / VLOOKUP("buildings|PM25|Asthma symptoms cough", US_national_yearly!$D:$AM, 10, FALSE), 1)</f>
        <v>0.18161293219811672</v>
      </c>
      <c r="F6" s="7">
        <f>$B6 * IFERROR(VLOOKUP("buildings|PM25|Asthma symptoms cough", US_national_yearly!$D:$AM, 14, FALSE) / VLOOKUP("buildings|PM25|Asthma symptoms cough", US_national_yearly!$D:$AM, 10, FALSE), 1)</f>
        <v>0.18161293219811672</v>
      </c>
      <c r="G6" s="7">
        <f>$B6 * IFERROR(VLOOKUP("buildings|PM25|Asthma symptoms cough", US_national_yearly!$D:$AM, 15, FALSE) / VLOOKUP("buildings|PM25|Asthma symptoms cough", US_national_yearly!$D:$AM, 10, FALSE), 1)</f>
        <v>0.18161293219811672</v>
      </c>
      <c r="H6" s="7">
        <f>$B6 * IFERROR(VLOOKUP("buildings|PM25|Asthma symptoms cough", US_national_yearly!$D:$AM, 16, FALSE) / VLOOKUP("buildings|PM25|Asthma symptoms cough", US_national_yearly!$D:$AM, 10, FALSE), 1)</f>
        <v>0.18161293219811672</v>
      </c>
      <c r="I6" s="7">
        <f>$B6 * IFERROR(VLOOKUP("buildings|PM25|Asthma symptoms cough", US_national_yearly!$D:$AM, 17, FALSE) / VLOOKUP("buildings|PM25|Asthma symptoms cough", US_national_yearly!$D:$AM, 10, FALSE), 1)</f>
        <v>0.18161293219811672</v>
      </c>
      <c r="J6" s="7">
        <f>$B6 * IFERROR(VLOOKUP("buildings|PM25|Asthma symptoms cough", US_national_yearly!$D:$AM, 18, FALSE) / VLOOKUP("buildings|PM25|Asthma symptoms cough", US_national_yearly!$D:$AM, 10, FALSE), 1)</f>
        <v>0.18161293219811672</v>
      </c>
      <c r="K6" s="7">
        <f>$B6 * IFERROR(VLOOKUP("buildings|PM25|Asthma symptoms cough", US_national_yearly!$D:$AM, 19, FALSE) / VLOOKUP("buildings|PM25|Asthma symptoms cough", US_national_yearly!$D:$AM, 10, FALSE), 1)</f>
        <v>0.18161293219811672</v>
      </c>
      <c r="L6" s="7">
        <f>$B6 * IFERROR(VLOOKUP("buildings|PM25|Asthma symptoms cough", US_national_yearly!$D:$AM, 20, FALSE) / VLOOKUP("buildings|PM25|Asthma symptoms cough", US_national_yearly!$D:$AM, 10, FALSE), 1)</f>
        <v>0.18161293219811672</v>
      </c>
      <c r="M6" s="7">
        <f>$B6 * IFERROR(VLOOKUP("buildings|PM25|Asthma symptoms cough", US_national_yearly!$D:$AM, 21, FALSE) / VLOOKUP("buildings|PM25|Asthma symptoms cough", US_national_yearly!$D:$AM, 10, FALSE), 1)</f>
        <v>0.18161293219811672</v>
      </c>
      <c r="N6" s="7">
        <f>$B6 * IFERROR(VLOOKUP("buildings|PM25|Asthma symptoms cough", US_national_yearly!$D:$AM, 22, FALSE) / VLOOKUP("buildings|PM25|Asthma symptoms cough", US_national_yearly!$D:$AM, 10, FALSE), 1)</f>
        <v>0.18161293219811672</v>
      </c>
      <c r="O6" s="7">
        <f>$B6 * IFERROR(VLOOKUP("buildings|PM25|Asthma symptoms cough", US_national_yearly!$D:$AM, 23, FALSE) / VLOOKUP("buildings|PM25|Asthma symptoms cough", US_national_yearly!$D:$AM, 10, FALSE), 1)</f>
        <v>0.18161293219811672</v>
      </c>
      <c r="P6" s="7">
        <f>$B6 * IFERROR(VLOOKUP("buildings|PM25|Asthma symptoms cough", US_national_yearly!$D:$AM, 24, FALSE) / VLOOKUP("buildings|PM25|Asthma symptoms cough", US_national_yearly!$D:$AM, 10, FALSE), 1)</f>
        <v>0.18161293219811672</v>
      </c>
      <c r="Q6" s="7">
        <f>$B6 * IFERROR(VLOOKUP("buildings|PM25|Asthma symptoms cough", US_national_yearly!$D:$AM, 25, FALSE) / VLOOKUP("buildings|PM25|Asthma symptoms cough", US_national_yearly!$D:$AM, 10, FALSE), 1)</f>
        <v>0.18161293219811672</v>
      </c>
      <c r="R6" s="7">
        <f>$B6 * IFERROR(VLOOKUP("buildings|PM25|Asthma symptoms cough", US_national_yearly!$D:$AM, 26, FALSE) / VLOOKUP("buildings|PM25|Asthma symptoms cough", US_national_yearly!$D:$AM, 10, FALSE), 1)</f>
        <v>0.18161293219811672</v>
      </c>
      <c r="S6" s="7">
        <f>$B6 * IFERROR(VLOOKUP("buildings|PM25|Asthma symptoms cough", US_national_yearly!$D:$AM, 27, FALSE) / VLOOKUP("buildings|PM25|Asthma symptoms cough", US_national_yearly!$D:$AM, 10, FALSE), 1)</f>
        <v>0.18161293219811672</v>
      </c>
      <c r="T6" s="7">
        <f>$B6 * IFERROR(VLOOKUP("buildings|PM25|Asthma symptoms cough", US_national_yearly!$D:$AM, 28, FALSE) / VLOOKUP("buildings|PM25|Asthma symptoms cough", US_national_yearly!$D:$AM, 10, FALSE), 1)</f>
        <v>0.18161293219811672</v>
      </c>
      <c r="U6" s="7">
        <f>$B6 * IFERROR(VLOOKUP("buildings|PM25|Asthma symptoms cough", US_national_yearly!$D:$AM, 29, FALSE) / VLOOKUP("buildings|PM25|Asthma symptoms cough", US_national_yearly!$D:$AM, 10, FALSE), 1)</f>
        <v>0.18161293219811672</v>
      </c>
      <c r="V6" s="7">
        <f>$B6 * IFERROR(VLOOKUP("buildings|PM25|Asthma symptoms cough", US_national_yearly!$D:$AM, 30, FALSE) / VLOOKUP("buildings|PM25|Asthma symptoms cough", US_national_yearly!$D:$AM, 10, FALSE), 1)</f>
        <v>0.18161293219811672</v>
      </c>
      <c r="W6" s="7">
        <f>$B6 * IFERROR(VLOOKUP("buildings|PM25|Asthma symptoms cough", US_national_yearly!$D:$AM, 31, FALSE) / VLOOKUP("buildings|PM25|Asthma symptoms cough", US_national_yearly!$D:$AM, 10, FALSE), 1)</f>
        <v>0.18161293219811672</v>
      </c>
      <c r="X6" s="7">
        <f>$B6 * IFERROR(VLOOKUP("buildings|PM25|Asthma symptoms cough", US_national_yearly!$D:$AM, 32, FALSE) / VLOOKUP("buildings|PM25|Asthma symptoms cough", US_national_yearly!$D:$AM, 10, FALSE), 1)</f>
        <v>0.18161293219811672</v>
      </c>
      <c r="Y6" s="7">
        <f>$B6 * IFERROR(VLOOKUP("buildings|PM25|Asthma symptoms cough", US_national_yearly!$D:$AM, 33, FALSE) / VLOOKUP("buildings|PM25|Asthma symptoms cough", US_national_yearly!$D:$AM, 10, FALSE), 1)</f>
        <v>0.18161293219811672</v>
      </c>
      <c r="Z6" s="7">
        <f>$B6 * IFERROR(VLOOKUP("buildings|PM25|Asthma symptoms cough", US_national_yearly!$D:$AM, 34, FALSE) / VLOOKUP("buildings|PM25|Asthma symptoms cough", US_national_yearly!$D:$AM, 10, FALSE), 1)</f>
        <v>0.18161293219811672</v>
      </c>
      <c r="AA6" s="7">
        <f>$B6 * IFERROR(VLOOKUP("buildings|PM25|Asthma symptoms cough", US_national_yearly!$D:$AM, 35, FALSE) / VLOOKUP("buildings|PM25|Asthma symptoms cough", US_national_yearly!$D:$AM, 10, FALSE), 1)</f>
        <v>0.18161293219811672</v>
      </c>
      <c r="AB6" s="7">
        <f>$B6 * IFERROR(VLOOKUP("buildings|PM25|Asthma symptoms cough", US_national_yearly!$D:$AM, 36, FALSE) / VLOOKUP("buildings|PM25|Asthma symptoms cough", US_national_yearly!$D:$AM, 10, FALSE), 1)</f>
        <v>0.18161293219811672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0.24456791464271826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0.24456791464271826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0.24456791464271826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0.24456791464271826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0.24456791464271826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0.24456791464271826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0.24456791464271826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0.24456791464271826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0.24456791464271826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0.24456791464271826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0.24456791464271826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0.24456791464271826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0.24456791464271826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0.24456791464271826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0.24456791464271826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0.24456791464271826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0.24456791464271826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0.24456791464271826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0.24456791464271826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0.24456791464271826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0.24456791464271826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0.24456791464271826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0.24456791464271826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0.24456791464271826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0.24456791464271826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0.24456791464271826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0.24456791464271826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0.3736592220068789</v>
      </c>
      <c r="C8" s="7">
        <f>$B8 * IFERROR(VLOOKUP("buildings|PM25|Asthma symptoms wheeze", US_national_yearly!$D:$AM, 11, FALSE) / VLOOKUP("buildings|PM25|Asthma symptoms wheeze", US_national_yearly!$D:$AM, 10, FALSE), 1)</f>
        <v>0.3736592220068789</v>
      </c>
      <c r="D8" s="7">
        <f>$B8 * IFERROR(VLOOKUP("buildings|PM25|Asthma symptoms wheeze", US_national_yearly!$D:$AM, 12, FALSE) / VLOOKUP("buildings|PM25|Asthma symptoms wheeze", US_national_yearly!$D:$AM, 10, FALSE), 1)</f>
        <v>0.3736592220068789</v>
      </c>
      <c r="E8" s="7">
        <f>$B8 * IFERROR(VLOOKUP("buildings|PM25|Asthma symptoms wheeze", US_national_yearly!$D:$AM, 13, FALSE) / VLOOKUP("buildings|PM25|Asthma symptoms wheeze", US_national_yearly!$D:$AM, 10, FALSE), 1)</f>
        <v>0.3736592220068789</v>
      </c>
      <c r="F8" s="7">
        <f>$B8 * IFERROR(VLOOKUP("buildings|PM25|Asthma symptoms wheeze", US_national_yearly!$D:$AM, 14, FALSE) / VLOOKUP("buildings|PM25|Asthma symptoms wheeze", US_national_yearly!$D:$AM, 10, FALSE), 1)</f>
        <v>0.3736592220068789</v>
      </c>
      <c r="G8" s="7">
        <f>$B8 * IFERROR(VLOOKUP("buildings|PM25|Asthma symptoms wheeze", US_national_yearly!$D:$AM, 15, FALSE) / VLOOKUP("buildings|PM25|Asthma symptoms wheeze", US_national_yearly!$D:$AM, 10, FALSE), 1)</f>
        <v>0.3736592220068789</v>
      </c>
      <c r="H8" s="7">
        <f>$B8 * IFERROR(VLOOKUP("buildings|PM25|Asthma symptoms wheeze", US_national_yearly!$D:$AM, 16, FALSE) / VLOOKUP("buildings|PM25|Asthma symptoms wheeze", US_national_yearly!$D:$AM, 10, FALSE), 1)</f>
        <v>0.3736592220068789</v>
      </c>
      <c r="I8" s="7">
        <f>$B8 * IFERROR(VLOOKUP("buildings|PM25|Asthma symptoms wheeze", US_national_yearly!$D:$AM, 17, FALSE) / VLOOKUP("buildings|PM25|Asthma symptoms wheeze", US_national_yearly!$D:$AM, 10, FALSE), 1)</f>
        <v>0.3736592220068789</v>
      </c>
      <c r="J8" s="7">
        <f>$B8 * IFERROR(VLOOKUP("buildings|PM25|Asthma symptoms wheeze", US_national_yearly!$D:$AM, 18, FALSE) / VLOOKUP("buildings|PM25|Asthma symptoms wheeze", US_national_yearly!$D:$AM, 10, FALSE), 1)</f>
        <v>0.3736592220068789</v>
      </c>
      <c r="K8" s="7">
        <f>$B8 * IFERROR(VLOOKUP("buildings|PM25|Asthma symptoms wheeze", US_national_yearly!$D:$AM, 19, FALSE) / VLOOKUP("buildings|PM25|Asthma symptoms wheeze", US_national_yearly!$D:$AM, 10, FALSE), 1)</f>
        <v>0.3736592220068789</v>
      </c>
      <c r="L8" s="7">
        <f>$B8 * IFERROR(VLOOKUP("buildings|PM25|Asthma symptoms wheeze", US_national_yearly!$D:$AM, 20, FALSE) / VLOOKUP("buildings|PM25|Asthma symptoms wheeze", US_national_yearly!$D:$AM, 10, FALSE), 1)</f>
        <v>0.3736592220068789</v>
      </c>
      <c r="M8" s="7">
        <f>$B8 * IFERROR(VLOOKUP("buildings|PM25|Asthma symptoms wheeze", US_national_yearly!$D:$AM, 21, FALSE) / VLOOKUP("buildings|PM25|Asthma symptoms wheeze", US_national_yearly!$D:$AM, 10, FALSE), 1)</f>
        <v>0.3736592220068789</v>
      </c>
      <c r="N8" s="7">
        <f>$B8 * IFERROR(VLOOKUP("buildings|PM25|Asthma symptoms wheeze", US_national_yearly!$D:$AM, 22, FALSE) / VLOOKUP("buildings|PM25|Asthma symptoms wheeze", US_national_yearly!$D:$AM, 10, FALSE), 1)</f>
        <v>0.3736592220068789</v>
      </c>
      <c r="O8" s="7">
        <f>$B8 * IFERROR(VLOOKUP("buildings|PM25|Asthma symptoms wheeze", US_national_yearly!$D:$AM, 23, FALSE) / VLOOKUP("buildings|PM25|Asthma symptoms wheeze", US_national_yearly!$D:$AM, 10, FALSE), 1)</f>
        <v>0.3736592220068789</v>
      </c>
      <c r="P8" s="7">
        <f>$B8 * IFERROR(VLOOKUP("buildings|PM25|Asthma symptoms wheeze", US_national_yearly!$D:$AM, 24, FALSE) / VLOOKUP("buildings|PM25|Asthma symptoms wheeze", US_national_yearly!$D:$AM, 10, FALSE), 1)</f>
        <v>0.3736592220068789</v>
      </c>
      <c r="Q8" s="7">
        <f>$B8 * IFERROR(VLOOKUP("buildings|PM25|Asthma symptoms wheeze", US_national_yearly!$D:$AM, 25, FALSE) / VLOOKUP("buildings|PM25|Asthma symptoms wheeze", US_national_yearly!$D:$AM, 10, FALSE), 1)</f>
        <v>0.3736592220068789</v>
      </c>
      <c r="R8" s="7">
        <f>$B8 * IFERROR(VLOOKUP("buildings|PM25|Asthma symptoms wheeze", US_national_yearly!$D:$AM, 26, FALSE) / VLOOKUP("buildings|PM25|Asthma symptoms wheeze", US_national_yearly!$D:$AM, 10, FALSE), 1)</f>
        <v>0.3736592220068789</v>
      </c>
      <c r="S8" s="7">
        <f>$B8 * IFERROR(VLOOKUP("buildings|PM25|Asthma symptoms wheeze", US_national_yearly!$D:$AM, 27, FALSE) / VLOOKUP("buildings|PM25|Asthma symptoms wheeze", US_national_yearly!$D:$AM, 10, FALSE), 1)</f>
        <v>0.3736592220068789</v>
      </c>
      <c r="T8" s="7">
        <f>$B8 * IFERROR(VLOOKUP("buildings|PM25|Asthma symptoms wheeze", US_national_yearly!$D:$AM, 28, FALSE) / VLOOKUP("buildings|PM25|Asthma symptoms wheeze", US_national_yearly!$D:$AM, 10, FALSE), 1)</f>
        <v>0.3736592220068789</v>
      </c>
      <c r="U8" s="7">
        <f>$B8 * IFERROR(VLOOKUP("buildings|PM25|Asthma symptoms wheeze", US_national_yearly!$D:$AM, 29, FALSE) / VLOOKUP("buildings|PM25|Asthma symptoms wheeze", US_national_yearly!$D:$AM, 10, FALSE), 1)</f>
        <v>0.3736592220068789</v>
      </c>
      <c r="V8" s="7">
        <f>$B8 * IFERROR(VLOOKUP("buildings|PM25|Asthma symptoms wheeze", US_national_yearly!$D:$AM, 30, FALSE) / VLOOKUP("buildings|PM25|Asthma symptoms wheeze", US_national_yearly!$D:$AM, 10, FALSE), 1)</f>
        <v>0.3736592220068789</v>
      </c>
      <c r="W8" s="7">
        <f>$B8 * IFERROR(VLOOKUP("buildings|PM25|Asthma symptoms wheeze", US_national_yearly!$D:$AM, 31, FALSE) / VLOOKUP("buildings|PM25|Asthma symptoms wheeze", US_national_yearly!$D:$AM, 10, FALSE), 1)</f>
        <v>0.3736592220068789</v>
      </c>
      <c r="X8" s="7">
        <f>$B8 * IFERROR(VLOOKUP("buildings|PM25|Asthma symptoms wheeze", US_national_yearly!$D:$AM, 32, FALSE) / VLOOKUP("buildings|PM25|Asthma symptoms wheeze", US_national_yearly!$D:$AM, 10, FALSE), 1)</f>
        <v>0.3736592220068789</v>
      </c>
      <c r="Y8" s="7">
        <f>$B8 * IFERROR(VLOOKUP("buildings|PM25|Asthma symptoms wheeze", US_national_yearly!$D:$AM, 33, FALSE) / VLOOKUP("buildings|PM25|Asthma symptoms wheeze", US_national_yearly!$D:$AM, 10, FALSE), 1)</f>
        <v>0.3736592220068789</v>
      </c>
      <c r="Z8" s="7">
        <f>$B8 * IFERROR(VLOOKUP("buildings|PM25|Asthma symptoms wheeze", US_national_yearly!$D:$AM, 34, FALSE) / VLOOKUP("buildings|PM25|Asthma symptoms wheeze", US_national_yearly!$D:$AM, 10, FALSE), 1)</f>
        <v>0.3736592220068789</v>
      </c>
      <c r="AA8" s="7">
        <f>$B8 * IFERROR(VLOOKUP("buildings|PM25|Asthma symptoms wheeze", US_national_yearly!$D:$AM, 35, FALSE) / VLOOKUP("buildings|PM25|Asthma symptoms wheeze", US_national_yearly!$D:$AM, 10, FALSE), 1)</f>
        <v>0.3736592220068789</v>
      </c>
      <c r="AB8" s="7">
        <f>$B8 * IFERROR(VLOOKUP("buildings|PM25|Asthma symptoms wheeze", US_national_yearly!$D:$AM, 36, FALSE) / VLOOKUP("buildings|PM25|Asthma symptoms wheeze", US_national_yearly!$D:$AM, 10, FALSE), 1)</f>
        <v>0.3736592220068789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4.5341662436019104E-3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4.5603019317136187E-3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4.5864376198253287E-3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4.6125733079370387E-3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4.6387089960487479E-3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4.6669118249491569E-3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4.6951146538495659E-3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4.7219380944670906E-3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4.7487615350846144E-3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4.7755849757021374E-3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4.8024084163196621E-3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4.8292318569371859E-3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4.848525177080976E-3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4.867818497224766E-3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4.8871118173685561E-3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4.9064051375123452E-3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4.9256984576561353E-3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4.9440806104344148E-3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4.9624627632126961E-3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4.9808449159909757E-3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4.9992270687692552E-3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5.0176092215475365E-3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5.0353634672299667E-3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5.0531177129123977E-3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5.070871958594827E-3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5.088626204277258E-3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5.1063804499596882E-3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3.2287414617038407E-2</v>
      </c>
      <c r="C13" s="7">
        <f>$B13 * IFERROR(VLOOKUP("buildings|PM25|Non-fatal heart attacks", US_national_yearly!$D:$AM, 11, FALSE) / VLOOKUP("buildings|PM25|Non-fatal heart attacks", US_national_yearly!$D:$AM, 10, FALSE), 1)</f>
        <v>3.3226539758771913E-2</v>
      </c>
      <c r="D13" s="7">
        <f>$B13 * IFERROR(VLOOKUP("buildings|PM25|Non-fatal heart attacks", US_national_yearly!$D:$AM, 12, FALSE) / VLOOKUP("buildings|PM25|Non-fatal heart attacks", US_national_yearly!$D:$AM, 10, FALSE), 1)</f>
        <v>3.4165664900505419E-2</v>
      </c>
      <c r="E13" s="7">
        <f>$B13 * IFERROR(VLOOKUP("buildings|PM25|Non-fatal heart attacks", US_national_yearly!$D:$AM, 13, FALSE) / VLOOKUP("buildings|PM25|Non-fatal heart attacks", US_national_yearly!$D:$AM, 10, FALSE), 1)</f>
        <v>3.5104790042238918E-2</v>
      </c>
      <c r="F13" s="7">
        <f>$B13 * IFERROR(VLOOKUP("buildings|PM25|Non-fatal heart attacks", US_national_yearly!$D:$AM, 14, FALSE) / VLOOKUP("buildings|PM25|Non-fatal heart attacks", US_national_yearly!$D:$AM, 10, FALSE), 1)</f>
        <v>3.604391518397243E-2</v>
      </c>
      <c r="G13" s="7">
        <f>$B13 * IFERROR(VLOOKUP("buildings|PM25|Non-fatal heart attacks", US_national_yearly!$D:$AM, 15, FALSE) / VLOOKUP("buildings|PM25|Non-fatal heart attacks", US_national_yearly!$D:$AM, 10, FALSE), 1)</f>
        <v>3.693003339348825E-2</v>
      </c>
      <c r="H13" s="7">
        <f>$B13 * IFERROR(VLOOKUP("buildings|PM25|Non-fatal heart attacks", US_national_yearly!$D:$AM, 16, FALSE) / VLOOKUP("buildings|PM25|Non-fatal heart attacks", US_national_yearly!$D:$AM, 10, FALSE), 1)</f>
        <v>3.7816151603004056E-2</v>
      </c>
      <c r="I13" s="7">
        <f>$B13 * IFERROR(VLOOKUP("buildings|PM25|Non-fatal heart attacks", US_national_yearly!$D:$AM, 17, FALSE) / VLOOKUP("buildings|PM25|Non-fatal heart attacks", US_national_yearly!$D:$AM, 10, FALSE), 1)</f>
        <v>3.8529102526334368E-2</v>
      </c>
      <c r="J13" s="7">
        <f>$B13 * IFERROR(VLOOKUP("buildings|PM25|Non-fatal heart attacks", US_national_yearly!$D:$AM, 18, FALSE) / VLOOKUP("buildings|PM25|Non-fatal heart attacks", US_national_yearly!$D:$AM, 10, FALSE), 1)</f>
        <v>3.9242053449664679E-2</v>
      </c>
      <c r="K13" s="7">
        <f>$B13 * IFERROR(VLOOKUP("buildings|PM25|Non-fatal heart attacks", US_national_yearly!$D:$AM, 19, FALSE) / VLOOKUP("buildings|PM25|Non-fatal heart attacks", US_national_yearly!$D:$AM, 10, FALSE), 1)</f>
        <v>3.9955004372994977E-2</v>
      </c>
      <c r="L13" s="7">
        <f>$B13 * IFERROR(VLOOKUP("buildings|PM25|Non-fatal heart attacks", US_national_yearly!$D:$AM, 20, FALSE) / VLOOKUP("buildings|PM25|Non-fatal heart attacks", US_national_yearly!$D:$AM, 10, FALSE), 1)</f>
        <v>4.0667955296325282E-2</v>
      </c>
      <c r="M13" s="7">
        <f>$B13 * IFERROR(VLOOKUP("buildings|PM25|Non-fatal heart attacks", US_national_yearly!$D:$AM, 21, FALSE) / VLOOKUP("buildings|PM25|Non-fatal heart attacks", US_national_yearly!$D:$AM, 10, FALSE), 1)</f>
        <v>4.138090621965558E-2</v>
      </c>
      <c r="N13" s="7">
        <f>$B13 * IFERROR(VLOOKUP("buildings|PM25|Non-fatal heart attacks", US_national_yearly!$D:$AM, 22, FALSE) / VLOOKUP("buildings|PM25|Non-fatal heart attacks", US_national_yearly!$D:$AM, 10, FALSE), 1)</f>
        <v>4.184148365475808E-2</v>
      </c>
      <c r="O13" s="7">
        <f>$B13 * IFERROR(VLOOKUP("buildings|PM25|Non-fatal heart attacks", US_national_yearly!$D:$AM, 23, FALSE) / VLOOKUP("buildings|PM25|Non-fatal heart attacks", US_national_yearly!$D:$AM, 10, FALSE), 1)</f>
        <v>4.2302061089860572E-2</v>
      </c>
      <c r="P13" s="7">
        <f>$B13 * IFERROR(VLOOKUP("buildings|PM25|Non-fatal heart attacks", US_national_yearly!$D:$AM, 24, FALSE) / VLOOKUP("buildings|PM25|Non-fatal heart attacks", US_national_yearly!$D:$AM, 10, FALSE), 1)</f>
        <v>4.2762638524963065E-2</v>
      </c>
      <c r="Q13" s="7">
        <f>$B13 * IFERROR(VLOOKUP("buildings|PM25|Non-fatal heart attacks", US_national_yearly!$D:$AM, 25, FALSE) / VLOOKUP("buildings|PM25|Non-fatal heart attacks", US_national_yearly!$D:$AM, 10, FALSE), 1)</f>
        <v>4.3223215960065564E-2</v>
      </c>
      <c r="R13" s="7">
        <f>$B13 * IFERROR(VLOOKUP("buildings|PM25|Non-fatal heart attacks", US_national_yearly!$D:$AM, 26, FALSE) / VLOOKUP("buildings|PM25|Non-fatal heart attacks", US_national_yearly!$D:$AM, 10, FALSE), 1)</f>
        <v>4.3683793395168057E-2</v>
      </c>
      <c r="S13" s="7">
        <f>$B13 * IFERROR(VLOOKUP("buildings|PM25|Non-fatal heart attacks", US_national_yearly!$D:$AM, 27, FALSE) / VLOOKUP("buildings|PM25|Non-fatal heart attacks", US_national_yearly!$D:$AM, 10, FALSE), 1)</f>
        <v>4.3927397195372531E-2</v>
      </c>
      <c r="T13" s="7">
        <f>$B13 * IFERROR(VLOOKUP("buildings|PM25|Non-fatal heart attacks", US_national_yearly!$D:$AM, 28, FALSE) / VLOOKUP("buildings|PM25|Non-fatal heart attacks", US_national_yearly!$D:$AM, 10, FALSE), 1)</f>
        <v>4.4171000995577005E-2</v>
      </c>
      <c r="U13" s="7">
        <f>$B13 * IFERROR(VLOOKUP("buildings|PM25|Non-fatal heart attacks", US_national_yearly!$D:$AM, 29, FALSE) / VLOOKUP("buildings|PM25|Non-fatal heart attacks", US_national_yearly!$D:$AM, 10, FALSE), 1)</f>
        <v>4.4414604795781479E-2</v>
      </c>
      <c r="V13" s="7">
        <f>$B13 * IFERROR(VLOOKUP("buildings|PM25|Non-fatal heart attacks", US_national_yearly!$D:$AM, 30, FALSE) / VLOOKUP("buildings|PM25|Non-fatal heart attacks", US_national_yearly!$D:$AM, 10, FALSE), 1)</f>
        <v>4.4658208595985953E-2</v>
      </c>
      <c r="W13" s="7">
        <f>$B13 * IFERROR(VLOOKUP("buildings|PM25|Non-fatal heart attacks", US_national_yearly!$D:$AM, 31, FALSE) / VLOOKUP("buildings|PM25|Non-fatal heart attacks", US_national_yearly!$D:$AM, 10, FALSE), 1)</f>
        <v>4.4901812396190427E-2</v>
      </c>
      <c r="X13" s="7">
        <f>$B13 * IFERROR(VLOOKUP("buildings|PM25|Non-fatal heart attacks", US_national_yearly!$D:$AM, 32, FALSE) / VLOOKUP("buildings|PM25|Non-fatal heart attacks", US_national_yearly!$D:$AM, 10, FALSE), 1)</f>
        <v>4.5087212680559013E-2</v>
      </c>
      <c r="Y13" s="7">
        <f>$B13 * IFERROR(VLOOKUP("buildings|PM25|Non-fatal heart attacks", US_national_yearly!$D:$AM, 33, FALSE) / VLOOKUP("buildings|PM25|Non-fatal heart attacks", US_national_yearly!$D:$AM, 10, FALSE), 1)</f>
        <v>4.52726129649276E-2</v>
      </c>
      <c r="Z13" s="7">
        <f>$B13 * IFERROR(VLOOKUP("buildings|PM25|Non-fatal heart attacks", US_national_yearly!$D:$AM, 34, FALSE) / VLOOKUP("buildings|PM25|Non-fatal heart attacks", US_national_yearly!$D:$AM, 10, FALSE), 1)</f>
        <v>4.5458013249296179E-2</v>
      </c>
      <c r="AA13" s="7">
        <f>$B13 * IFERROR(VLOOKUP("buildings|PM25|Non-fatal heart attacks", US_national_yearly!$D:$AM, 35, FALSE) / VLOOKUP("buildings|PM25|Non-fatal heart attacks", US_national_yearly!$D:$AM, 10, FALSE), 1)</f>
        <v>4.5643413533664773E-2</v>
      </c>
      <c r="AB13" s="7">
        <f>$B13 * IFERROR(VLOOKUP("buildings|PM25|Non-fatal heart attacks", US_national_yearly!$D:$AM, 36, FALSE) / VLOOKUP("buildings|PM25|Non-fatal heart attacks", US_national_yearly!$D:$AM, 10, FALSE), 1)</f>
        <v>4.5828813818033366E-2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23.877812822197502</v>
      </c>
      <c r="C14" s="7">
        <f>$B14 * IFERROR(VLOOKUP("buildings|PM25|Minor restricted activity days", US_national_yearly!$D:$AM, 11, FALSE) / VLOOKUP("buildings|PM25|Minor restricted activity days", US_national_yearly!$D:$AM, 10, FALSE), 1)</f>
        <v>23.937198281335146</v>
      </c>
      <c r="D14" s="7">
        <f>$B14 * IFERROR(VLOOKUP("buildings|PM25|Minor restricted activity days", US_national_yearly!$D:$AM, 12, FALSE) / VLOOKUP("buildings|PM25|Minor restricted activity days", US_national_yearly!$D:$AM, 10, FALSE), 1)</f>
        <v>23.99658374047279</v>
      </c>
      <c r="E14" s="7">
        <f>$B14 * IFERROR(VLOOKUP("buildings|PM25|Minor restricted activity days", US_national_yearly!$D:$AM, 13, FALSE) / VLOOKUP("buildings|PM25|Minor restricted activity days", US_national_yearly!$D:$AM, 10, FALSE), 1)</f>
        <v>24.055969199610434</v>
      </c>
      <c r="F14" s="7">
        <f>$B14 * IFERROR(VLOOKUP("buildings|PM25|Minor restricted activity days", US_national_yearly!$D:$AM, 14, FALSE) / VLOOKUP("buildings|PM25|Minor restricted activity days", US_national_yearly!$D:$AM, 10, FALSE), 1)</f>
        <v>24.115354658748075</v>
      </c>
      <c r="G14" s="7">
        <f>$B14 * IFERROR(VLOOKUP("buildings|PM25|Minor restricted activity days", US_national_yearly!$D:$AM, 15, FALSE) / VLOOKUP("buildings|PM25|Minor restricted activity days", US_national_yearly!$D:$AM, 10, FALSE), 1)</f>
        <v>24.202455096588285</v>
      </c>
      <c r="H14" s="7">
        <f>$B14 * IFERROR(VLOOKUP("buildings|PM25|Minor restricted activity days", US_national_yearly!$D:$AM, 16, FALSE) / VLOOKUP("buildings|PM25|Minor restricted activity days", US_national_yearly!$D:$AM, 10, FALSE), 1)</f>
        <v>24.289555534428487</v>
      </c>
      <c r="I14" s="7">
        <f>$B14 * IFERROR(VLOOKUP("buildings|PM25|Minor restricted activity days", US_national_yearly!$D:$AM, 17, FALSE) / VLOOKUP("buildings|PM25|Minor restricted activity days", US_national_yearly!$D:$AM, 10, FALSE), 1)</f>
        <v>24.437665378245075</v>
      </c>
      <c r="J14" s="7">
        <f>$B14 * IFERROR(VLOOKUP("buildings|PM25|Minor restricted activity days", US_national_yearly!$D:$AM, 18, FALSE) / VLOOKUP("buildings|PM25|Minor restricted activity days", US_national_yearly!$D:$AM, 10, FALSE), 1)</f>
        <v>24.585775222061674</v>
      </c>
      <c r="K14" s="7">
        <f>$B14 * IFERROR(VLOOKUP("buildings|PM25|Minor restricted activity days", US_national_yearly!$D:$AM, 19, FALSE) / VLOOKUP("buildings|PM25|Minor restricted activity days", US_national_yearly!$D:$AM, 10, FALSE), 1)</f>
        <v>24.733885065878251</v>
      </c>
      <c r="L14" s="7">
        <f>$B14 * IFERROR(VLOOKUP("buildings|PM25|Minor restricted activity days", US_national_yearly!$D:$AM, 20, FALSE) / VLOOKUP("buildings|PM25|Minor restricted activity days", US_national_yearly!$D:$AM, 10, FALSE), 1)</f>
        <v>24.881994909694832</v>
      </c>
      <c r="M14" s="7">
        <f>$B14 * IFERROR(VLOOKUP("buildings|PM25|Minor restricted activity days", US_national_yearly!$D:$AM, 21, FALSE) / VLOOKUP("buildings|PM25|Minor restricted activity days", US_national_yearly!$D:$AM, 10, FALSE), 1)</f>
        <v>25.030104753511417</v>
      </c>
      <c r="N14" s="7">
        <f>$B14 * IFERROR(VLOOKUP("buildings|PM25|Minor restricted activity days", US_national_yearly!$D:$AM, 22, FALSE) / VLOOKUP("buildings|PM25|Minor restricted activity days", US_national_yearly!$D:$AM, 10, FALSE), 1)</f>
        <v>25.231350297729961</v>
      </c>
      <c r="O14" s="7">
        <f>$B14 * IFERROR(VLOOKUP("buildings|PM25|Minor restricted activity days", US_national_yearly!$D:$AM, 23, FALSE) / VLOOKUP("buildings|PM25|Minor restricted activity days", US_national_yearly!$D:$AM, 10, FALSE), 1)</f>
        <v>25.432595841948501</v>
      </c>
      <c r="P14" s="7">
        <f>$B14 * IFERROR(VLOOKUP("buildings|PM25|Minor restricted activity days", US_national_yearly!$D:$AM, 24, FALSE) / VLOOKUP("buildings|PM25|Minor restricted activity days", US_national_yearly!$D:$AM, 10, FALSE), 1)</f>
        <v>25.633841386167042</v>
      </c>
      <c r="Q14" s="7">
        <f>$B14 * IFERROR(VLOOKUP("buildings|PM25|Minor restricted activity days", US_national_yearly!$D:$AM, 25, FALSE) / VLOOKUP("buildings|PM25|Minor restricted activity days", US_national_yearly!$D:$AM, 10, FALSE), 1)</f>
        <v>25.835086930385579</v>
      </c>
      <c r="R14" s="7">
        <f>$B14 * IFERROR(VLOOKUP("buildings|PM25|Minor restricted activity days", US_national_yearly!$D:$AM, 26, FALSE) / VLOOKUP("buildings|PM25|Minor restricted activity days", US_national_yearly!$D:$AM, 10, FALSE), 1)</f>
        <v>26.036332474604119</v>
      </c>
      <c r="S14" s="7">
        <f>$B14 * IFERROR(VLOOKUP("buildings|PM25|Minor restricted activity days", US_national_yearly!$D:$AM, 27, FALSE) / VLOOKUP("buildings|PM25|Minor restricted activity days", US_national_yearly!$D:$AM, 10, FALSE), 1)</f>
        <v>26.238825148346599</v>
      </c>
      <c r="T14" s="7">
        <f>$B14 * IFERROR(VLOOKUP("buildings|PM25|Minor restricted activity days", US_national_yearly!$D:$AM, 28, FALSE) / VLOOKUP("buildings|PM25|Minor restricted activity days", US_national_yearly!$D:$AM, 10, FALSE), 1)</f>
        <v>26.441317822089076</v>
      </c>
      <c r="U14" s="7">
        <f>$B14 * IFERROR(VLOOKUP("buildings|PM25|Minor restricted activity days", US_national_yearly!$D:$AM, 29, FALSE) / VLOOKUP("buildings|PM25|Minor restricted activity days", US_national_yearly!$D:$AM, 10, FALSE), 1)</f>
        <v>26.643810495831556</v>
      </c>
      <c r="V14" s="7">
        <f>$B14 * IFERROR(VLOOKUP("buildings|PM25|Minor restricted activity days", US_national_yearly!$D:$AM, 30, FALSE) / VLOOKUP("buildings|PM25|Minor restricted activity days", US_national_yearly!$D:$AM, 10, FALSE), 1)</f>
        <v>26.846303169574032</v>
      </c>
      <c r="W14" s="7">
        <f>$B14 * IFERROR(VLOOKUP("buildings|PM25|Minor restricted activity days", US_national_yearly!$D:$AM, 31, FALSE) / VLOOKUP("buildings|PM25|Minor restricted activity days", US_national_yearly!$D:$AM, 10, FALSE), 1)</f>
        <v>27.048795843316512</v>
      </c>
      <c r="X14" s="7">
        <f>$B14 * IFERROR(VLOOKUP("buildings|PM25|Minor restricted activity days", US_national_yearly!$D:$AM, 32, FALSE) / VLOOKUP("buildings|PM25|Minor restricted activity days", US_national_yearly!$D:$AM, 10, FALSE), 1)</f>
        <v>27.224621363933892</v>
      </c>
      <c r="Y14" s="7">
        <f>$B14 * IFERROR(VLOOKUP("buildings|PM25|Minor restricted activity days", US_national_yearly!$D:$AM, 33, FALSE) / VLOOKUP("buildings|PM25|Minor restricted activity days", US_national_yearly!$D:$AM, 10, FALSE), 1)</f>
        <v>27.400446884551268</v>
      </c>
      <c r="Z14" s="7">
        <f>$B14 * IFERROR(VLOOKUP("buildings|PM25|Minor restricted activity days", US_national_yearly!$D:$AM, 34, FALSE) / VLOOKUP("buildings|PM25|Minor restricted activity days", US_national_yearly!$D:$AM, 10, FALSE), 1)</f>
        <v>27.576272405168638</v>
      </c>
      <c r="AA14" s="7">
        <f>$B14 * IFERROR(VLOOKUP("buildings|PM25|Minor restricted activity days", US_national_yearly!$D:$AM, 35, FALSE) / VLOOKUP("buildings|PM25|Minor restricted activity days", US_national_yearly!$D:$AM, 10, FALSE), 1)</f>
        <v>27.752097925786014</v>
      </c>
      <c r="AB14" s="7">
        <f>$B14 * IFERROR(VLOOKUP("buildings|PM25|Minor restricted activity days", US_national_yearly!$D:$AM, 36, FALSE) / VLOOKUP("buildings|PM25|Minor restricted activity days", US_national_yearly!$D:$AM, 10, FALSE), 1)</f>
        <v>27.927923446403391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4.0348730211565558</v>
      </c>
      <c r="C15" s="7">
        <f>$B15 * IFERROR(VLOOKUP("buildings|PM25|Work loss days", US_national_yearly!$D:$AM, 11, FALSE) / VLOOKUP("buildings|PM25|Work loss days", US_national_yearly!$D:$AM, 10, FALSE), 1)</f>
        <v>4.0475353228581401</v>
      </c>
      <c r="D15" s="7">
        <f>$B15 * IFERROR(VLOOKUP("buildings|PM25|Work loss days", US_national_yearly!$D:$AM, 12, FALSE) / VLOOKUP("buildings|PM25|Work loss days", US_national_yearly!$D:$AM, 10, FALSE), 1)</f>
        <v>4.0601976245597227</v>
      </c>
      <c r="E15" s="7">
        <f>$B15 * IFERROR(VLOOKUP("buildings|PM25|Work loss days", US_national_yearly!$D:$AM, 13, FALSE) / VLOOKUP("buildings|PM25|Work loss days", US_national_yearly!$D:$AM, 10, FALSE), 1)</f>
        <v>4.0728599262613061</v>
      </c>
      <c r="F15" s="7">
        <f>$B15 * IFERROR(VLOOKUP("buildings|PM25|Work loss days", US_national_yearly!$D:$AM, 14, FALSE) / VLOOKUP("buildings|PM25|Work loss days", US_national_yearly!$D:$AM, 10, FALSE), 1)</f>
        <v>4.0855222279628896</v>
      </c>
      <c r="G15" s="7">
        <f>$B15 * IFERROR(VLOOKUP("buildings|PM25|Work loss days", US_national_yearly!$D:$AM, 15, FALSE) / VLOOKUP("buildings|PM25|Work loss days", US_national_yearly!$D:$AM, 10, FALSE), 1)</f>
        <v>4.1020729910081064</v>
      </c>
      <c r="H15" s="7">
        <f>$B15 * IFERROR(VLOOKUP("buildings|PM25|Work loss days", US_national_yearly!$D:$AM, 16, FALSE) / VLOOKUP("buildings|PM25|Work loss days", US_national_yearly!$D:$AM, 10, FALSE), 1)</f>
        <v>4.1186237540533224</v>
      </c>
      <c r="I15" s="7">
        <f>$B15 * IFERROR(VLOOKUP("buildings|PM25|Work loss days", US_national_yearly!$D:$AM, 17, FALSE) / VLOOKUP("buildings|PM25|Work loss days", US_national_yearly!$D:$AM, 10, FALSE), 1)</f>
        <v>4.1429313020637828</v>
      </c>
      <c r="J15" s="7">
        <f>$B15 * IFERROR(VLOOKUP("buildings|PM25|Work loss days", US_national_yearly!$D:$AM, 18, FALSE) / VLOOKUP("buildings|PM25|Work loss days", US_national_yearly!$D:$AM, 10, FALSE), 1)</f>
        <v>4.1672388500742423</v>
      </c>
      <c r="K15" s="7">
        <f>$B15 * IFERROR(VLOOKUP("buildings|PM25|Work loss days", US_national_yearly!$D:$AM, 19, FALSE) / VLOOKUP("buildings|PM25|Work loss days", US_national_yearly!$D:$AM, 10, FALSE), 1)</f>
        <v>4.1915463980847028</v>
      </c>
      <c r="L15" s="7">
        <f>$B15 * IFERROR(VLOOKUP("buildings|PM25|Work loss days", US_national_yearly!$D:$AM, 20, FALSE) / VLOOKUP("buildings|PM25|Work loss days", US_national_yearly!$D:$AM, 10, FALSE), 1)</f>
        <v>4.2158539460951623</v>
      </c>
      <c r="M15" s="7">
        <f>$B15 * IFERROR(VLOOKUP("buildings|PM25|Work loss days", US_national_yearly!$D:$AM, 21, FALSE) / VLOOKUP("buildings|PM25|Work loss days", US_national_yearly!$D:$AM, 10, FALSE), 1)</f>
        <v>4.2401614941056236</v>
      </c>
      <c r="N15" s="7">
        <f>$B15 * IFERROR(VLOOKUP("buildings|PM25|Work loss days", US_national_yearly!$D:$AM, 22, FALSE) / VLOOKUP("buildings|PM25|Work loss days", US_national_yearly!$D:$AM, 10, FALSE), 1)</f>
        <v>4.270722533869221</v>
      </c>
      <c r="O15" s="7">
        <f>$B15 * IFERROR(VLOOKUP("buildings|PM25|Work loss days", US_national_yearly!$D:$AM, 23, FALSE) / VLOOKUP("buildings|PM25|Work loss days", US_national_yearly!$D:$AM, 10, FALSE), 1)</f>
        <v>4.3012835736328192</v>
      </c>
      <c r="P15" s="7">
        <f>$B15 * IFERROR(VLOOKUP("buildings|PM25|Work loss days", US_national_yearly!$D:$AM, 24, FALSE) / VLOOKUP("buildings|PM25|Work loss days", US_national_yearly!$D:$AM, 10, FALSE), 1)</f>
        <v>4.3318446133964166</v>
      </c>
      <c r="Q15" s="7">
        <f>$B15 * IFERROR(VLOOKUP("buildings|PM25|Work loss days", US_national_yearly!$D:$AM, 25, FALSE) / VLOOKUP("buildings|PM25|Work loss days", US_national_yearly!$D:$AM, 10, FALSE), 1)</f>
        <v>4.3624056531600139</v>
      </c>
      <c r="R15" s="7">
        <f>$B15 * IFERROR(VLOOKUP("buildings|PM25|Work loss days", US_national_yearly!$D:$AM, 26, FALSE) / VLOOKUP("buildings|PM25|Work loss days", US_national_yearly!$D:$AM, 10, FALSE), 1)</f>
        <v>4.3929666929236122</v>
      </c>
      <c r="S15" s="7">
        <f>$B15 * IFERROR(VLOOKUP("buildings|PM25|Work loss days", US_national_yearly!$D:$AM, 27, FALSE) / VLOOKUP("buildings|PM25|Work loss days", US_national_yearly!$D:$AM, 10, FALSE), 1)</f>
        <v>4.4267251595727473</v>
      </c>
      <c r="T15" s="7">
        <f>$B15 * IFERROR(VLOOKUP("buildings|PM25|Work loss days", US_national_yearly!$D:$AM, 28, FALSE) / VLOOKUP("buildings|PM25|Work loss days", US_national_yearly!$D:$AM, 10, FALSE), 1)</f>
        <v>4.4604836262218823</v>
      </c>
      <c r="U15" s="7">
        <f>$B15 * IFERROR(VLOOKUP("buildings|PM25|Work loss days", US_national_yearly!$D:$AM, 29, FALSE) / VLOOKUP("buildings|PM25|Work loss days", US_national_yearly!$D:$AM, 10, FALSE), 1)</f>
        <v>4.4942420928710183</v>
      </c>
      <c r="V15" s="7">
        <f>$B15 * IFERROR(VLOOKUP("buildings|PM25|Work loss days", US_national_yearly!$D:$AM, 30, FALSE) / VLOOKUP("buildings|PM25|Work loss days", US_national_yearly!$D:$AM, 10, FALSE), 1)</f>
        <v>4.5280005595201525</v>
      </c>
      <c r="W15" s="7">
        <f>$B15 * IFERROR(VLOOKUP("buildings|PM25|Work loss days", US_national_yearly!$D:$AM, 31, FALSE) / VLOOKUP("buildings|PM25|Work loss days", US_national_yearly!$D:$AM, 10, FALSE), 1)</f>
        <v>4.5617590261692884</v>
      </c>
      <c r="X15" s="7">
        <f>$B15 * IFERROR(VLOOKUP("buildings|PM25|Work loss days", US_national_yearly!$D:$AM, 32, FALSE) / VLOOKUP("buildings|PM25|Work loss days", US_national_yearly!$D:$AM, 10, FALSE), 1)</f>
        <v>4.591716447820839</v>
      </c>
      <c r="Y15" s="7">
        <f>$B15 * IFERROR(VLOOKUP("buildings|PM25|Work loss days", US_national_yearly!$D:$AM, 33, FALSE) / VLOOKUP("buildings|PM25|Work loss days", US_national_yearly!$D:$AM, 10, FALSE), 1)</f>
        <v>4.6216738694723905</v>
      </c>
      <c r="Z15" s="7">
        <f>$B15 * IFERROR(VLOOKUP("buildings|PM25|Work loss days", US_national_yearly!$D:$AM, 34, FALSE) / VLOOKUP("buildings|PM25|Work loss days", US_national_yearly!$D:$AM, 10, FALSE), 1)</f>
        <v>4.651631291123941</v>
      </c>
      <c r="AA15" s="7">
        <f>$B15 * IFERROR(VLOOKUP("buildings|PM25|Work loss days", US_national_yearly!$D:$AM, 35, FALSE) / VLOOKUP("buildings|PM25|Work loss days", US_national_yearly!$D:$AM, 10, FALSE), 1)</f>
        <v>4.6815887127754925</v>
      </c>
      <c r="AB15" s="7">
        <f>$B15 * IFERROR(VLOOKUP("buildings|PM25|Work loss days", US_national_yearly!$D:$AM, 36, FALSE) / VLOOKUP("buildings|PM25|Work loss days", US_national_yearly!$D:$AM, 10, FALSE), 1)</f>
        <v>4.7115461344270431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7.7947644658259681E-3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8.0277214991310714E-3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8.2606785324361737E-3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8.4936355657412744E-3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8.7265925990463768E-3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8.9498006999530182E-3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9.1730088008596614E-3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9.3640954721909142E-3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9.555182143522167E-3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9.7462688148534232E-3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9.9373554861846777E-3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1.0128442157515932E-2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1.0256040435073062E-2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1.0383638712630192E-2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1.0511236990187321E-2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1.0638835267744451E-2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1.0766433545301581E-2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1.0834234987812897E-2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1.0902036430324211E-2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1.0969837872835527E-2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1.1037639315346843E-2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1.1105440757858161E-2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1.1151285143611864E-2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1.1197129529365567E-2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1.124297391511927E-2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1.1288818300872973E-2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1.1334662686626676E-2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1.9376333998699362E-3</v>
      </c>
      <c r="C2" s="7">
        <f>$B2 * IFERROR(VLOOKUP("buildings|NOx|Premature mortality", US_national_yearly!$D:$AM, 11, FALSE) / VLOOKUP("buildings|NOx|Premature mortality", US_national_yearly!$D:$AM, 10, FALSE), 1)</f>
        <v>1.9661334371358073E-3</v>
      </c>
      <c r="D2" s="7">
        <f>$B2 * IFERROR(VLOOKUP("buildings|NOx|Premature mortality", US_national_yearly!$D:$AM, 12, FALSE) / VLOOKUP("buildings|NOx|Premature mortality", US_national_yearly!$D:$AM, 10, FALSE), 1)</f>
        <v>1.9946334744016777E-3</v>
      </c>
      <c r="E2" s="7">
        <f>$B2 * IFERROR(VLOOKUP("buildings|NOx|Premature mortality", US_national_yearly!$D:$AM, 13, FALSE) / VLOOKUP("buildings|NOx|Premature mortality", US_national_yearly!$D:$AM, 10, FALSE), 1)</f>
        <v>2.0231335116675485E-3</v>
      </c>
      <c r="F2" s="7">
        <f>$B2 * IFERROR(VLOOKUP("buildings|NOx|Premature mortality", US_national_yearly!$D:$AM, 14, FALSE) / VLOOKUP("buildings|NOx|Premature mortality", US_national_yearly!$D:$AM, 10, FALSE), 1)</f>
        <v>2.0516335489334189E-3</v>
      </c>
      <c r="G2" s="7">
        <f>$B2 * IFERROR(VLOOKUP("buildings|NOx|Premature mortality", US_national_yearly!$D:$AM, 15, FALSE) / VLOOKUP("buildings|NOx|Premature mortality", US_national_yearly!$D:$AM, 10, FALSE), 1)</f>
        <v>2.1028014433931591E-3</v>
      </c>
      <c r="H2" s="7">
        <f>$B2 * IFERROR(VLOOKUP("buildings|NOx|Premature mortality", US_national_yearly!$D:$AM, 16, FALSE) / VLOOKUP("buildings|NOx|Premature mortality", US_national_yearly!$D:$AM, 10, FALSE), 1)</f>
        <v>2.1539693378528997E-3</v>
      </c>
      <c r="I2" s="7">
        <f>$B2 * IFERROR(VLOOKUP("buildings|NOx|Premature mortality", US_national_yearly!$D:$AM, 17, FALSE) / VLOOKUP("buildings|NOx|Premature mortality", US_national_yearly!$D:$AM, 10, FALSE), 1)</f>
        <v>2.1870367875578087E-3</v>
      </c>
      <c r="J2" s="7">
        <f>$B2 * IFERROR(VLOOKUP("buildings|NOx|Premature mortality", US_national_yearly!$D:$AM, 18, FALSE) / VLOOKUP("buildings|NOx|Premature mortality", US_national_yearly!$D:$AM, 10, FALSE), 1)</f>
        <v>2.2201042372627178E-3</v>
      </c>
      <c r="K2" s="7">
        <f>$B2 * IFERROR(VLOOKUP("buildings|NOx|Premature mortality", US_national_yearly!$D:$AM, 19, FALSE) / VLOOKUP("buildings|NOx|Premature mortality", US_national_yearly!$D:$AM, 10, FALSE), 1)</f>
        <v>2.2531716869676269E-3</v>
      </c>
      <c r="L2" s="7">
        <f>$B2 * IFERROR(VLOOKUP("buildings|NOx|Premature mortality", US_national_yearly!$D:$AM, 20, FALSE) / VLOOKUP("buildings|NOx|Premature mortality", US_national_yearly!$D:$AM, 10, FALSE), 1)</f>
        <v>2.2862391366725359E-3</v>
      </c>
      <c r="M2" s="7">
        <f>$B2 * IFERROR(VLOOKUP("buildings|NOx|Premature mortality", US_national_yearly!$D:$AM, 21, FALSE) / VLOOKUP("buildings|NOx|Premature mortality", US_national_yearly!$D:$AM, 10, FALSE), 1)</f>
        <v>2.3193065863774454E-3</v>
      </c>
      <c r="N2" s="7">
        <f>$B2 * IFERROR(VLOOKUP("buildings|NOx|Premature mortality", US_national_yearly!$D:$AM, 22, FALSE) / VLOOKUP("buildings|NOx|Premature mortality", US_national_yearly!$D:$AM, 10, FALSE), 1)</f>
        <v>2.34380830432201E-3</v>
      </c>
      <c r="O2" s="7">
        <f>$B2 * IFERROR(VLOOKUP("buildings|NOx|Premature mortality", US_national_yearly!$D:$AM, 23, FALSE) / VLOOKUP("buildings|NOx|Premature mortality", US_national_yearly!$D:$AM, 10, FALSE), 1)</f>
        <v>2.3683100222665755E-3</v>
      </c>
      <c r="P2" s="7">
        <f>$B2 * IFERROR(VLOOKUP("buildings|NOx|Premature mortality", US_national_yearly!$D:$AM, 24, FALSE) / VLOOKUP("buildings|NOx|Premature mortality", US_national_yearly!$D:$AM, 10, FALSE), 1)</f>
        <v>2.392811740211141E-3</v>
      </c>
      <c r="Q2" s="7">
        <f>$B2 * IFERROR(VLOOKUP("buildings|NOx|Premature mortality", US_national_yearly!$D:$AM, 25, FALSE) / VLOOKUP("buildings|NOx|Premature mortality", US_national_yearly!$D:$AM, 10, FALSE), 1)</f>
        <v>2.4173134581557056E-3</v>
      </c>
      <c r="R2" s="7">
        <f>$B2 * IFERROR(VLOOKUP("buildings|NOx|Premature mortality", US_national_yearly!$D:$AM, 26, FALSE) / VLOOKUP("buildings|NOx|Premature mortality", US_national_yearly!$D:$AM, 10, FALSE), 1)</f>
        <v>2.441815176100271E-3</v>
      </c>
      <c r="S2" s="7">
        <f>$B2 * IFERROR(VLOOKUP("buildings|NOx|Premature mortality", US_national_yearly!$D:$AM, 27, FALSE) / VLOOKUP("buildings|NOx|Premature mortality", US_national_yearly!$D:$AM, 10, FALSE), 1)</f>
        <v>2.4529546230748862E-3</v>
      </c>
      <c r="T2" s="7">
        <f>$B2 * IFERROR(VLOOKUP("buildings|NOx|Premature mortality", US_national_yearly!$D:$AM, 28, FALSE) / VLOOKUP("buildings|NOx|Premature mortality", US_national_yearly!$D:$AM, 10, FALSE), 1)</f>
        <v>2.4640940700495014E-3</v>
      </c>
      <c r="U2" s="7">
        <f>$B2 * IFERROR(VLOOKUP("buildings|NOx|Premature mortality", US_national_yearly!$D:$AM, 29, FALSE) / VLOOKUP("buildings|NOx|Premature mortality", US_national_yearly!$D:$AM, 10, FALSE), 1)</f>
        <v>2.4752335170241165E-3</v>
      </c>
      <c r="V2" s="7">
        <f>$B2 * IFERROR(VLOOKUP("buildings|NOx|Premature mortality", US_national_yearly!$D:$AM, 30, FALSE) / VLOOKUP("buildings|NOx|Premature mortality", US_national_yearly!$D:$AM, 10, FALSE), 1)</f>
        <v>2.4863729639987317E-3</v>
      </c>
      <c r="W2" s="7">
        <f>$B2 * IFERROR(VLOOKUP("buildings|NOx|Premature mortality", US_national_yearly!$D:$AM, 31, FALSE) / VLOOKUP("buildings|NOx|Premature mortality", US_national_yearly!$D:$AM, 10, FALSE), 1)</f>
        <v>2.4975124109733468E-3</v>
      </c>
      <c r="X2" s="7">
        <f>$B2 * IFERROR(VLOOKUP("buildings|NOx|Premature mortality", US_national_yearly!$D:$AM, 32, FALSE) / VLOOKUP("buildings|NOx|Premature mortality", US_national_yearly!$D:$AM, 10, FALSE), 1)</f>
        <v>2.4979047332152654E-3</v>
      </c>
      <c r="Y2" s="7">
        <f>$B2 * IFERROR(VLOOKUP("buildings|NOx|Premature mortality", US_national_yearly!$D:$AM, 33, FALSE) / VLOOKUP("buildings|NOx|Premature mortality", US_national_yearly!$D:$AM, 10, FALSE), 1)</f>
        <v>2.498297055457184E-3</v>
      </c>
      <c r="Z2" s="7">
        <f>$B2 * IFERROR(VLOOKUP("buildings|NOx|Premature mortality", US_national_yearly!$D:$AM, 34, FALSE) / VLOOKUP("buildings|NOx|Premature mortality", US_national_yearly!$D:$AM, 10, FALSE), 1)</f>
        <v>2.4986893776991026E-3</v>
      </c>
      <c r="AA2" s="7">
        <f>$B2 * IFERROR(VLOOKUP("buildings|NOx|Premature mortality", US_national_yearly!$D:$AM, 35, FALSE) / VLOOKUP("buildings|NOx|Premature mortality", US_national_yearly!$D:$AM, 10, FALSE), 1)</f>
        <v>2.4990816999410207E-3</v>
      </c>
      <c r="AB2" s="7">
        <f>$B2 * IFERROR(VLOOKUP("buildings|NOx|Premature mortality", US_national_yearly!$D:$AM, 36, FALSE) / VLOOKUP("buildings|NOx|Premature mortality", US_national_yearly!$D:$AM, 10, FALSE), 1)</f>
        <v>2.4994740221829397E-3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3.4731314523493714E-6</v>
      </c>
      <c r="C3" s="7">
        <f>$B3 * IFERROR(VLOOKUP("buildings|NOx|Infant mortality", US_national_yearly!$D:$AM, 11, FALSE) / VLOOKUP("buildings|NOx|Infant mortality", US_national_yearly!$D:$AM, 10, FALSE), 1)</f>
        <v>3.4401407797461116E-6</v>
      </c>
      <c r="D3" s="7">
        <f>$B3 * IFERROR(VLOOKUP("buildings|NOx|Infant mortality", US_national_yearly!$D:$AM, 12, FALSE) / VLOOKUP("buildings|NOx|Infant mortality", US_national_yearly!$D:$AM, 10, FALSE), 1)</f>
        <v>3.4071501071428514E-6</v>
      </c>
      <c r="E3" s="7">
        <f>$B3 * IFERROR(VLOOKUP("buildings|NOx|Infant mortality", US_national_yearly!$D:$AM, 13, FALSE) / VLOOKUP("buildings|NOx|Infant mortality", US_national_yearly!$D:$AM, 10, FALSE), 1)</f>
        <v>3.3741594345395916E-6</v>
      </c>
      <c r="F3" s="7">
        <f>$B3 * IFERROR(VLOOKUP("buildings|NOx|Infant mortality", US_national_yearly!$D:$AM, 14, FALSE) / VLOOKUP("buildings|NOx|Infant mortality", US_national_yearly!$D:$AM, 10, FALSE), 1)</f>
        <v>3.3411687619363313E-6</v>
      </c>
      <c r="G3" s="7">
        <f>$B3 * IFERROR(VLOOKUP("buildings|NOx|Infant mortality", US_national_yearly!$D:$AM, 15, FALSE) / VLOOKUP("buildings|NOx|Infant mortality", US_national_yearly!$D:$AM, 10, FALSE), 1)</f>
        <v>2.217658824341434E-6</v>
      </c>
      <c r="H3" s="7">
        <f>$B3 * IFERROR(VLOOKUP("buildings|NOx|Infant mortality", US_national_yearly!$D:$AM, 16, FALSE) / VLOOKUP("buildings|NOx|Infant mortality", US_national_yearly!$D:$AM, 10, FALSE), 1)</f>
        <v>1.0941488867465366E-6</v>
      </c>
      <c r="I3" s="7">
        <f>$B3 * IFERROR(VLOOKUP("buildings|NOx|Infant mortality", US_national_yearly!$D:$AM, 17, FALSE) / VLOOKUP("buildings|NOx|Infant mortality", US_national_yearly!$D:$AM, 10, FALSE), 1)</f>
        <v>1.0864192080635214E-6</v>
      </c>
      <c r="J3" s="7">
        <f>$B3 * IFERROR(VLOOKUP("buildings|NOx|Infant mortality", US_national_yearly!$D:$AM, 18, FALSE) / VLOOKUP("buildings|NOx|Infant mortality", US_national_yearly!$D:$AM, 10, FALSE), 1)</f>
        <v>1.078689529380506E-6</v>
      </c>
      <c r="K3" s="7">
        <f>$B3 * IFERROR(VLOOKUP("buildings|NOx|Infant mortality", US_national_yearly!$D:$AM, 19, FALSE) / VLOOKUP("buildings|NOx|Infant mortality", US_national_yearly!$D:$AM, 10, FALSE), 1)</f>
        <v>1.0709598506974908E-6</v>
      </c>
      <c r="L3" s="7">
        <f>$B3 * IFERROR(VLOOKUP("buildings|NOx|Infant mortality", US_national_yearly!$D:$AM, 20, FALSE) / VLOOKUP("buildings|NOx|Infant mortality", US_national_yearly!$D:$AM, 10, FALSE), 1)</f>
        <v>1.0632301720144756E-6</v>
      </c>
      <c r="M3" s="7">
        <f>$B3 * IFERROR(VLOOKUP("buildings|NOx|Infant mortality", US_national_yearly!$D:$AM, 21, FALSE) / VLOOKUP("buildings|NOx|Infant mortality", US_national_yearly!$D:$AM, 10, FALSE), 1)</f>
        <v>1.0555004933314602E-6</v>
      </c>
      <c r="N3" s="7">
        <f>$B3 * IFERROR(VLOOKUP("buildings|NOx|Infant mortality", US_national_yearly!$D:$AM, 22, FALSE) / VLOOKUP("buildings|NOx|Infant mortality", US_national_yearly!$D:$AM, 10, FALSE), 1)</f>
        <v>1.0503784680523699E-6</v>
      </c>
      <c r="O3" s="7">
        <f>$B3 * IFERROR(VLOOKUP("buildings|NOx|Infant mortality", US_national_yearly!$D:$AM, 23, FALSE) / VLOOKUP("buildings|NOx|Infant mortality", US_national_yearly!$D:$AM, 10, FALSE), 1)</f>
        <v>1.0452564427732798E-6</v>
      </c>
      <c r="P3" s="7">
        <f>$B3 * IFERROR(VLOOKUP("buildings|NOx|Infant mortality", US_national_yearly!$D:$AM, 24, FALSE) / VLOOKUP("buildings|NOx|Infant mortality", US_national_yearly!$D:$AM, 10, FALSE), 1)</f>
        <v>1.0401344174941897E-6</v>
      </c>
      <c r="Q3" s="7">
        <f>$B3 * IFERROR(VLOOKUP("buildings|NOx|Infant mortality", US_national_yearly!$D:$AM, 25, FALSE) / VLOOKUP("buildings|NOx|Infant mortality", US_national_yearly!$D:$AM, 10, FALSE), 1)</f>
        <v>1.0350123922150999E-6</v>
      </c>
      <c r="R3" s="7">
        <f>$B3 * IFERROR(VLOOKUP("buildings|NOx|Infant mortality", US_national_yearly!$D:$AM, 26, FALSE) / VLOOKUP("buildings|NOx|Infant mortality", US_national_yearly!$D:$AM, 10, FALSE), 1)</f>
        <v>1.0298903669360096E-6</v>
      </c>
      <c r="S3" s="7">
        <f>$B3 * IFERROR(VLOOKUP("buildings|NOx|Infant mortality", US_national_yearly!$D:$AM, 27, FALSE) / VLOOKUP("buildings|NOx|Infant mortality", US_national_yearly!$D:$AM, 10, FALSE), 1)</f>
        <v>1.0237288976579006E-6</v>
      </c>
      <c r="T3" s="7">
        <f>$B3 * IFERROR(VLOOKUP("buildings|NOx|Infant mortality", US_national_yearly!$D:$AM, 28, FALSE) / VLOOKUP("buildings|NOx|Infant mortality", US_national_yearly!$D:$AM, 10, FALSE), 1)</f>
        <v>1.0175674283797918E-6</v>
      </c>
      <c r="U3" s="7">
        <f>$B3 * IFERROR(VLOOKUP("buildings|NOx|Infant mortality", US_national_yearly!$D:$AM, 29, FALSE) / VLOOKUP("buildings|NOx|Infant mortality", US_national_yearly!$D:$AM, 10, FALSE), 1)</f>
        <v>1.0114059591016828E-6</v>
      </c>
      <c r="V3" s="7">
        <f>$B3 * IFERROR(VLOOKUP("buildings|NOx|Infant mortality", US_national_yearly!$D:$AM, 30, FALSE) / VLOOKUP("buildings|NOx|Infant mortality", US_national_yearly!$D:$AM, 10, FALSE), 1)</f>
        <v>1.0052444898235738E-6</v>
      </c>
      <c r="W3" s="7">
        <f>$B3 * IFERROR(VLOOKUP("buildings|NOx|Infant mortality", US_national_yearly!$D:$AM, 31, FALSE) / VLOOKUP("buildings|NOx|Infant mortality", US_national_yearly!$D:$AM, 10, FALSE), 1)</f>
        <v>9.9908302054546478E-7</v>
      </c>
      <c r="X3" s="7">
        <f>$B3 * IFERROR(VLOOKUP("buildings|NOx|Infant mortality", US_national_yearly!$D:$AM, 32, FALSE) / VLOOKUP("buildings|NOx|Infant mortality", US_national_yearly!$D:$AM, 10, FALSE), 1)</f>
        <v>9.9256364603261551E-7</v>
      </c>
      <c r="Y3" s="7">
        <f>$B3 * IFERROR(VLOOKUP("buildings|NOx|Infant mortality", US_national_yearly!$D:$AM, 33, FALSE) / VLOOKUP("buildings|NOx|Infant mortality", US_national_yearly!$D:$AM, 10, FALSE), 1)</f>
        <v>9.8604427151976646E-7</v>
      </c>
      <c r="Z3" s="7">
        <f>$B3 * IFERROR(VLOOKUP("buildings|NOx|Infant mortality", US_national_yearly!$D:$AM, 34, FALSE) / VLOOKUP("buildings|NOx|Infant mortality", US_national_yearly!$D:$AM, 10, FALSE), 1)</f>
        <v>9.795248970069174E-7</v>
      </c>
      <c r="AA3" s="7">
        <f>$B3 * IFERROR(VLOOKUP("buildings|NOx|Infant mortality", US_national_yearly!$D:$AM, 35, FALSE) / VLOOKUP("buildings|NOx|Infant mortality", US_national_yearly!$D:$AM, 10, FALSE), 1)</f>
        <v>9.7300552249406813E-7</v>
      </c>
      <c r="AB3" s="7">
        <f>$B3 * IFERROR(VLOOKUP("buildings|NOx|Infant mortality", US_national_yearly!$D:$AM, 36, FALSE) / VLOOKUP("buildings|NOx|Infant mortality", US_national_yearly!$D:$AM, 10, FALSE), 1)</f>
        <v>9.6648614798121887E-7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5.1483388249765017E-3</v>
      </c>
      <c r="C6" s="7">
        <f>$B6 * IFERROR(VLOOKUP("buildings|NOx|Asthma symptoms cough", US_national_yearly!$D:$AM, 11, FALSE) / VLOOKUP("buildings|NOx|Asthma symptoms cough", US_national_yearly!$D:$AM, 10, FALSE), 1)</f>
        <v>5.2187952441086101E-3</v>
      </c>
      <c r="D6" s="7">
        <f>$B6 * IFERROR(VLOOKUP("buildings|NOx|Asthma symptoms cough", US_national_yearly!$D:$AM, 12, FALSE) / VLOOKUP("buildings|NOx|Asthma symptoms cough", US_national_yearly!$D:$AM, 10, FALSE), 1)</f>
        <v>5.2892516632407202E-3</v>
      </c>
      <c r="E6" s="7">
        <f>$B6 * IFERROR(VLOOKUP("buildings|NOx|Asthma symptoms cough", US_national_yearly!$D:$AM, 13, FALSE) / VLOOKUP("buildings|NOx|Asthma symptoms cough", US_national_yearly!$D:$AM, 10, FALSE), 1)</f>
        <v>5.3597080823728285E-3</v>
      </c>
      <c r="F6" s="7">
        <f>$B6 * IFERROR(VLOOKUP("buildings|NOx|Asthma symptoms cough", US_national_yearly!$D:$AM, 14, FALSE) / VLOOKUP("buildings|NOx|Asthma symptoms cough", US_national_yearly!$D:$AM, 10, FALSE), 1)</f>
        <v>5.4301645015049377E-3</v>
      </c>
      <c r="G6" s="7">
        <f>$B6 * IFERROR(VLOOKUP("buildings|NOx|Asthma symptoms cough", US_national_yearly!$D:$AM, 15, FALSE) / VLOOKUP("buildings|NOx|Asthma symptoms cough", US_national_yearly!$D:$AM, 10, FALSE), 1)</f>
        <v>5.4864723824881636E-3</v>
      </c>
      <c r="H6" s="7">
        <f>$B6 * IFERROR(VLOOKUP("buildings|NOx|Asthma symptoms cough", US_national_yearly!$D:$AM, 16, FALSE) / VLOOKUP("buildings|NOx|Asthma symptoms cough", US_national_yearly!$D:$AM, 10, FALSE), 1)</f>
        <v>5.5427802634713894E-3</v>
      </c>
      <c r="I6" s="7">
        <f>$B6 * IFERROR(VLOOKUP("buildings|NOx|Asthma symptoms cough", US_national_yearly!$D:$AM, 17, FALSE) / VLOOKUP("buildings|NOx|Asthma symptoms cough", US_national_yearly!$D:$AM, 10, FALSE), 1)</f>
        <v>5.562266758034503E-3</v>
      </c>
      <c r="J6" s="7">
        <f>$B6 * IFERROR(VLOOKUP("buildings|NOx|Asthma symptoms cough", US_national_yearly!$D:$AM, 18, FALSE) / VLOOKUP("buildings|NOx|Asthma symptoms cough", US_national_yearly!$D:$AM, 10, FALSE), 1)</f>
        <v>5.5817532525976165E-3</v>
      </c>
      <c r="K6" s="7">
        <f>$B6 * IFERROR(VLOOKUP("buildings|NOx|Asthma symptoms cough", US_national_yearly!$D:$AM, 19, FALSE) / VLOOKUP("buildings|NOx|Asthma symptoms cough", US_national_yearly!$D:$AM, 10, FALSE), 1)</f>
        <v>5.6012397471607292E-3</v>
      </c>
      <c r="L6" s="7">
        <f>$B6 * IFERROR(VLOOKUP("buildings|NOx|Asthma symptoms cough", US_national_yearly!$D:$AM, 20, FALSE) / VLOOKUP("buildings|NOx|Asthma symptoms cough", US_national_yearly!$D:$AM, 10, FALSE), 1)</f>
        <v>5.6207262417238427E-3</v>
      </c>
      <c r="M6" s="7">
        <f>$B6 * IFERROR(VLOOKUP("buildings|NOx|Asthma symptoms cough", US_national_yearly!$D:$AM, 21, FALSE) / VLOOKUP("buildings|NOx|Asthma symptoms cough", US_national_yearly!$D:$AM, 10, FALSE), 1)</f>
        <v>5.6402127362869554E-3</v>
      </c>
      <c r="N6" s="7">
        <f>$B6 * IFERROR(VLOOKUP("buildings|NOx|Asthma symptoms cough", US_national_yearly!$D:$AM, 22, FALSE) / VLOOKUP("buildings|NOx|Asthma symptoms cough", US_national_yearly!$D:$AM, 10, FALSE), 1)</f>
        <v>5.6627452098013094E-3</v>
      </c>
      <c r="O6" s="7">
        <f>$B6 * IFERROR(VLOOKUP("buildings|NOx|Asthma symptoms cough", US_national_yearly!$D:$AM, 23, FALSE) / VLOOKUP("buildings|NOx|Asthma symptoms cough", US_national_yearly!$D:$AM, 10, FALSE), 1)</f>
        <v>5.6852776833156626E-3</v>
      </c>
      <c r="P6" s="7">
        <f>$B6 * IFERROR(VLOOKUP("buildings|NOx|Asthma symptoms cough", US_national_yearly!$D:$AM, 24, FALSE) / VLOOKUP("buildings|NOx|Asthma symptoms cough", US_national_yearly!$D:$AM, 10, FALSE), 1)</f>
        <v>5.7078101568300158E-3</v>
      </c>
      <c r="Q6" s="7">
        <f>$B6 * IFERROR(VLOOKUP("buildings|NOx|Asthma symptoms cough", US_national_yearly!$D:$AM, 25, FALSE) / VLOOKUP("buildings|NOx|Asthma symptoms cough", US_national_yearly!$D:$AM, 10, FALSE), 1)</f>
        <v>5.7303426303443698E-3</v>
      </c>
      <c r="R6" s="7">
        <f>$B6 * IFERROR(VLOOKUP("buildings|NOx|Asthma symptoms cough", US_national_yearly!$D:$AM, 26, FALSE) / VLOOKUP("buildings|NOx|Asthma symptoms cough", US_national_yearly!$D:$AM, 10, FALSE), 1)</f>
        <v>5.7528751038587221E-3</v>
      </c>
      <c r="S6" s="7">
        <f>$B6 * IFERROR(VLOOKUP("buildings|NOx|Asthma symptoms cough", US_national_yearly!$D:$AM, 27, FALSE) / VLOOKUP("buildings|NOx|Asthma symptoms cough", US_national_yearly!$D:$AM, 10, FALSE), 1)</f>
        <v>5.7823029917932495E-3</v>
      </c>
      <c r="T6" s="7">
        <f>$B6 * IFERROR(VLOOKUP("buildings|NOx|Asthma symptoms cough", US_national_yearly!$D:$AM, 28, FALSE) / VLOOKUP("buildings|NOx|Asthma symptoms cough", US_national_yearly!$D:$AM, 10, FALSE), 1)</f>
        <v>5.8117308797277752E-3</v>
      </c>
      <c r="U6" s="7">
        <f>$B6 * IFERROR(VLOOKUP("buildings|NOx|Asthma symptoms cough", US_national_yearly!$D:$AM, 29, FALSE) / VLOOKUP("buildings|NOx|Asthma symptoms cough", US_national_yearly!$D:$AM, 10, FALSE), 1)</f>
        <v>5.8411587676623017E-3</v>
      </c>
      <c r="V6" s="7">
        <f>$B6 * IFERROR(VLOOKUP("buildings|NOx|Asthma symptoms cough", US_national_yearly!$D:$AM, 30, FALSE) / VLOOKUP("buildings|NOx|Asthma symptoms cough", US_national_yearly!$D:$AM, 10, FALSE), 1)</f>
        <v>5.87058665559683E-3</v>
      </c>
      <c r="W6" s="7">
        <f>$B6 * IFERROR(VLOOKUP("buildings|NOx|Asthma symptoms cough", US_national_yearly!$D:$AM, 31, FALSE) / VLOOKUP("buildings|NOx|Asthma symptoms cough", US_national_yearly!$D:$AM, 10, FALSE), 1)</f>
        <v>5.9000145435313556E-3</v>
      </c>
      <c r="X6" s="7">
        <f>$B6 * IFERROR(VLOOKUP("buildings|NOx|Asthma symptoms cough", US_national_yearly!$D:$AM, 32, FALSE) / VLOOKUP("buildings|NOx|Asthma symptoms cough", US_national_yearly!$D:$AM, 10, FALSE), 1)</f>
        <v>5.9273571007783139E-3</v>
      </c>
      <c r="Y6" s="7">
        <f>$B6 * IFERROR(VLOOKUP("buildings|NOx|Asthma symptoms cough", US_national_yearly!$D:$AM, 33, FALSE) / VLOOKUP("buildings|NOx|Asthma symptoms cough", US_national_yearly!$D:$AM, 10, FALSE), 1)</f>
        <v>5.9546996580252722E-3</v>
      </c>
      <c r="Z6" s="7">
        <f>$B6 * IFERROR(VLOOKUP("buildings|NOx|Asthma symptoms cough", US_national_yearly!$D:$AM, 34, FALSE) / VLOOKUP("buildings|NOx|Asthma symptoms cough", US_national_yearly!$D:$AM, 10, FALSE), 1)</f>
        <v>5.9820422152722314E-3</v>
      </c>
      <c r="AA6" s="7">
        <f>$B6 * IFERROR(VLOOKUP("buildings|NOx|Asthma symptoms cough", US_national_yearly!$D:$AM, 35, FALSE) / VLOOKUP("buildings|NOx|Asthma symptoms cough", US_national_yearly!$D:$AM, 10, FALSE), 1)</f>
        <v>6.0093847725191905E-3</v>
      </c>
      <c r="AB6" s="7">
        <f>$B6 * IFERROR(VLOOKUP("buildings|NOx|Asthma symptoms cough", US_national_yearly!$D:$AM, 36, FALSE) / VLOOKUP("buildings|NOx|Asthma symptoms cough", US_national_yearly!$D:$AM, 10, FALSE), 1)</f>
        <v>6.0367273297661497E-3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6.9329137251912133E-3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7.0277925377301631E-3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7.122671350269112E-3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7.2175501628080618E-3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7.3124289753470116E-3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7.3882549247721229E-3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7.4640808741972351E-3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7.4903219955259684E-3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7.5165631168546999E-3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7.5428042381834341E-3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7.5690453595121674E-3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7.5952864808409007E-3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7.6256294125310172E-3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7.6559723442211347E-3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7.6863152759112513E-3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7.7166582076013679E-3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7.7470011392914845E-3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7.786629651329543E-3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7.8262581633676016E-3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7.865886675405661E-3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7.9055151874437169E-3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7.9451436994817763E-3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7.9819640401310402E-3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8.0187843807803007E-3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8.0556047214295646E-3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8.092425062078825E-3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8.1292454027280889E-3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1.0592572394295131E-2</v>
      </c>
      <c r="C8" s="7">
        <f>$B8 * IFERROR(VLOOKUP("buildings|NOx|Asthma symptoms wheeze", US_national_yearly!$D:$AM, 11, FALSE) / VLOOKUP("buildings|NOx|Asthma symptoms wheeze", US_national_yearly!$D:$AM, 10, FALSE), 1)</f>
        <v>1.0737534632789198E-2</v>
      </c>
      <c r="D8" s="7">
        <f>$B8 * IFERROR(VLOOKUP("buildings|NOx|Asthma symptoms wheeze", US_national_yearly!$D:$AM, 12, FALSE) / VLOOKUP("buildings|NOx|Asthma symptoms wheeze", US_national_yearly!$D:$AM, 10, FALSE), 1)</f>
        <v>1.0882496871283263E-2</v>
      </c>
      <c r="E8" s="7">
        <f>$B8 * IFERROR(VLOOKUP("buildings|NOx|Asthma symptoms wheeze", US_national_yearly!$D:$AM, 13, FALSE) / VLOOKUP("buildings|NOx|Asthma symptoms wheeze", US_national_yearly!$D:$AM, 10, FALSE), 1)</f>
        <v>1.1027459109777328E-2</v>
      </c>
      <c r="F8" s="7">
        <f>$B8 * IFERROR(VLOOKUP("buildings|NOx|Asthma symptoms wheeze", US_national_yearly!$D:$AM, 14, FALSE) / VLOOKUP("buildings|NOx|Asthma symptoms wheeze", US_national_yearly!$D:$AM, 10, FALSE), 1)</f>
        <v>1.1172421348271396E-2</v>
      </c>
      <c r="G8" s="7">
        <f>$B8 * IFERROR(VLOOKUP("buildings|NOx|Asthma symptoms wheeze", US_national_yearly!$D:$AM, 15, FALSE) / VLOOKUP("buildings|NOx|Asthma symptoms wheeze", US_national_yearly!$D:$AM, 10, FALSE), 1)</f>
        <v>1.1288273339798831E-2</v>
      </c>
      <c r="H8" s="7">
        <f>$B8 * IFERROR(VLOOKUP("buildings|NOx|Asthma symptoms wheeze", US_national_yearly!$D:$AM, 16, FALSE) / VLOOKUP("buildings|NOx|Asthma symptoms wheeze", US_national_yearly!$D:$AM, 10, FALSE), 1)</f>
        <v>1.1404125331326266E-2</v>
      </c>
      <c r="I8" s="7">
        <f>$B8 * IFERROR(VLOOKUP("buildings|NOx|Asthma symptoms wheeze", US_national_yearly!$D:$AM, 17, FALSE) / VLOOKUP("buildings|NOx|Asthma symptoms wheeze", US_national_yearly!$D:$AM, 10, FALSE), 1)</f>
        <v>1.1444218283928156E-2</v>
      </c>
      <c r="J8" s="7">
        <f>$B8 * IFERROR(VLOOKUP("buildings|NOx|Asthma symptoms wheeze", US_national_yearly!$D:$AM, 18, FALSE) / VLOOKUP("buildings|NOx|Asthma symptoms wheeze", US_national_yearly!$D:$AM, 10, FALSE), 1)</f>
        <v>1.1484311236530044E-2</v>
      </c>
      <c r="K8" s="7">
        <f>$B8 * IFERROR(VLOOKUP("buildings|NOx|Asthma symptoms wheeze", US_national_yearly!$D:$AM, 19, FALSE) / VLOOKUP("buildings|NOx|Asthma symptoms wheeze", US_national_yearly!$D:$AM, 10, FALSE), 1)</f>
        <v>1.1524404189131931E-2</v>
      </c>
      <c r="L8" s="7">
        <f>$B8 * IFERROR(VLOOKUP("buildings|NOx|Asthma symptoms wheeze", US_national_yearly!$D:$AM, 20, FALSE) / VLOOKUP("buildings|NOx|Asthma symptoms wheeze", US_national_yearly!$D:$AM, 10, FALSE), 1)</f>
        <v>1.1564497141733819E-2</v>
      </c>
      <c r="M8" s="7">
        <f>$B8 * IFERROR(VLOOKUP("buildings|NOx|Asthma symptoms wheeze", US_national_yearly!$D:$AM, 21, FALSE) / VLOOKUP("buildings|NOx|Asthma symptoms wheeze", US_national_yearly!$D:$AM, 10, FALSE), 1)</f>
        <v>1.1604590094335709E-2</v>
      </c>
      <c r="N8" s="7">
        <f>$B8 * IFERROR(VLOOKUP("buildings|NOx|Asthma symptoms wheeze", US_national_yearly!$D:$AM, 22, FALSE) / VLOOKUP("buildings|NOx|Asthma symptoms wheeze", US_national_yearly!$D:$AM, 10, FALSE), 1)</f>
        <v>1.1650950068918196E-2</v>
      </c>
      <c r="O8" s="7">
        <f>$B8 * IFERROR(VLOOKUP("buildings|NOx|Asthma symptoms wheeze", US_national_yearly!$D:$AM, 23, FALSE) / VLOOKUP("buildings|NOx|Asthma symptoms wheeze", US_national_yearly!$D:$AM, 10, FALSE), 1)</f>
        <v>1.1697310043500685E-2</v>
      </c>
      <c r="P8" s="7">
        <f>$B8 * IFERROR(VLOOKUP("buildings|NOx|Asthma symptoms wheeze", US_national_yearly!$D:$AM, 24, FALSE) / VLOOKUP("buildings|NOx|Asthma symptoms wheeze", US_national_yearly!$D:$AM, 10, FALSE), 1)</f>
        <v>1.1743670018083172E-2</v>
      </c>
      <c r="Q8" s="7">
        <f>$B8 * IFERROR(VLOOKUP("buildings|NOx|Asthma symptoms wheeze", US_national_yearly!$D:$AM, 25, FALSE) / VLOOKUP("buildings|NOx|Asthma symptoms wheeze", US_national_yearly!$D:$AM, 10, FALSE), 1)</f>
        <v>1.179002999266566E-2</v>
      </c>
      <c r="R8" s="7">
        <f>$B8 * IFERROR(VLOOKUP("buildings|NOx|Asthma symptoms wheeze", US_national_yearly!$D:$AM, 26, FALSE) / VLOOKUP("buildings|NOx|Asthma symptoms wheeze", US_national_yearly!$D:$AM, 10, FALSE), 1)</f>
        <v>1.1836389967248147E-2</v>
      </c>
      <c r="S8" s="7">
        <f>$B8 * IFERROR(VLOOKUP("buildings|NOx|Asthma symptoms wheeze", US_national_yearly!$D:$AM, 27, FALSE) / VLOOKUP("buildings|NOx|Asthma symptoms wheeze", US_national_yearly!$D:$AM, 10, FALSE), 1)</f>
        <v>1.1896937076561913E-2</v>
      </c>
      <c r="T8" s="7">
        <f>$B8 * IFERROR(VLOOKUP("buildings|NOx|Asthma symptoms wheeze", US_national_yearly!$D:$AM, 28, FALSE) / VLOOKUP("buildings|NOx|Asthma symptoms wheeze", US_national_yearly!$D:$AM, 10, FALSE), 1)</f>
        <v>1.1957484185875679E-2</v>
      </c>
      <c r="U8" s="7">
        <f>$B8 * IFERROR(VLOOKUP("buildings|NOx|Asthma symptoms wheeze", US_national_yearly!$D:$AM, 29, FALSE) / VLOOKUP("buildings|NOx|Asthma symptoms wheeze", US_national_yearly!$D:$AM, 10, FALSE), 1)</f>
        <v>1.2018031295189444E-2</v>
      </c>
      <c r="V8" s="7">
        <f>$B8 * IFERROR(VLOOKUP("buildings|NOx|Asthma symptoms wheeze", US_national_yearly!$D:$AM, 30, FALSE) / VLOOKUP("buildings|NOx|Asthma symptoms wheeze", US_national_yearly!$D:$AM, 10, FALSE), 1)</f>
        <v>1.207857840450321E-2</v>
      </c>
      <c r="W8" s="7">
        <f>$B8 * IFERROR(VLOOKUP("buildings|NOx|Asthma symptoms wheeze", US_national_yearly!$D:$AM, 31, FALSE) / VLOOKUP("buildings|NOx|Asthma symptoms wheeze", US_national_yearly!$D:$AM, 10, FALSE), 1)</f>
        <v>1.2139125513816977E-2</v>
      </c>
      <c r="X8" s="7">
        <f>$B8 * IFERROR(VLOOKUP("buildings|NOx|Asthma symptoms wheeze", US_national_yearly!$D:$AM, 32, FALSE) / VLOOKUP("buildings|NOx|Asthma symptoms wheeze", US_national_yearly!$D:$AM, 10, FALSE), 1)</f>
        <v>1.2195382109815913E-2</v>
      </c>
      <c r="Y8" s="7">
        <f>$B8 * IFERROR(VLOOKUP("buildings|NOx|Asthma symptoms wheeze", US_national_yearly!$D:$AM, 33, FALSE) / VLOOKUP("buildings|NOx|Asthma symptoms wheeze", US_national_yearly!$D:$AM, 10, FALSE), 1)</f>
        <v>1.225163870581485E-2</v>
      </c>
      <c r="Z8" s="7">
        <f>$B8 * IFERROR(VLOOKUP("buildings|NOx|Asthma symptoms wheeze", US_national_yearly!$D:$AM, 34, FALSE) / VLOOKUP("buildings|NOx|Asthma symptoms wheeze", US_national_yearly!$D:$AM, 10, FALSE), 1)</f>
        <v>1.2307895301813788E-2</v>
      </c>
      <c r="AA8" s="7">
        <f>$B8 * IFERROR(VLOOKUP("buildings|NOx|Asthma symptoms wheeze", US_national_yearly!$D:$AM, 35, FALSE) / VLOOKUP("buildings|NOx|Asthma symptoms wheeze", US_national_yearly!$D:$AM, 10, FALSE), 1)</f>
        <v>1.2364151897812724E-2</v>
      </c>
      <c r="AB8" s="7">
        <f>$B8 * IFERROR(VLOOKUP("buildings|NOx|Asthma symptoms wheeze", US_national_yearly!$D:$AM, 36, FALSE) / VLOOKUP("buildings|NOx|Asthma symptoms wheeze", US_national_yearly!$D:$AM, 10, FALSE), 1)</f>
        <v>1.2420408493811663E-2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1.3336580443333422E-4</v>
      </c>
      <c r="C12" s="7">
        <f>$B12 * IFERROR(VLOOKUP("buildings|NOx|Respiratory hospital admissions", US_national_yearly!$D:$AM, 11, FALSE) / VLOOKUP("buildings|NOx|Respiratory hospital admissions", US_national_yearly!$D:$AM, 10, FALSE), 1)</f>
        <v>1.3669786243462062E-4</v>
      </c>
      <c r="D12" s="7">
        <f>$B12 * IFERROR(VLOOKUP("buildings|NOx|Respiratory hospital admissions", US_national_yearly!$D:$AM, 12, FALSE) / VLOOKUP("buildings|NOx|Respiratory hospital admissions", US_national_yearly!$D:$AM, 10, FALSE), 1)</f>
        <v>1.40029920435907E-4</v>
      </c>
      <c r="E12" s="7">
        <f>$B12 * IFERROR(VLOOKUP("buildings|NOx|Respiratory hospital admissions", US_national_yearly!$D:$AM, 13, FALSE) / VLOOKUP("buildings|NOx|Respiratory hospital admissions", US_national_yearly!$D:$AM, 10, FALSE), 1)</f>
        <v>1.4336197843719341E-4</v>
      </c>
      <c r="F12" s="7">
        <f>$B12 * IFERROR(VLOOKUP("buildings|NOx|Respiratory hospital admissions", US_national_yearly!$D:$AM, 14, FALSE) / VLOOKUP("buildings|NOx|Respiratory hospital admissions", US_national_yearly!$D:$AM, 10, FALSE), 1)</f>
        <v>1.4669403643847979E-4</v>
      </c>
      <c r="G12" s="7">
        <f>$B12 * IFERROR(VLOOKUP("buildings|NOx|Respiratory hospital admissions", US_national_yearly!$D:$AM, 15, FALSE) / VLOOKUP("buildings|NOx|Respiratory hospital admissions", US_national_yearly!$D:$AM, 10, FALSE), 1)</f>
        <v>1.4987958528151128E-4</v>
      </c>
      <c r="H12" s="7">
        <f>$B12 * IFERROR(VLOOKUP("buildings|NOx|Respiratory hospital admissions", US_national_yearly!$D:$AM, 16, FALSE) / VLOOKUP("buildings|NOx|Respiratory hospital admissions", US_national_yearly!$D:$AM, 10, FALSE), 1)</f>
        <v>1.5306513412454272E-4</v>
      </c>
      <c r="I12" s="7">
        <f>$B12 * IFERROR(VLOOKUP("buildings|NOx|Respiratory hospital admissions", US_national_yearly!$D:$AM, 17, FALSE) / VLOOKUP("buildings|NOx|Respiratory hospital admissions", US_national_yearly!$D:$AM, 10, FALSE), 1)</f>
        <v>1.5577118281432165E-4</v>
      </c>
      <c r="J12" s="7">
        <f>$B12 * IFERROR(VLOOKUP("buildings|NOx|Respiratory hospital admissions", US_national_yearly!$D:$AM, 18, FALSE) / VLOOKUP("buildings|NOx|Respiratory hospital admissions", US_national_yearly!$D:$AM, 10, FALSE), 1)</f>
        <v>1.5847723150410055E-4</v>
      </c>
      <c r="K12" s="7">
        <f>$B12 * IFERROR(VLOOKUP("buildings|NOx|Respiratory hospital admissions", US_national_yearly!$D:$AM, 19, FALSE) / VLOOKUP("buildings|NOx|Respiratory hospital admissions", US_national_yearly!$D:$AM, 10, FALSE), 1)</f>
        <v>1.6118328019387948E-4</v>
      </c>
      <c r="L12" s="7">
        <f>$B12 * IFERROR(VLOOKUP("buildings|NOx|Respiratory hospital admissions", US_national_yearly!$D:$AM, 20, FALSE) / VLOOKUP("buildings|NOx|Respiratory hospital admissions", US_national_yearly!$D:$AM, 10, FALSE), 1)</f>
        <v>1.6388932888365839E-4</v>
      </c>
      <c r="M12" s="7">
        <f>$B12 * IFERROR(VLOOKUP("buildings|NOx|Respiratory hospital admissions", US_national_yearly!$D:$AM, 21, FALSE) / VLOOKUP("buildings|NOx|Respiratory hospital admissions", US_national_yearly!$D:$AM, 10, FALSE), 1)</f>
        <v>1.6659537757343732E-4</v>
      </c>
      <c r="N12" s="7">
        <f>$B12 * IFERROR(VLOOKUP("buildings|NOx|Respiratory hospital admissions", US_national_yearly!$D:$AM, 22, FALSE) / VLOOKUP("buildings|NOx|Respiratory hospital admissions", US_national_yearly!$D:$AM, 10, FALSE), 1)</f>
        <v>1.6840435623331391E-4</v>
      </c>
      <c r="O12" s="7">
        <f>$B12 * IFERROR(VLOOKUP("buildings|NOx|Respiratory hospital admissions", US_national_yearly!$D:$AM, 23, FALSE) / VLOOKUP("buildings|NOx|Respiratory hospital admissions", US_national_yearly!$D:$AM, 10, FALSE), 1)</f>
        <v>1.702133348931905E-4</v>
      </c>
      <c r="P12" s="7">
        <f>$B12 * IFERROR(VLOOKUP("buildings|NOx|Respiratory hospital admissions", US_national_yearly!$D:$AM, 24, FALSE) / VLOOKUP("buildings|NOx|Respiratory hospital admissions", US_national_yearly!$D:$AM, 10, FALSE), 1)</f>
        <v>1.7202231355306708E-4</v>
      </c>
      <c r="Q12" s="7">
        <f>$B12 * IFERROR(VLOOKUP("buildings|NOx|Respiratory hospital admissions", US_national_yearly!$D:$AM, 25, FALSE) / VLOOKUP("buildings|NOx|Respiratory hospital admissions", US_national_yearly!$D:$AM, 10, FALSE), 1)</f>
        <v>1.738312922129437E-4</v>
      </c>
      <c r="R12" s="7">
        <f>$B12 * IFERROR(VLOOKUP("buildings|NOx|Respiratory hospital admissions", US_national_yearly!$D:$AM, 26, FALSE) / VLOOKUP("buildings|NOx|Respiratory hospital admissions", US_national_yearly!$D:$AM, 10, FALSE), 1)</f>
        <v>1.7564027087282026E-4</v>
      </c>
      <c r="S12" s="7">
        <f>$B12 * IFERROR(VLOOKUP("buildings|NOx|Respiratory hospital admissions", US_national_yearly!$D:$AM, 27, FALSE) / VLOOKUP("buildings|NOx|Respiratory hospital admissions", US_national_yearly!$D:$AM, 10, FALSE), 1)</f>
        <v>1.7661019044774682E-4</v>
      </c>
      <c r="T12" s="7">
        <f>$B12 * IFERROR(VLOOKUP("buildings|NOx|Respiratory hospital admissions", US_national_yearly!$D:$AM, 28, FALSE) / VLOOKUP("buildings|NOx|Respiratory hospital admissions", US_national_yearly!$D:$AM, 10, FALSE), 1)</f>
        <v>1.7758011002267336E-4</v>
      </c>
      <c r="U12" s="7">
        <f>$B12 * IFERROR(VLOOKUP("buildings|NOx|Respiratory hospital admissions", US_national_yearly!$D:$AM, 29, FALSE) / VLOOKUP("buildings|NOx|Respiratory hospital admissions", US_national_yearly!$D:$AM, 10, FALSE), 1)</f>
        <v>1.7855002959759993E-4</v>
      </c>
      <c r="V12" s="7">
        <f>$B12 * IFERROR(VLOOKUP("buildings|NOx|Respiratory hospital admissions", US_national_yearly!$D:$AM, 30, FALSE) / VLOOKUP("buildings|NOx|Respiratory hospital admissions", US_national_yearly!$D:$AM, 10, FALSE), 1)</f>
        <v>1.7951994917252649E-4</v>
      </c>
      <c r="W12" s="7">
        <f>$B12 * IFERROR(VLOOKUP("buildings|NOx|Respiratory hospital admissions", US_national_yearly!$D:$AM, 31, FALSE) / VLOOKUP("buildings|NOx|Respiratory hospital admissions", US_national_yearly!$D:$AM, 10, FALSE), 1)</f>
        <v>1.80489868747453E-4</v>
      </c>
      <c r="X12" s="7">
        <f>$B12 * IFERROR(VLOOKUP("buildings|NOx|Respiratory hospital admissions", US_national_yearly!$D:$AM, 32, FALSE) / VLOOKUP("buildings|NOx|Respiratory hospital admissions", US_national_yearly!$D:$AM, 10, FALSE), 1)</f>
        <v>1.8115382446173698E-4</v>
      </c>
      <c r="Y12" s="7">
        <f>$B12 * IFERROR(VLOOKUP("buildings|NOx|Respiratory hospital admissions", US_national_yearly!$D:$AM, 33, FALSE) / VLOOKUP("buildings|NOx|Respiratory hospital admissions", US_national_yearly!$D:$AM, 10, FALSE), 1)</f>
        <v>1.8181778017602093E-4</v>
      </c>
      <c r="Z12" s="7">
        <f>$B12 * IFERROR(VLOOKUP("buildings|NOx|Respiratory hospital admissions", US_national_yearly!$D:$AM, 34, FALSE) / VLOOKUP("buildings|NOx|Respiratory hospital admissions", US_national_yearly!$D:$AM, 10, FALSE), 1)</f>
        <v>1.8248173589030493E-4</v>
      </c>
      <c r="AA12" s="7">
        <f>$B12 * IFERROR(VLOOKUP("buildings|NOx|Respiratory hospital admissions", US_national_yearly!$D:$AM, 35, FALSE) / VLOOKUP("buildings|NOx|Respiratory hospital admissions", US_national_yearly!$D:$AM, 10, FALSE), 1)</f>
        <v>1.8314569160458887E-4</v>
      </c>
      <c r="AB12" s="7">
        <f>$B12 * IFERROR(VLOOKUP("buildings|NOx|Respiratory hospital admissions", US_national_yearly!$D:$AM, 36, FALSE) / VLOOKUP("buildings|NOx|Respiratory hospital admissions", US_national_yearly!$D:$AM, 10, FALSE), 1)</f>
        <v>1.8380964731887282E-4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9.3288273875042412E-4</v>
      </c>
      <c r="C13" s="7">
        <f>$B13 * IFERROR(VLOOKUP("buildings|NOx|Non-fatal heart attacks", US_national_yearly!$D:$AM, 11, FALSE) / VLOOKUP("buildings|NOx|Non-fatal heart attacks", US_national_yearly!$D:$AM, 10, FALSE), 1)</f>
        <v>9.5957061188594185E-4</v>
      </c>
      <c r="D13" s="7">
        <f>$B13 * IFERROR(VLOOKUP("buildings|NOx|Non-fatal heart attacks", US_national_yearly!$D:$AM, 12, FALSE) / VLOOKUP("buildings|NOx|Non-fatal heart attacks", US_national_yearly!$D:$AM, 10, FALSE), 1)</f>
        <v>9.8625848502146012E-4</v>
      </c>
      <c r="E13" s="7">
        <f>$B13 * IFERROR(VLOOKUP("buildings|NOx|Non-fatal heart attacks", US_national_yearly!$D:$AM, 13, FALSE) / VLOOKUP("buildings|NOx|Non-fatal heart attacks", US_national_yearly!$D:$AM, 10, FALSE), 1)</f>
        <v>1.0129463581569778E-3</v>
      </c>
      <c r="F13" s="7">
        <f>$B13 * IFERROR(VLOOKUP("buildings|NOx|Non-fatal heart attacks", US_national_yearly!$D:$AM, 14, FALSE) / VLOOKUP("buildings|NOx|Non-fatal heart attacks", US_national_yearly!$D:$AM, 10, FALSE), 1)</f>
        <v>1.0396342312924956E-3</v>
      </c>
      <c r="G13" s="7">
        <f>$B13 * IFERROR(VLOOKUP("buildings|NOx|Non-fatal heart attacks", US_national_yearly!$D:$AM, 15, FALSE) / VLOOKUP("buildings|NOx|Non-fatal heart attacks", US_national_yearly!$D:$AM, 10, FALSE), 1)</f>
        <v>1.0645792965492177E-3</v>
      </c>
      <c r="H13" s="7">
        <f>$B13 * IFERROR(VLOOKUP("buildings|NOx|Non-fatal heart attacks", US_national_yearly!$D:$AM, 16, FALSE) / VLOOKUP("buildings|NOx|Non-fatal heart attacks", US_national_yearly!$D:$AM, 10, FALSE), 1)</f>
        <v>1.0895243618059397E-3</v>
      </c>
      <c r="I13" s="7">
        <f>$B13 * IFERROR(VLOOKUP("buildings|NOx|Non-fatal heart attacks", US_national_yearly!$D:$AM, 17, FALSE) / VLOOKUP("buildings|NOx|Non-fatal heart attacks", US_national_yearly!$D:$AM, 10, FALSE), 1)</f>
        <v>1.1092042251287168E-3</v>
      </c>
      <c r="J13" s="7">
        <f>$B13 * IFERROR(VLOOKUP("buildings|NOx|Non-fatal heart attacks", US_national_yearly!$D:$AM, 18, FALSE) / VLOOKUP("buildings|NOx|Non-fatal heart attacks", US_national_yearly!$D:$AM, 10, FALSE), 1)</f>
        <v>1.1288840884514941E-3</v>
      </c>
      <c r="K13" s="7">
        <f>$B13 * IFERROR(VLOOKUP("buildings|NOx|Non-fatal heart attacks", US_national_yearly!$D:$AM, 19, FALSE) / VLOOKUP("buildings|NOx|Non-fatal heart attacks", US_national_yearly!$D:$AM, 10, FALSE), 1)</f>
        <v>1.1485639517742716E-3</v>
      </c>
      <c r="L13" s="7">
        <f>$B13 * IFERROR(VLOOKUP("buildings|NOx|Non-fatal heart attacks", US_national_yearly!$D:$AM, 20, FALSE) / VLOOKUP("buildings|NOx|Non-fatal heart attacks", US_national_yearly!$D:$AM, 10, FALSE), 1)</f>
        <v>1.1682438150970482E-3</v>
      </c>
      <c r="M13" s="7">
        <f>$B13 * IFERROR(VLOOKUP("buildings|NOx|Non-fatal heart attacks", US_national_yearly!$D:$AM, 21, FALSE) / VLOOKUP("buildings|NOx|Non-fatal heart attacks", US_national_yearly!$D:$AM, 10, FALSE), 1)</f>
        <v>1.1879236784198258E-3</v>
      </c>
      <c r="N13" s="7">
        <f>$B13 * IFERROR(VLOOKUP("buildings|NOx|Non-fatal heart attacks", US_national_yearly!$D:$AM, 22, FALSE) / VLOOKUP("buildings|NOx|Non-fatal heart attacks", US_national_yearly!$D:$AM, 10, FALSE), 1)</f>
        <v>1.1997676167434241E-3</v>
      </c>
      <c r="O13" s="7">
        <f>$B13 * IFERROR(VLOOKUP("buildings|NOx|Non-fatal heart attacks", US_national_yearly!$D:$AM, 23, FALSE) / VLOOKUP("buildings|NOx|Non-fatal heart attacks", US_national_yearly!$D:$AM, 10, FALSE), 1)</f>
        <v>1.2116115550670221E-3</v>
      </c>
      <c r="P13" s="7">
        <f>$B13 * IFERROR(VLOOKUP("buildings|NOx|Non-fatal heart attacks", US_national_yearly!$D:$AM, 24, FALSE) / VLOOKUP("buildings|NOx|Non-fatal heart attacks", US_national_yearly!$D:$AM, 10, FALSE), 1)</f>
        <v>1.2234554933906203E-3</v>
      </c>
      <c r="Q13" s="7">
        <f>$B13 * IFERROR(VLOOKUP("buildings|NOx|Non-fatal heart attacks", US_national_yearly!$D:$AM, 25, FALSE) / VLOOKUP("buildings|NOx|Non-fatal heart attacks", US_national_yearly!$D:$AM, 10, FALSE), 1)</f>
        <v>1.2352994317142187E-3</v>
      </c>
      <c r="R13" s="7">
        <f>$B13 * IFERROR(VLOOKUP("buildings|NOx|Non-fatal heart attacks", US_national_yearly!$D:$AM, 26, FALSE) / VLOOKUP("buildings|NOx|Non-fatal heart attacks", US_national_yearly!$D:$AM, 10, FALSE), 1)</f>
        <v>1.2471433700378166E-3</v>
      </c>
      <c r="S13" s="7">
        <f>$B13 * IFERROR(VLOOKUP("buildings|NOx|Non-fatal heart attacks", US_national_yearly!$D:$AM, 27, FALSE) / VLOOKUP("buildings|NOx|Non-fatal heart attacks", US_national_yearly!$D:$AM, 10, FALSE), 1)</f>
        <v>1.2525257202515882E-3</v>
      </c>
      <c r="T13" s="7">
        <f>$B13 * IFERROR(VLOOKUP("buildings|NOx|Non-fatal heart attacks", US_national_yearly!$D:$AM, 28, FALSE) / VLOOKUP("buildings|NOx|Non-fatal heart attacks", US_national_yearly!$D:$AM, 10, FALSE), 1)</f>
        <v>1.25790807046536E-3</v>
      </c>
      <c r="U13" s="7">
        <f>$B13 * IFERROR(VLOOKUP("buildings|NOx|Non-fatal heart attacks", US_national_yearly!$D:$AM, 29, FALSE) / VLOOKUP("buildings|NOx|Non-fatal heart attacks", US_national_yearly!$D:$AM, 10, FALSE), 1)</f>
        <v>1.2632904206791313E-3</v>
      </c>
      <c r="V13" s="7">
        <f>$B13 * IFERROR(VLOOKUP("buildings|NOx|Non-fatal heart attacks", US_national_yearly!$D:$AM, 30, FALSE) / VLOOKUP("buildings|NOx|Non-fatal heart attacks", US_national_yearly!$D:$AM, 10, FALSE), 1)</f>
        <v>1.2686727708929029E-3</v>
      </c>
      <c r="W13" s="7">
        <f>$B13 * IFERROR(VLOOKUP("buildings|NOx|Non-fatal heart attacks", US_national_yearly!$D:$AM, 31, FALSE) / VLOOKUP("buildings|NOx|Non-fatal heart attacks", US_national_yearly!$D:$AM, 10, FALSE), 1)</f>
        <v>1.2740551211066745E-3</v>
      </c>
      <c r="X13" s="7">
        <f>$B13 * IFERROR(VLOOKUP("buildings|NOx|Non-fatal heart attacks", US_national_yearly!$D:$AM, 32, FALSE) / VLOOKUP("buildings|NOx|Non-fatal heart attacks", US_national_yearly!$D:$AM, 10, FALSE), 1)</f>
        <v>1.2776554751068431E-3</v>
      </c>
      <c r="Y13" s="7">
        <f>$B13 * IFERROR(VLOOKUP("buildings|NOx|Non-fatal heart attacks", US_national_yearly!$D:$AM, 33, FALSE) / VLOOKUP("buildings|NOx|Non-fatal heart attacks", US_national_yearly!$D:$AM, 10, FALSE), 1)</f>
        <v>1.2812558291070118E-3</v>
      </c>
      <c r="Z13" s="7">
        <f>$B13 * IFERROR(VLOOKUP("buildings|NOx|Non-fatal heart attacks", US_national_yearly!$D:$AM, 34, FALSE) / VLOOKUP("buildings|NOx|Non-fatal heart attacks", US_national_yearly!$D:$AM, 10, FALSE), 1)</f>
        <v>1.2848561831071807E-3</v>
      </c>
      <c r="AA13" s="7">
        <f>$B13 * IFERROR(VLOOKUP("buildings|NOx|Non-fatal heart attacks", US_national_yearly!$D:$AM, 35, FALSE) / VLOOKUP("buildings|NOx|Non-fatal heart attacks", US_national_yearly!$D:$AM, 10, FALSE), 1)</f>
        <v>1.2884565371073492E-3</v>
      </c>
      <c r="AB13" s="7">
        <f>$B13 * IFERROR(VLOOKUP("buildings|NOx|Non-fatal heart attacks", US_national_yearly!$D:$AM, 36, FALSE) / VLOOKUP("buildings|NOx|Non-fatal heart attacks", US_national_yearly!$D:$AM, 10, FALSE), 1)</f>
        <v>1.2920568911075178E-3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0.67633925736017542</v>
      </c>
      <c r="C14" s="7">
        <f>$B14 * IFERROR(VLOOKUP("buildings|NOx|Minor restricted activity days", US_national_yearly!$D:$AM, 11, FALSE) / VLOOKUP("buildings|NOx|Minor restricted activity days", US_national_yearly!$D:$AM, 10, FALSE), 1)</f>
        <v>0.67738877593816049</v>
      </c>
      <c r="D14" s="7">
        <f>$B14 * IFERROR(VLOOKUP("buildings|NOx|Minor restricted activity days", US_national_yearly!$D:$AM, 12, FALSE) / VLOOKUP("buildings|NOx|Minor restricted activity days", US_national_yearly!$D:$AM, 10, FALSE), 1)</f>
        <v>0.67843829451614568</v>
      </c>
      <c r="E14" s="7">
        <f>$B14 * IFERROR(VLOOKUP("buildings|NOx|Minor restricted activity days", US_national_yearly!$D:$AM, 13, FALSE) / VLOOKUP("buildings|NOx|Minor restricted activity days", US_national_yearly!$D:$AM, 10, FALSE), 1)</f>
        <v>0.67948781309413075</v>
      </c>
      <c r="F14" s="7">
        <f>$B14 * IFERROR(VLOOKUP("buildings|NOx|Minor restricted activity days", US_national_yearly!$D:$AM, 14, FALSE) / VLOOKUP("buildings|NOx|Minor restricted activity days", US_national_yearly!$D:$AM, 10, FALSE), 1)</f>
        <v>0.68053733167211594</v>
      </c>
      <c r="G14" s="7">
        <f>$B14 * IFERROR(VLOOKUP("buildings|NOx|Minor restricted activity days", US_national_yearly!$D:$AM, 15, FALSE) / VLOOKUP("buildings|NOx|Minor restricted activity days", US_national_yearly!$D:$AM, 10, FALSE), 1)</f>
        <v>0.68242279361871439</v>
      </c>
      <c r="H14" s="7">
        <f>$B14 * IFERROR(VLOOKUP("buildings|NOx|Minor restricted activity days", US_national_yearly!$D:$AM, 16, FALSE) / VLOOKUP("buildings|NOx|Minor restricted activity days", US_national_yearly!$D:$AM, 10, FALSE), 1)</f>
        <v>0.68430825556531283</v>
      </c>
      <c r="I14" s="7">
        <f>$B14 * IFERROR(VLOOKUP("buildings|NOx|Minor restricted activity days", US_national_yearly!$D:$AM, 17, FALSE) / VLOOKUP("buildings|NOx|Minor restricted activity days", US_national_yearly!$D:$AM, 10, FALSE), 1)</f>
        <v>0.68798436843617106</v>
      </c>
      <c r="J14" s="7">
        <f>$B14 * IFERROR(VLOOKUP("buildings|NOx|Minor restricted activity days", US_national_yearly!$D:$AM, 18, FALSE) / VLOOKUP("buildings|NOx|Minor restricted activity days", US_national_yearly!$D:$AM, 10, FALSE), 1)</f>
        <v>0.69166048130702928</v>
      </c>
      <c r="K14" s="7">
        <f>$B14 * IFERROR(VLOOKUP("buildings|NOx|Minor restricted activity days", US_national_yearly!$D:$AM, 19, FALSE) / VLOOKUP("buildings|NOx|Minor restricted activity days", US_national_yearly!$D:$AM, 10, FALSE), 1)</f>
        <v>0.69533659417788762</v>
      </c>
      <c r="L14" s="7">
        <f>$B14 * IFERROR(VLOOKUP("buildings|NOx|Minor restricted activity days", US_national_yearly!$D:$AM, 20, FALSE) / VLOOKUP("buildings|NOx|Minor restricted activity days", US_national_yearly!$D:$AM, 10, FALSE), 1)</f>
        <v>0.69901270704874585</v>
      </c>
      <c r="M14" s="7">
        <f>$B14 * IFERROR(VLOOKUP("buildings|NOx|Minor restricted activity days", US_national_yearly!$D:$AM, 21, FALSE) / VLOOKUP("buildings|NOx|Minor restricted activity days", US_national_yearly!$D:$AM, 10, FALSE), 1)</f>
        <v>0.70268881991960408</v>
      </c>
      <c r="N14" s="7">
        <f>$B14 * IFERROR(VLOOKUP("buildings|NOx|Minor restricted activity days", US_national_yearly!$D:$AM, 22, FALSE) / VLOOKUP("buildings|NOx|Minor restricted activity days", US_national_yearly!$D:$AM, 10, FALSE), 1)</f>
        <v>0.70794789744944786</v>
      </c>
      <c r="O14" s="7">
        <f>$B14 * IFERROR(VLOOKUP("buildings|NOx|Minor restricted activity days", US_national_yearly!$D:$AM, 23, FALSE) / VLOOKUP("buildings|NOx|Minor restricted activity days", US_national_yearly!$D:$AM, 10, FALSE), 1)</f>
        <v>0.71320697497929142</v>
      </c>
      <c r="P14" s="7">
        <f>$B14 * IFERROR(VLOOKUP("buildings|NOx|Minor restricted activity days", US_national_yearly!$D:$AM, 24, FALSE) / VLOOKUP("buildings|NOx|Minor restricted activity days", US_national_yearly!$D:$AM, 10, FALSE), 1)</f>
        <v>0.71846605250913509</v>
      </c>
      <c r="Q14" s="7">
        <f>$B14 * IFERROR(VLOOKUP("buildings|NOx|Minor restricted activity days", US_national_yearly!$D:$AM, 25, FALSE) / VLOOKUP("buildings|NOx|Minor restricted activity days", US_national_yearly!$D:$AM, 10, FALSE), 1)</f>
        <v>0.72372513003897865</v>
      </c>
      <c r="R14" s="7">
        <f>$B14 * IFERROR(VLOOKUP("buildings|NOx|Minor restricted activity days", US_national_yearly!$D:$AM, 26, FALSE) / VLOOKUP("buildings|NOx|Minor restricted activity days", US_national_yearly!$D:$AM, 10, FALSE), 1)</f>
        <v>0.72898420756882221</v>
      </c>
      <c r="S14" s="7">
        <f>$B14 * IFERROR(VLOOKUP("buildings|NOx|Minor restricted activity days", US_national_yearly!$D:$AM, 27, FALSE) / VLOOKUP("buildings|NOx|Minor restricted activity days", US_national_yearly!$D:$AM, 10, FALSE), 1)</f>
        <v>0.73424177115303602</v>
      </c>
      <c r="T14" s="7">
        <f>$B14 * IFERROR(VLOOKUP("buildings|NOx|Minor restricted activity days", US_national_yearly!$D:$AM, 28, FALSE) / VLOOKUP("buildings|NOx|Minor restricted activity days", US_national_yearly!$D:$AM, 10, FALSE), 1)</f>
        <v>0.73949933473724971</v>
      </c>
      <c r="U14" s="7">
        <f>$B14 * IFERROR(VLOOKUP("buildings|NOx|Minor restricted activity days", US_national_yearly!$D:$AM, 29, FALSE) / VLOOKUP("buildings|NOx|Minor restricted activity days", US_national_yearly!$D:$AM, 10, FALSE), 1)</f>
        <v>0.74475689832146363</v>
      </c>
      <c r="V14" s="7">
        <f>$B14 * IFERROR(VLOOKUP("buildings|NOx|Minor restricted activity days", US_national_yearly!$D:$AM, 30, FALSE) / VLOOKUP("buildings|NOx|Minor restricted activity days", US_national_yearly!$D:$AM, 10, FALSE), 1)</f>
        <v>0.75001446190567733</v>
      </c>
      <c r="W14" s="7">
        <f>$B14 * IFERROR(VLOOKUP("buildings|NOx|Minor restricted activity days", US_national_yearly!$D:$AM, 31, FALSE) / VLOOKUP("buildings|NOx|Minor restricted activity days", US_national_yearly!$D:$AM, 10, FALSE), 1)</f>
        <v>0.75527202548989103</v>
      </c>
      <c r="X14" s="7">
        <f>$B14 * IFERROR(VLOOKUP("buildings|NOx|Minor restricted activity days", US_national_yearly!$D:$AM, 32, FALSE) / VLOOKUP("buildings|NOx|Minor restricted activity days", US_national_yearly!$D:$AM, 10, FALSE), 1)</f>
        <v>0.75971856297739182</v>
      </c>
      <c r="Y14" s="7">
        <f>$B14 * IFERROR(VLOOKUP("buildings|NOx|Minor restricted activity days", US_national_yearly!$D:$AM, 33, FALSE) / VLOOKUP("buildings|NOx|Minor restricted activity days", US_national_yearly!$D:$AM, 10, FALSE), 1)</f>
        <v>0.76416510046489272</v>
      </c>
      <c r="Z14" s="7">
        <f>$B14 * IFERROR(VLOOKUP("buildings|NOx|Minor restricted activity days", US_national_yearly!$D:$AM, 34, FALSE) / VLOOKUP("buildings|NOx|Minor restricted activity days", US_national_yearly!$D:$AM, 10, FALSE), 1)</f>
        <v>0.7686116379523934</v>
      </c>
      <c r="AA14" s="7">
        <f>$B14 * IFERROR(VLOOKUP("buildings|NOx|Minor restricted activity days", US_national_yearly!$D:$AM, 35, FALSE) / VLOOKUP("buildings|NOx|Minor restricted activity days", US_national_yearly!$D:$AM, 10, FALSE), 1)</f>
        <v>0.7730581754398943</v>
      </c>
      <c r="AB14" s="7">
        <f>$B14 * IFERROR(VLOOKUP("buildings|NOx|Minor restricted activity days", US_national_yearly!$D:$AM, 36, FALSE) / VLOOKUP("buildings|NOx|Minor restricted activity days", US_national_yearly!$D:$AM, 10, FALSE), 1)</f>
        <v>0.77750471292739509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0.11424393472734584</v>
      </c>
      <c r="C15" s="7">
        <f>$B15 * IFERROR(VLOOKUP("buildings|NOx|Work loss days", US_national_yearly!$D:$AM, 11, FALSE) / VLOOKUP("buildings|NOx|Work loss days", US_national_yearly!$D:$AM, 10, FALSE), 1)</f>
        <v>0.11450003936137984</v>
      </c>
      <c r="D15" s="7">
        <f>$B15 * IFERROR(VLOOKUP("buildings|NOx|Work loss days", US_national_yearly!$D:$AM, 12, FALSE) / VLOOKUP("buildings|NOx|Work loss days", US_national_yearly!$D:$AM, 10, FALSE), 1)</f>
        <v>0.11475614399541381</v>
      </c>
      <c r="E15" s="7">
        <f>$B15 * IFERROR(VLOOKUP("buildings|NOx|Work loss days", US_national_yearly!$D:$AM, 13, FALSE) / VLOOKUP("buildings|NOx|Work loss days", US_national_yearly!$D:$AM, 10, FALSE), 1)</f>
        <v>0.11501224862944778</v>
      </c>
      <c r="F15" s="7">
        <f>$B15 * IFERROR(VLOOKUP("buildings|NOx|Work loss days", US_national_yearly!$D:$AM, 14, FALSE) / VLOOKUP("buildings|NOx|Work loss days", US_national_yearly!$D:$AM, 10, FALSE), 1)</f>
        <v>0.11526835326348178</v>
      </c>
      <c r="G15" s="7">
        <f>$B15 * IFERROR(VLOOKUP("buildings|NOx|Work loss days", US_national_yearly!$D:$AM, 15, FALSE) / VLOOKUP("buildings|NOx|Work loss days", US_national_yearly!$D:$AM, 10, FALSE), 1)</f>
        <v>0.11564139837614584</v>
      </c>
      <c r="H15" s="7">
        <f>$B15 * IFERROR(VLOOKUP("buildings|NOx|Work loss days", US_national_yearly!$D:$AM, 16, FALSE) / VLOOKUP("buildings|NOx|Work loss days", US_national_yearly!$D:$AM, 10, FALSE), 1)</f>
        <v>0.11601444348880992</v>
      </c>
      <c r="I15" s="7">
        <f>$B15 * IFERROR(VLOOKUP("buildings|NOx|Work loss days", US_national_yearly!$D:$AM, 17, FALSE) / VLOOKUP("buildings|NOx|Work loss days", US_national_yearly!$D:$AM, 10, FALSE), 1)</f>
        <v>0.11661776987849676</v>
      </c>
      <c r="J15" s="7">
        <f>$B15 * IFERROR(VLOOKUP("buildings|NOx|Work loss days", US_national_yearly!$D:$AM, 18, FALSE) / VLOOKUP("buildings|NOx|Work loss days", US_national_yearly!$D:$AM, 10, FALSE), 1)</f>
        <v>0.11722109626818358</v>
      </c>
      <c r="K15" s="7">
        <f>$B15 * IFERROR(VLOOKUP("buildings|NOx|Work loss days", US_national_yearly!$D:$AM, 19, FALSE) / VLOOKUP("buildings|NOx|Work loss days", US_national_yearly!$D:$AM, 10, FALSE), 1)</f>
        <v>0.11782442265787044</v>
      </c>
      <c r="L15" s="7">
        <f>$B15 * IFERROR(VLOOKUP("buildings|NOx|Work loss days", US_national_yearly!$D:$AM, 20, FALSE) / VLOOKUP("buildings|NOx|Work loss days", US_national_yearly!$D:$AM, 10, FALSE), 1)</f>
        <v>0.11842774904755728</v>
      </c>
      <c r="M15" s="7">
        <f>$B15 * IFERROR(VLOOKUP("buildings|NOx|Work loss days", US_national_yearly!$D:$AM, 21, FALSE) / VLOOKUP("buildings|NOx|Work loss days", US_national_yearly!$D:$AM, 10, FALSE), 1)</f>
        <v>0.1190310754372441</v>
      </c>
      <c r="N15" s="7">
        <f>$B15 * IFERROR(VLOOKUP("buildings|NOx|Work loss days", US_national_yearly!$D:$AM, 22, FALSE) / VLOOKUP("buildings|NOx|Work loss days", US_national_yearly!$D:$AM, 10, FALSE), 1)</f>
        <v>0.11981600406540381</v>
      </c>
      <c r="O15" s="7">
        <f>$B15 * IFERROR(VLOOKUP("buildings|NOx|Work loss days", US_national_yearly!$D:$AM, 23, FALSE) / VLOOKUP("buildings|NOx|Work loss days", US_national_yearly!$D:$AM, 10, FALSE), 1)</f>
        <v>0.12060093269356352</v>
      </c>
      <c r="P15" s="7">
        <f>$B15 * IFERROR(VLOOKUP("buildings|NOx|Work loss days", US_national_yearly!$D:$AM, 24, FALSE) / VLOOKUP("buildings|NOx|Work loss days", US_national_yearly!$D:$AM, 10, FALSE), 1)</f>
        <v>0.12138586132172323</v>
      </c>
      <c r="Q15" s="7">
        <f>$B15 * IFERROR(VLOOKUP("buildings|NOx|Work loss days", US_national_yearly!$D:$AM, 25, FALSE) / VLOOKUP("buildings|NOx|Work loss days", US_national_yearly!$D:$AM, 10, FALSE), 1)</f>
        <v>0.12217078994988297</v>
      </c>
      <c r="R15" s="7">
        <f>$B15 * IFERROR(VLOOKUP("buildings|NOx|Work loss days", US_national_yearly!$D:$AM, 26, FALSE) / VLOOKUP("buildings|NOx|Work loss days", US_national_yearly!$D:$AM, 10, FALSE), 1)</f>
        <v>0.12295571857804267</v>
      </c>
      <c r="S15" s="7">
        <f>$B15 * IFERROR(VLOOKUP("buildings|NOx|Work loss days", US_national_yearly!$D:$AM, 27, FALSE) / VLOOKUP("buildings|NOx|Work loss days", US_national_yearly!$D:$AM, 10, FALSE), 1)</f>
        <v>0.1238303839764249</v>
      </c>
      <c r="T15" s="7">
        <f>$B15 * IFERROR(VLOOKUP("buildings|NOx|Work loss days", US_national_yearly!$D:$AM, 28, FALSE) / VLOOKUP("buildings|NOx|Work loss days", US_national_yearly!$D:$AM, 10, FALSE), 1)</f>
        <v>0.12470504937480714</v>
      </c>
      <c r="U15" s="7">
        <f>$B15 * IFERROR(VLOOKUP("buildings|NOx|Work loss days", US_national_yearly!$D:$AM, 29, FALSE) / VLOOKUP("buildings|NOx|Work loss days", US_national_yearly!$D:$AM, 10, FALSE), 1)</f>
        <v>0.12557971477318935</v>
      </c>
      <c r="V15" s="7">
        <f>$B15 * IFERROR(VLOOKUP("buildings|NOx|Work loss days", US_national_yearly!$D:$AM, 30, FALSE) / VLOOKUP("buildings|NOx|Work loss days", US_national_yearly!$D:$AM, 10, FALSE), 1)</f>
        <v>0.12645438017157157</v>
      </c>
      <c r="W15" s="7">
        <f>$B15 * IFERROR(VLOOKUP("buildings|NOx|Work loss days", US_national_yearly!$D:$AM, 31, FALSE) / VLOOKUP("buildings|NOx|Work loss days", US_national_yearly!$D:$AM, 10, FALSE), 1)</f>
        <v>0.12732904556995378</v>
      </c>
      <c r="X15" s="7">
        <f>$B15 * IFERROR(VLOOKUP("buildings|NOx|Work loss days", US_national_yearly!$D:$AM, 32, FALSE) / VLOOKUP("buildings|NOx|Work loss days", US_national_yearly!$D:$AM, 10, FALSE), 1)</f>
        <v>0.1280884378859132</v>
      </c>
      <c r="Y15" s="7">
        <f>$B15 * IFERROR(VLOOKUP("buildings|NOx|Work loss days", US_national_yearly!$D:$AM, 33, FALSE) / VLOOKUP("buildings|NOx|Work loss days", US_national_yearly!$D:$AM, 10, FALSE), 1)</f>
        <v>0.1288478302018726</v>
      </c>
      <c r="Z15" s="7">
        <f>$B15 * IFERROR(VLOOKUP("buildings|NOx|Work loss days", US_national_yearly!$D:$AM, 34, FALSE) / VLOOKUP("buildings|NOx|Work loss days", US_national_yearly!$D:$AM, 10, FALSE), 1)</f>
        <v>0.12960722251783202</v>
      </c>
      <c r="AA15" s="7">
        <f>$B15 * IFERROR(VLOOKUP("buildings|NOx|Work loss days", US_national_yearly!$D:$AM, 35, FALSE) / VLOOKUP("buildings|NOx|Work loss days", US_national_yearly!$D:$AM, 10, FALSE), 1)</f>
        <v>0.13036661483379142</v>
      </c>
      <c r="AB15" s="7">
        <f>$B15 * IFERROR(VLOOKUP("buildings|NOx|Work loss days", US_national_yearly!$D:$AM, 36, FALSE) / VLOOKUP("buildings|NOx|Work loss days", US_national_yearly!$D:$AM, 10, FALSE), 1)</f>
        <v>0.13112600714975084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2.266679959663013E-4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2.3333205518924873E-4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2.3999611441219619E-4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2.4666017363514364E-4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2.5332423285809102E-4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2.5965496791665091E-4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2.6598570297521075E-4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2.7131239149238236E-4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2.7663908000955391E-4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2.8196576852672546E-4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2.87292457043897E-4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2.926191455610685E-4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2.9595117118424525E-4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2.9928319680742194E-4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3.0261522243059863E-4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3.0594724805377537E-4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3.0927927367695201E-4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3.1080177099016096E-4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3.1232426830336986E-4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3.1384676561657882E-4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3.1536926292978772E-4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3.1689176024299662E-4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3.1774038487298044E-4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3.1858900950296426E-4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3.1943763413294808E-4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3.202862587629319E-4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3.2113488339291572E-4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7.2133423469189261E-3</v>
      </c>
      <c r="C2" s="7">
        <f>$B2 * IFERROR(VLOOKUP("buildings|SO2|Premature mortality", US_national_yearly!$D:$AM, 11, FALSE) / VLOOKUP("buildings|SO2|Premature mortality", US_national_yearly!$D:$AM, 10, FALSE), 1)</f>
        <v>7.3047239384733658E-3</v>
      </c>
      <c r="D2" s="7">
        <f>$B2 * IFERROR(VLOOKUP("buildings|SO2|Premature mortality", US_national_yearly!$D:$AM, 12, FALSE) / VLOOKUP("buildings|SO2|Premature mortality", US_national_yearly!$D:$AM, 10, FALSE), 1)</f>
        <v>7.3961055300278047E-3</v>
      </c>
      <c r="E2" s="7">
        <f>$B2 * IFERROR(VLOOKUP("buildings|SO2|Premature mortality", US_national_yearly!$D:$AM, 13, FALSE) / VLOOKUP("buildings|SO2|Premature mortality", US_national_yearly!$D:$AM, 10, FALSE), 1)</f>
        <v>7.4874871215822444E-3</v>
      </c>
      <c r="F2" s="7">
        <f>$B2 * IFERROR(VLOOKUP("buildings|SO2|Premature mortality", US_national_yearly!$D:$AM, 14, FALSE) / VLOOKUP("buildings|SO2|Premature mortality", US_national_yearly!$D:$AM, 10, FALSE), 1)</f>
        <v>7.5788687131366841E-3</v>
      </c>
      <c r="G2" s="7">
        <f>$B2 * IFERROR(VLOOKUP("buildings|SO2|Premature mortality", US_national_yearly!$D:$AM, 15, FALSE) / VLOOKUP("buildings|SO2|Premature mortality", US_national_yearly!$D:$AM, 10, FALSE), 1)</f>
        <v>7.754942498083635E-3</v>
      </c>
      <c r="H2" s="7">
        <f>$B2 * IFERROR(VLOOKUP("buildings|SO2|Premature mortality", US_national_yearly!$D:$AM, 16, FALSE) / VLOOKUP("buildings|SO2|Premature mortality", US_national_yearly!$D:$AM, 10, FALSE), 1)</f>
        <v>7.9310162830305876E-3</v>
      </c>
      <c r="I2" s="7">
        <f>$B2 * IFERROR(VLOOKUP("buildings|SO2|Premature mortality", US_national_yearly!$D:$AM, 17, FALSE) / VLOOKUP("buildings|SO2|Premature mortality", US_national_yearly!$D:$AM, 10, FALSE), 1)</f>
        <v>8.0474352582991012E-3</v>
      </c>
      <c r="J2" s="7">
        <f>$B2 * IFERROR(VLOOKUP("buildings|SO2|Premature mortality", US_national_yearly!$D:$AM, 18, FALSE) / VLOOKUP("buildings|SO2|Premature mortality", US_national_yearly!$D:$AM, 10, FALSE), 1)</f>
        <v>8.1638542335676131E-3</v>
      </c>
      <c r="K2" s="7">
        <f>$B2 * IFERROR(VLOOKUP("buildings|SO2|Premature mortality", US_national_yearly!$D:$AM, 19, FALSE) / VLOOKUP("buildings|SO2|Premature mortality", US_national_yearly!$D:$AM, 10, FALSE), 1)</f>
        <v>8.2802732088361267E-3</v>
      </c>
      <c r="L2" s="7">
        <f>$B2 * IFERROR(VLOOKUP("buildings|SO2|Premature mortality", US_national_yearly!$D:$AM, 20, FALSE) / VLOOKUP("buildings|SO2|Premature mortality", US_national_yearly!$D:$AM, 10, FALSE), 1)</f>
        <v>8.3966921841046403E-3</v>
      </c>
      <c r="M2" s="7">
        <f>$B2 * IFERROR(VLOOKUP("buildings|SO2|Premature mortality", US_national_yearly!$D:$AM, 21, FALSE) / VLOOKUP("buildings|SO2|Premature mortality", US_national_yearly!$D:$AM, 10, FALSE), 1)</f>
        <v>8.5131111593731539E-3</v>
      </c>
      <c r="N2" s="7">
        <f>$B2 * IFERROR(VLOOKUP("buildings|SO2|Premature mortality", US_national_yearly!$D:$AM, 22, FALSE) / VLOOKUP("buildings|SO2|Premature mortality", US_national_yearly!$D:$AM, 10, FALSE), 1)</f>
        <v>8.60405357355222E-3</v>
      </c>
      <c r="O2" s="7">
        <f>$B2 * IFERROR(VLOOKUP("buildings|SO2|Premature mortality", US_national_yearly!$D:$AM, 23, FALSE) / VLOOKUP("buildings|SO2|Premature mortality", US_national_yearly!$D:$AM, 10, FALSE), 1)</f>
        <v>8.6949959877312809E-3</v>
      </c>
      <c r="P2" s="7">
        <f>$B2 * IFERROR(VLOOKUP("buildings|SO2|Premature mortality", US_national_yearly!$D:$AM, 24, FALSE) / VLOOKUP("buildings|SO2|Premature mortality", US_national_yearly!$D:$AM, 10, FALSE), 1)</f>
        <v>8.7859384019103436E-3</v>
      </c>
      <c r="Q2" s="7">
        <f>$B2 * IFERROR(VLOOKUP("buildings|SO2|Premature mortality", US_national_yearly!$D:$AM, 25, FALSE) / VLOOKUP("buildings|SO2|Premature mortality", US_national_yearly!$D:$AM, 10, FALSE), 1)</f>
        <v>8.8768808160894063E-3</v>
      </c>
      <c r="R2" s="7">
        <f>$B2 * IFERROR(VLOOKUP("buildings|SO2|Premature mortality", US_national_yearly!$D:$AM, 26, FALSE) / VLOOKUP("buildings|SO2|Premature mortality", US_national_yearly!$D:$AM, 10, FALSE), 1)</f>
        <v>8.9678232302684707E-3</v>
      </c>
      <c r="S2" s="7">
        <f>$B2 * IFERROR(VLOOKUP("buildings|SO2|Premature mortality", US_national_yearly!$D:$AM, 27, FALSE) / VLOOKUP("buildings|SO2|Premature mortality", US_national_yearly!$D:$AM, 10, FALSE), 1)</f>
        <v>9.0164966484212183E-3</v>
      </c>
      <c r="T2" s="7">
        <f>$B2 * IFERROR(VLOOKUP("buildings|SO2|Premature mortality", US_national_yearly!$D:$AM, 28, FALSE) / VLOOKUP("buildings|SO2|Premature mortality", US_national_yearly!$D:$AM, 10, FALSE), 1)</f>
        <v>9.0651700665739677E-3</v>
      </c>
      <c r="U2" s="7">
        <f>$B2 * IFERROR(VLOOKUP("buildings|SO2|Premature mortality", US_national_yearly!$D:$AM, 29, FALSE) / VLOOKUP("buildings|SO2|Premature mortality", US_national_yearly!$D:$AM, 10, FALSE), 1)</f>
        <v>9.1138434847267153E-3</v>
      </c>
      <c r="V2" s="7">
        <f>$B2 * IFERROR(VLOOKUP("buildings|SO2|Premature mortality", US_national_yearly!$D:$AM, 30, FALSE) / VLOOKUP("buildings|SO2|Premature mortality", US_national_yearly!$D:$AM, 10, FALSE), 1)</f>
        <v>9.1625169028794647E-3</v>
      </c>
      <c r="W2" s="7">
        <f>$B2 * IFERROR(VLOOKUP("buildings|SO2|Premature mortality", US_national_yearly!$D:$AM, 31, FALSE) / VLOOKUP("buildings|SO2|Premature mortality", US_national_yearly!$D:$AM, 10, FALSE), 1)</f>
        <v>9.2111903210322123E-3</v>
      </c>
      <c r="X2" s="7">
        <f>$B2 * IFERROR(VLOOKUP("buildings|SO2|Premature mortality", US_national_yearly!$D:$AM, 32, FALSE) / VLOOKUP("buildings|SO2|Premature mortality", US_national_yearly!$D:$AM, 10, FALSE), 1)</f>
        <v>9.2210255131326049E-3</v>
      </c>
      <c r="Y2" s="7">
        <f>$B2 * IFERROR(VLOOKUP("buildings|SO2|Premature mortality", US_national_yearly!$D:$AM, 33, FALSE) / VLOOKUP("buildings|SO2|Premature mortality", US_national_yearly!$D:$AM, 10, FALSE), 1)</f>
        <v>9.2308607052329957E-3</v>
      </c>
      <c r="Z2" s="7">
        <f>$B2 * IFERROR(VLOOKUP("buildings|SO2|Premature mortality", US_national_yearly!$D:$AM, 34, FALSE) / VLOOKUP("buildings|SO2|Premature mortality", US_national_yearly!$D:$AM, 10, FALSE), 1)</f>
        <v>9.2406958973333866E-3</v>
      </c>
      <c r="AA2" s="7">
        <f>$B2 * IFERROR(VLOOKUP("buildings|SO2|Premature mortality", US_national_yearly!$D:$AM, 35, FALSE) / VLOOKUP("buildings|SO2|Premature mortality", US_national_yearly!$D:$AM, 10, FALSE), 1)</f>
        <v>9.2505310894337774E-3</v>
      </c>
      <c r="AB2" s="7">
        <f>$B2 * IFERROR(VLOOKUP("buildings|SO2|Premature mortality", US_national_yearly!$D:$AM, 36, FALSE) / VLOOKUP("buildings|SO2|Premature mortality", US_national_yearly!$D:$AM, 10, FALSE), 1)</f>
        <v>9.26036628153417E-3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1.2858193517657207E-5</v>
      </c>
      <c r="C3" s="7">
        <f>$B3 * IFERROR(VLOOKUP("buildings|SO2|Infant mortality", US_national_yearly!$D:$AM, 11, FALSE) / VLOOKUP("buildings|SO2|Infant mortality", US_national_yearly!$D:$AM, 10, FALSE), 1)</f>
        <v>1.2747980705114335E-5</v>
      </c>
      <c r="D3" s="7">
        <f>$B3 * IFERROR(VLOOKUP("buildings|SO2|Infant mortality", US_national_yearly!$D:$AM, 12, FALSE) / VLOOKUP("buildings|SO2|Infant mortality", US_national_yearly!$D:$AM, 10, FALSE), 1)</f>
        <v>1.2637767892571464E-5</v>
      </c>
      <c r="E3" s="7">
        <f>$B3 * IFERROR(VLOOKUP("buildings|SO2|Infant mortality", US_national_yearly!$D:$AM, 13, FALSE) / VLOOKUP("buildings|SO2|Infant mortality", US_national_yearly!$D:$AM, 10, FALSE), 1)</f>
        <v>1.2527555080028593E-5</v>
      </c>
      <c r="F3" s="7">
        <f>$B3 * IFERROR(VLOOKUP("buildings|SO2|Infant mortality", US_national_yearly!$D:$AM, 14, FALSE) / VLOOKUP("buildings|SO2|Infant mortality", US_national_yearly!$D:$AM, 10, FALSE), 1)</f>
        <v>1.2417342267485722E-5</v>
      </c>
      <c r="G3" s="7">
        <f>$B3 * IFERROR(VLOOKUP("buildings|SO2|Infant mortality", US_national_yearly!$D:$AM, 15, FALSE) / VLOOKUP("buildings|SO2|Infant mortality", US_national_yearly!$D:$AM, 10, FALSE), 1)</f>
        <v>8.2694580154833433E-6</v>
      </c>
      <c r="H3" s="7">
        <f>$B3 * IFERROR(VLOOKUP("buildings|SO2|Infant mortality", US_national_yearly!$D:$AM, 16, FALSE) / VLOOKUP("buildings|SO2|Infant mortality", US_national_yearly!$D:$AM, 10, FALSE), 1)</f>
        <v>4.1215737634809634E-6</v>
      </c>
      <c r="I3" s="7">
        <f>$B3 * IFERROR(VLOOKUP("buildings|SO2|Infant mortality", US_national_yearly!$D:$AM, 17, FALSE) / VLOOKUP("buildings|SO2|Infant mortality", US_national_yearly!$D:$AM, 10, FALSE), 1)</f>
        <v>4.0957145545436381E-6</v>
      </c>
      <c r="J3" s="7">
        <f>$B3 * IFERROR(VLOOKUP("buildings|SO2|Infant mortality", US_national_yearly!$D:$AM, 18, FALSE) / VLOOKUP("buildings|SO2|Infant mortality", US_national_yearly!$D:$AM, 10, FALSE), 1)</f>
        <v>4.0698553456063129E-6</v>
      </c>
      <c r="K3" s="7">
        <f>$B3 * IFERROR(VLOOKUP("buildings|SO2|Infant mortality", US_national_yearly!$D:$AM, 19, FALSE) / VLOOKUP("buildings|SO2|Infant mortality", US_national_yearly!$D:$AM, 10, FALSE), 1)</f>
        <v>4.0439961366689884E-6</v>
      </c>
      <c r="L3" s="7">
        <f>$B3 * IFERROR(VLOOKUP("buildings|SO2|Infant mortality", US_national_yearly!$D:$AM, 20, FALSE) / VLOOKUP("buildings|SO2|Infant mortality", US_national_yearly!$D:$AM, 10, FALSE), 1)</f>
        <v>4.0181369277316632E-6</v>
      </c>
      <c r="M3" s="7">
        <f>$B3 * IFERROR(VLOOKUP("buildings|SO2|Infant mortality", US_national_yearly!$D:$AM, 21, FALSE) / VLOOKUP("buildings|SO2|Infant mortality", US_national_yearly!$D:$AM, 10, FALSE), 1)</f>
        <v>3.9922777187943388E-6</v>
      </c>
      <c r="N3" s="7">
        <f>$B3 * IFERROR(VLOOKUP("buildings|SO2|Infant mortality", US_national_yearly!$D:$AM, 22, FALSE) / VLOOKUP("buildings|SO2|Infant mortality", US_national_yearly!$D:$AM, 10, FALSE), 1)</f>
        <v>3.9760667418667344E-6</v>
      </c>
      <c r="O3" s="7">
        <f>$B3 * IFERROR(VLOOKUP("buildings|SO2|Infant mortality", US_national_yearly!$D:$AM, 23, FALSE) / VLOOKUP("buildings|SO2|Infant mortality", US_national_yearly!$D:$AM, 10, FALSE), 1)</f>
        <v>3.9598557649391309E-6</v>
      </c>
      <c r="P3" s="7">
        <f>$B3 * IFERROR(VLOOKUP("buildings|SO2|Infant mortality", US_national_yearly!$D:$AM, 24, FALSE) / VLOOKUP("buildings|SO2|Infant mortality", US_national_yearly!$D:$AM, 10, FALSE), 1)</f>
        <v>3.9436447880115273E-6</v>
      </c>
      <c r="Q3" s="7">
        <f>$B3 * IFERROR(VLOOKUP("buildings|SO2|Infant mortality", US_national_yearly!$D:$AM, 25, FALSE) / VLOOKUP("buildings|SO2|Infant mortality", US_national_yearly!$D:$AM, 10, FALSE), 1)</f>
        <v>3.927433811083923E-6</v>
      </c>
      <c r="R3" s="7">
        <f>$B3 * IFERROR(VLOOKUP("buildings|SO2|Infant mortality", US_national_yearly!$D:$AM, 26, FALSE) / VLOOKUP("buildings|SO2|Infant mortality", US_national_yearly!$D:$AM, 10, FALSE), 1)</f>
        <v>3.9112228341563195E-6</v>
      </c>
      <c r="S3" s="7">
        <f>$B3 * IFERROR(VLOOKUP("buildings|SO2|Infant mortality", US_national_yearly!$D:$AM, 27, FALSE) / VLOOKUP("buildings|SO2|Infant mortality", US_national_yearly!$D:$AM, 10, FALSE), 1)</f>
        <v>3.8908669865174403E-6</v>
      </c>
      <c r="T3" s="7">
        <f>$B3 * IFERROR(VLOOKUP("buildings|SO2|Infant mortality", US_national_yearly!$D:$AM, 28, FALSE) / VLOOKUP("buildings|SO2|Infant mortality", US_national_yearly!$D:$AM, 10, FALSE), 1)</f>
        <v>3.8705111388785604E-6</v>
      </c>
      <c r="U3" s="7">
        <f>$B3 * IFERROR(VLOOKUP("buildings|SO2|Infant mortality", US_national_yearly!$D:$AM, 29, FALSE) / VLOOKUP("buildings|SO2|Infant mortality", US_national_yearly!$D:$AM, 10, FALSE), 1)</f>
        <v>3.8501552912396804E-6</v>
      </c>
      <c r="V3" s="7">
        <f>$B3 * IFERROR(VLOOKUP("buildings|SO2|Infant mortality", US_national_yearly!$D:$AM, 30, FALSE) / VLOOKUP("buildings|SO2|Infant mortality", US_national_yearly!$D:$AM, 10, FALSE), 1)</f>
        <v>3.8297994436008013E-6</v>
      </c>
      <c r="W3" s="7">
        <f>$B3 * IFERROR(VLOOKUP("buildings|SO2|Infant mortality", US_national_yearly!$D:$AM, 31, FALSE) / VLOOKUP("buildings|SO2|Infant mortality", US_national_yearly!$D:$AM, 10, FALSE), 1)</f>
        <v>3.8094435959619213E-6</v>
      </c>
      <c r="X3" s="7">
        <f>$B3 * IFERROR(VLOOKUP("buildings|SO2|Infant mortality", US_national_yearly!$D:$AM, 32, FALSE) / VLOOKUP("buildings|SO2|Infant mortality", US_national_yearly!$D:$AM, 10, FALSE), 1)</f>
        <v>3.7872117849240743E-6</v>
      </c>
      <c r="Y3" s="7">
        <f>$B3 * IFERROR(VLOOKUP("buildings|SO2|Infant mortality", US_national_yearly!$D:$AM, 33, FALSE) / VLOOKUP("buildings|SO2|Infant mortality", US_national_yearly!$D:$AM, 10, FALSE), 1)</f>
        <v>3.7649799738862273E-6</v>
      </c>
      <c r="Z3" s="7">
        <f>$B3 * IFERROR(VLOOKUP("buildings|SO2|Infant mortality", US_national_yearly!$D:$AM, 34, FALSE) / VLOOKUP("buildings|SO2|Infant mortality", US_national_yearly!$D:$AM, 10, FALSE), 1)</f>
        <v>3.7427481628483812E-6</v>
      </c>
      <c r="AA3" s="7">
        <f>$B3 * IFERROR(VLOOKUP("buildings|SO2|Infant mortality", US_national_yearly!$D:$AM, 35, FALSE) / VLOOKUP("buildings|SO2|Infant mortality", US_national_yearly!$D:$AM, 10, FALSE), 1)</f>
        <v>3.7205163518105334E-6</v>
      </c>
      <c r="AB3" s="7">
        <f>$B3 * IFERROR(VLOOKUP("buildings|SO2|Infant mortality", US_national_yearly!$D:$AM, 36, FALSE) / VLOOKUP("buildings|SO2|Infant mortality", US_national_yearly!$D:$AM, 10, FALSE), 1)</f>
        <v>3.6982845407726868E-6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1.9051704983112424E-2</v>
      </c>
      <c r="C6" s="7">
        <f>$B6 * IFERROR(VLOOKUP("buildings|SO2|Asthma symptoms cough", US_national_yearly!$D:$AM, 11, FALSE) / VLOOKUP("buildings|SO2|Asthma symptoms cough", US_national_yearly!$D:$AM, 10, FALSE), 1)</f>
        <v>1.9051704983112424E-2</v>
      </c>
      <c r="D6" s="7">
        <f>$B6 * IFERROR(VLOOKUP("buildings|SO2|Asthma symptoms cough", US_national_yearly!$D:$AM, 12, FALSE) / VLOOKUP("buildings|SO2|Asthma symptoms cough", US_national_yearly!$D:$AM, 10, FALSE), 1)</f>
        <v>1.9051704983112424E-2</v>
      </c>
      <c r="E6" s="7">
        <f>$B6 * IFERROR(VLOOKUP("buildings|SO2|Asthma symptoms cough", US_national_yearly!$D:$AM, 13, FALSE) / VLOOKUP("buildings|SO2|Asthma symptoms cough", US_national_yearly!$D:$AM, 10, FALSE), 1)</f>
        <v>1.9051704983112424E-2</v>
      </c>
      <c r="F6" s="7">
        <f>$B6 * IFERROR(VLOOKUP("buildings|SO2|Asthma symptoms cough", US_national_yearly!$D:$AM, 14, FALSE) / VLOOKUP("buildings|SO2|Asthma symptoms cough", US_national_yearly!$D:$AM, 10, FALSE), 1)</f>
        <v>1.9051704983112424E-2</v>
      </c>
      <c r="G6" s="7">
        <f>$B6 * IFERROR(VLOOKUP("buildings|SO2|Asthma symptoms cough", US_national_yearly!$D:$AM, 15, FALSE) / VLOOKUP("buildings|SO2|Asthma symptoms cough", US_national_yearly!$D:$AM, 10, FALSE), 1)</f>
        <v>1.9051704983112424E-2</v>
      </c>
      <c r="H6" s="7">
        <f>$B6 * IFERROR(VLOOKUP("buildings|SO2|Asthma symptoms cough", US_national_yearly!$D:$AM, 16, FALSE) / VLOOKUP("buildings|SO2|Asthma symptoms cough", US_national_yearly!$D:$AM, 10, FALSE), 1)</f>
        <v>1.9051704983112424E-2</v>
      </c>
      <c r="I6" s="7">
        <f>$B6 * IFERROR(VLOOKUP("buildings|SO2|Asthma symptoms cough", US_national_yearly!$D:$AM, 17, FALSE) / VLOOKUP("buildings|SO2|Asthma symptoms cough", US_national_yearly!$D:$AM, 10, FALSE), 1)</f>
        <v>1.9051704983112424E-2</v>
      </c>
      <c r="J6" s="7">
        <f>$B6 * IFERROR(VLOOKUP("buildings|SO2|Asthma symptoms cough", US_national_yearly!$D:$AM, 18, FALSE) / VLOOKUP("buildings|SO2|Asthma symptoms cough", US_national_yearly!$D:$AM, 10, FALSE), 1)</f>
        <v>1.9051704983112424E-2</v>
      </c>
      <c r="K6" s="7">
        <f>$B6 * IFERROR(VLOOKUP("buildings|SO2|Asthma symptoms cough", US_national_yearly!$D:$AM, 19, FALSE) / VLOOKUP("buildings|SO2|Asthma symptoms cough", US_national_yearly!$D:$AM, 10, FALSE), 1)</f>
        <v>1.9051704983112424E-2</v>
      </c>
      <c r="L6" s="7">
        <f>$B6 * IFERROR(VLOOKUP("buildings|SO2|Asthma symptoms cough", US_national_yearly!$D:$AM, 20, FALSE) / VLOOKUP("buildings|SO2|Asthma symptoms cough", US_national_yearly!$D:$AM, 10, FALSE), 1)</f>
        <v>1.9051704983112424E-2</v>
      </c>
      <c r="M6" s="7">
        <f>$B6 * IFERROR(VLOOKUP("buildings|SO2|Asthma symptoms cough", US_national_yearly!$D:$AM, 21, FALSE) / VLOOKUP("buildings|SO2|Asthma symptoms cough", US_national_yearly!$D:$AM, 10, FALSE), 1)</f>
        <v>1.9051704983112424E-2</v>
      </c>
      <c r="N6" s="7">
        <f>$B6 * IFERROR(VLOOKUP("buildings|SO2|Asthma symptoms cough", US_national_yearly!$D:$AM, 22, FALSE) / VLOOKUP("buildings|SO2|Asthma symptoms cough", US_national_yearly!$D:$AM, 10, FALSE), 1)</f>
        <v>1.9051704983112424E-2</v>
      </c>
      <c r="O6" s="7">
        <f>$B6 * IFERROR(VLOOKUP("buildings|SO2|Asthma symptoms cough", US_national_yearly!$D:$AM, 23, FALSE) / VLOOKUP("buildings|SO2|Asthma symptoms cough", US_national_yearly!$D:$AM, 10, FALSE), 1)</f>
        <v>1.9051704983112424E-2</v>
      </c>
      <c r="P6" s="7">
        <f>$B6 * IFERROR(VLOOKUP("buildings|SO2|Asthma symptoms cough", US_national_yearly!$D:$AM, 24, FALSE) / VLOOKUP("buildings|SO2|Asthma symptoms cough", US_national_yearly!$D:$AM, 10, FALSE), 1)</f>
        <v>1.9051704983112424E-2</v>
      </c>
      <c r="Q6" s="7">
        <f>$B6 * IFERROR(VLOOKUP("buildings|SO2|Asthma symptoms cough", US_national_yearly!$D:$AM, 25, FALSE) / VLOOKUP("buildings|SO2|Asthma symptoms cough", US_national_yearly!$D:$AM, 10, FALSE), 1)</f>
        <v>1.9051704983112424E-2</v>
      </c>
      <c r="R6" s="7">
        <f>$B6 * IFERROR(VLOOKUP("buildings|SO2|Asthma symptoms cough", US_national_yearly!$D:$AM, 26, FALSE) / VLOOKUP("buildings|SO2|Asthma symptoms cough", US_national_yearly!$D:$AM, 10, FALSE), 1)</f>
        <v>1.9051704983112424E-2</v>
      </c>
      <c r="S6" s="7">
        <f>$B6 * IFERROR(VLOOKUP("buildings|SO2|Asthma symptoms cough", US_national_yearly!$D:$AM, 27, FALSE) / VLOOKUP("buildings|SO2|Asthma symptoms cough", US_national_yearly!$D:$AM, 10, FALSE), 1)</f>
        <v>1.9051704983112424E-2</v>
      </c>
      <c r="T6" s="7">
        <f>$B6 * IFERROR(VLOOKUP("buildings|SO2|Asthma symptoms cough", US_national_yearly!$D:$AM, 28, FALSE) / VLOOKUP("buildings|SO2|Asthma symptoms cough", US_national_yearly!$D:$AM, 10, FALSE), 1)</f>
        <v>1.9051704983112424E-2</v>
      </c>
      <c r="U6" s="7">
        <f>$B6 * IFERROR(VLOOKUP("buildings|SO2|Asthma symptoms cough", US_national_yearly!$D:$AM, 29, FALSE) / VLOOKUP("buildings|SO2|Asthma symptoms cough", US_national_yearly!$D:$AM, 10, FALSE), 1)</f>
        <v>1.9051704983112424E-2</v>
      </c>
      <c r="V6" s="7">
        <f>$B6 * IFERROR(VLOOKUP("buildings|SO2|Asthma symptoms cough", US_national_yearly!$D:$AM, 30, FALSE) / VLOOKUP("buildings|SO2|Asthma symptoms cough", US_national_yearly!$D:$AM, 10, FALSE), 1)</f>
        <v>1.9051704983112424E-2</v>
      </c>
      <c r="W6" s="7">
        <f>$B6 * IFERROR(VLOOKUP("buildings|SO2|Asthma symptoms cough", US_national_yearly!$D:$AM, 31, FALSE) / VLOOKUP("buildings|SO2|Asthma symptoms cough", US_national_yearly!$D:$AM, 10, FALSE), 1)</f>
        <v>1.9051704983112424E-2</v>
      </c>
      <c r="X6" s="7">
        <f>$B6 * IFERROR(VLOOKUP("buildings|SO2|Asthma symptoms cough", US_national_yearly!$D:$AM, 32, FALSE) / VLOOKUP("buildings|SO2|Asthma symptoms cough", US_national_yearly!$D:$AM, 10, FALSE), 1)</f>
        <v>1.9051704983112424E-2</v>
      </c>
      <c r="Y6" s="7">
        <f>$B6 * IFERROR(VLOOKUP("buildings|SO2|Asthma symptoms cough", US_national_yearly!$D:$AM, 33, FALSE) / VLOOKUP("buildings|SO2|Asthma symptoms cough", US_national_yearly!$D:$AM, 10, FALSE), 1)</f>
        <v>1.9051704983112424E-2</v>
      </c>
      <c r="Z6" s="7">
        <f>$B6 * IFERROR(VLOOKUP("buildings|SO2|Asthma symptoms cough", US_national_yearly!$D:$AM, 34, FALSE) / VLOOKUP("buildings|SO2|Asthma symptoms cough", US_national_yearly!$D:$AM, 10, FALSE), 1)</f>
        <v>1.9051704983112424E-2</v>
      </c>
      <c r="AA6" s="7">
        <f>$B6 * IFERROR(VLOOKUP("buildings|SO2|Asthma symptoms cough", US_national_yearly!$D:$AM, 35, FALSE) / VLOOKUP("buildings|SO2|Asthma symptoms cough", US_national_yearly!$D:$AM, 10, FALSE), 1)</f>
        <v>1.9051704983112424E-2</v>
      </c>
      <c r="AB6" s="7">
        <f>$B6 * IFERROR(VLOOKUP("buildings|SO2|Asthma symptoms cough", US_national_yearly!$D:$AM, 36, FALSE) / VLOOKUP("buildings|SO2|Asthma symptoms cough", US_national_yearly!$D:$AM, 10, FALSE), 1)</f>
        <v>1.9051704983112424E-2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2.5655914712496702E-2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2.5655914712496702E-2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2.5655914712496702E-2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2.5655914712496702E-2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2.5655914712496702E-2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2.5655914712496702E-2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2.5655914712496702E-2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2.5655914712496702E-2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2.5655914712496702E-2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2.5655914712496702E-2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2.5655914712496702E-2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2.5655914712496702E-2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2.5655914712496702E-2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2.5655914712496702E-2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2.5655914712496702E-2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2.5655914712496702E-2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2.5655914712496702E-2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2.5655914712496702E-2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2.5655914712496702E-2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2.5655914712496702E-2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2.5655914712496702E-2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2.5655914712496702E-2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2.5655914712496702E-2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2.5655914712496702E-2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2.5655914712496702E-2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2.5655914712496702E-2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2.5655914712496702E-2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3.9197784324047892E-2</v>
      </c>
      <c r="C8" s="7">
        <f>$B8 * IFERROR(VLOOKUP("buildings|SO2|Asthma symptoms wheeze", US_national_yearly!$D:$AM, 11, FALSE) / VLOOKUP("buildings|SO2|Asthma symptoms wheeze", US_national_yearly!$D:$AM, 10, FALSE), 1)</f>
        <v>3.9197784324047892E-2</v>
      </c>
      <c r="D8" s="7">
        <f>$B8 * IFERROR(VLOOKUP("buildings|SO2|Asthma symptoms wheeze", US_national_yearly!$D:$AM, 12, FALSE) / VLOOKUP("buildings|SO2|Asthma symptoms wheeze", US_national_yearly!$D:$AM, 10, FALSE), 1)</f>
        <v>3.9197784324047892E-2</v>
      </c>
      <c r="E8" s="7">
        <f>$B8 * IFERROR(VLOOKUP("buildings|SO2|Asthma symptoms wheeze", US_national_yearly!$D:$AM, 13, FALSE) / VLOOKUP("buildings|SO2|Asthma symptoms wheeze", US_national_yearly!$D:$AM, 10, FALSE), 1)</f>
        <v>3.9197784324047892E-2</v>
      </c>
      <c r="F8" s="7">
        <f>$B8 * IFERROR(VLOOKUP("buildings|SO2|Asthma symptoms wheeze", US_national_yearly!$D:$AM, 14, FALSE) / VLOOKUP("buildings|SO2|Asthma symptoms wheeze", US_national_yearly!$D:$AM, 10, FALSE), 1)</f>
        <v>3.9197784324047892E-2</v>
      </c>
      <c r="G8" s="7">
        <f>$B8 * IFERROR(VLOOKUP("buildings|SO2|Asthma symptoms wheeze", US_national_yearly!$D:$AM, 15, FALSE) / VLOOKUP("buildings|SO2|Asthma symptoms wheeze", US_national_yearly!$D:$AM, 10, FALSE), 1)</f>
        <v>3.9197784324047892E-2</v>
      </c>
      <c r="H8" s="7">
        <f>$B8 * IFERROR(VLOOKUP("buildings|SO2|Asthma symptoms wheeze", US_national_yearly!$D:$AM, 16, FALSE) / VLOOKUP("buildings|SO2|Asthma symptoms wheeze", US_national_yearly!$D:$AM, 10, FALSE), 1)</f>
        <v>3.9197784324047892E-2</v>
      </c>
      <c r="I8" s="7">
        <f>$B8 * IFERROR(VLOOKUP("buildings|SO2|Asthma symptoms wheeze", US_national_yearly!$D:$AM, 17, FALSE) / VLOOKUP("buildings|SO2|Asthma symptoms wheeze", US_national_yearly!$D:$AM, 10, FALSE), 1)</f>
        <v>3.9197784324047892E-2</v>
      </c>
      <c r="J8" s="7">
        <f>$B8 * IFERROR(VLOOKUP("buildings|SO2|Asthma symptoms wheeze", US_national_yearly!$D:$AM, 18, FALSE) / VLOOKUP("buildings|SO2|Asthma symptoms wheeze", US_national_yearly!$D:$AM, 10, FALSE), 1)</f>
        <v>3.9197784324047892E-2</v>
      </c>
      <c r="K8" s="7">
        <f>$B8 * IFERROR(VLOOKUP("buildings|SO2|Asthma symptoms wheeze", US_national_yearly!$D:$AM, 19, FALSE) / VLOOKUP("buildings|SO2|Asthma symptoms wheeze", US_national_yearly!$D:$AM, 10, FALSE), 1)</f>
        <v>3.9197784324047892E-2</v>
      </c>
      <c r="L8" s="7">
        <f>$B8 * IFERROR(VLOOKUP("buildings|SO2|Asthma symptoms wheeze", US_national_yearly!$D:$AM, 20, FALSE) / VLOOKUP("buildings|SO2|Asthma symptoms wheeze", US_national_yearly!$D:$AM, 10, FALSE), 1)</f>
        <v>3.9197784324047892E-2</v>
      </c>
      <c r="M8" s="7">
        <f>$B8 * IFERROR(VLOOKUP("buildings|SO2|Asthma symptoms wheeze", US_national_yearly!$D:$AM, 21, FALSE) / VLOOKUP("buildings|SO2|Asthma symptoms wheeze", US_national_yearly!$D:$AM, 10, FALSE), 1)</f>
        <v>3.9197784324047892E-2</v>
      </c>
      <c r="N8" s="7">
        <f>$B8 * IFERROR(VLOOKUP("buildings|SO2|Asthma symptoms wheeze", US_national_yearly!$D:$AM, 22, FALSE) / VLOOKUP("buildings|SO2|Asthma symptoms wheeze", US_national_yearly!$D:$AM, 10, FALSE), 1)</f>
        <v>3.9197784324047892E-2</v>
      </c>
      <c r="O8" s="7">
        <f>$B8 * IFERROR(VLOOKUP("buildings|SO2|Asthma symptoms wheeze", US_national_yearly!$D:$AM, 23, FALSE) / VLOOKUP("buildings|SO2|Asthma symptoms wheeze", US_national_yearly!$D:$AM, 10, FALSE), 1)</f>
        <v>3.9197784324047892E-2</v>
      </c>
      <c r="P8" s="7">
        <f>$B8 * IFERROR(VLOOKUP("buildings|SO2|Asthma symptoms wheeze", US_national_yearly!$D:$AM, 24, FALSE) / VLOOKUP("buildings|SO2|Asthma symptoms wheeze", US_national_yearly!$D:$AM, 10, FALSE), 1)</f>
        <v>3.9197784324047892E-2</v>
      </c>
      <c r="Q8" s="7">
        <f>$B8 * IFERROR(VLOOKUP("buildings|SO2|Asthma symptoms wheeze", US_national_yearly!$D:$AM, 25, FALSE) / VLOOKUP("buildings|SO2|Asthma symptoms wheeze", US_national_yearly!$D:$AM, 10, FALSE), 1)</f>
        <v>3.9197784324047892E-2</v>
      </c>
      <c r="R8" s="7">
        <f>$B8 * IFERROR(VLOOKUP("buildings|SO2|Asthma symptoms wheeze", US_national_yearly!$D:$AM, 26, FALSE) / VLOOKUP("buildings|SO2|Asthma symptoms wheeze", US_national_yearly!$D:$AM, 10, FALSE), 1)</f>
        <v>3.9197784324047892E-2</v>
      </c>
      <c r="S8" s="7">
        <f>$B8 * IFERROR(VLOOKUP("buildings|SO2|Asthma symptoms wheeze", US_national_yearly!$D:$AM, 27, FALSE) / VLOOKUP("buildings|SO2|Asthma symptoms wheeze", US_national_yearly!$D:$AM, 10, FALSE), 1)</f>
        <v>3.9197784324047892E-2</v>
      </c>
      <c r="T8" s="7">
        <f>$B8 * IFERROR(VLOOKUP("buildings|SO2|Asthma symptoms wheeze", US_national_yearly!$D:$AM, 28, FALSE) / VLOOKUP("buildings|SO2|Asthma symptoms wheeze", US_national_yearly!$D:$AM, 10, FALSE), 1)</f>
        <v>3.9197784324047892E-2</v>
      </c>
      <c r="U8" s="7">
        <f>$B8 * IFERROR(VLOOKUP("buildings|SO2|Asthma symptoms wheeze", US_national_yearly!$D:$AM, 29, FALSE) / VLOOKUP("buildings|SO2|Asthma symptoms wheeze", US_national_yearly!$D:$AM, 10, FALSE), 1)</f>
        <v>3.9197784324047892E-2</v>
      </c>
      <c r="V8" s="7">
        <f>$B8 * IFERROR(VLOOKUP("buildings|SO2|Asthma symptoms wheeze", US_national_yearly!$D:$AM, 30, FALSE) / VLOOKUP("buildings|SO2|Asthma symptoms wheeze", US_national_yearly!$D:$AM, 10, FALSE), 1)</f>
        <v>3.9197784324047892E-2</v>
      </c>
      <c r="W8" s="7">
        <f>$B8 * IFERROR(VLOOKUP("buildings|SO2|Asthma symptoms wheeze", US_national_yearly!$D:$AM, 31, FALSE) / VLOOKUP("buildings|SO2|Asthma symptoms wheeze", US_national_yearly!$D:$AM, 10, FALSE), 1)</f>
        <v>3.9197784324047892E-2</v>
      </c>
      <c r="X8" s="7">
        <f>$B8 * IFERROR(VLOOKUP("buildings|SO2|Asthma symptoms wheeze", US_national_yearly!$D:$AM, 32, FALSE) / VLOOKUP("buildings|SO2|Asthma symptoms wheeze", US_national_yearly!$D:$AM, 10, FALSE), 1)</f>
        <v>3.9197784324047892E-2</v>
      </c>
      <c r="Y8" s="7">
        <f>$B8 * IFERROR(VLOOKUP("buildings|SO2|Asthma symptoms wheeze", US_national_yearly!$D:$AM, 33, FALSE) / VLOOKUP("buildings|SO2|Asthma symptoms wheeze", US_national_yearly!$D:$AM, 10, FALSE), 1)</f>
        <v>3.9197784324047892E-2</v>
      </c>
      <c r="Z8" s="7">
        <f>$B8 * IFERROR(VLOOKUP("buildings|SO2|Asthma symptoms wheeze", US_national_yearly!$D:$AM, 34, FALSE) / VLOOKUP("buildings|SO2|Asthma symptoms wheeze", US_national_yearly!$D:$AM, 10, FALSE), 1)</f>
        <v>3.9197784324047892E-2</v>
      </c>
      <c r="AA8" s="7">
        <f>$B8 * IFERROR(VLOOKUP("buildings|SO2|Asthma symptoms wheeze", US_national_yearly!$D:$AM, 35, FALSE) / VLOOKUP("buildings|SO2|Asthma symptoms wheeze", US_national_yearly!$D:$AM, 10, FALSE), 1)</f>
        <v>3.9197784324047892E-2</v>
      </c>
      <c r="AB8" s="7">
        <f>$B8 * IFERROR(VLOOKUP("buildings|SO2|Asthma symptoms wheeze", US_national_yearly!$D:$AM, 36, FALSE) / VLOOKUP("buildings|SO2|Asthma symptoms wheeze", US_national_yearly!$D:$AM, 10, FALSE), 1)</f>
        <v>3.9197784324047892E-2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4.9816402022729125E-4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5.0110636773769085E-4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5.0404871524809035E-4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5.0699106275848996E-4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5.0993341026888935E-4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5.131401983606321E-4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5.1634698645237486E-4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5.1950281970817658E-4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5.2265865296397841E-4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5.2581448621978003E-4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5.2897031947558176E-4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5.3212615273138359E-4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5.3443043342712407E-4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5.3673471412286455E-4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5.3903899481860514E-4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5.4134327551434562E-4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5.4364755621008609E-4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5.4584471490178282E-4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5.4804187359347954E-4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5.5023903228517627E-4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5.5243619097687289E-4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5.5463334966856972E-4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5.5672122369457668E-4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5.5880909772058386E-4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5.6089697174659093E-4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5.6298484577259789E-4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5.6507271979860507E-4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3.477302641460454E-3</v>
      </c>
      <c r="C13" s="7">
        <f>$B13 * IFERROR(VLOOKUP("buildings|SO2|Non-fatal heart attacks", US_national_yearly!$D:$AM, 11, FALSE) / VLOOKUP("buildings|SO2|Non-fatal heart attacks", US_national_yearly!$D:$AM, 10, FALSE), 1)</f>
        <v>3.5794166202846771E-3</v>
      </c>
      <c r="D13" s="7">
        <f>$B13 * IFERROR(VLOOKUP("buildings|SO2|Non-fatal heart attacks", US_national_yearly!$D:$AM, 12, FALSE) / VLOOKUP("buildings|SO2|Non-fatal heart attacks", US_national_yearly!$D:$AM, 10, FALSE), 1)</f>
        <v>3.6815305991088993E-3</v>
      </c>
      <c r="E13" s="7">
        <f>$B13 * IFERROR(VLOOKUP("buildings|SO2|Non-fatal heart attacks", US_national_yearly!$D:$AM, 13, FALSE) / VLOOKUP("buildings|SO2|Non-fatal heart attacks", US_national_yearly!$D:$AM, 10, FALSE), 1)</f>
        <v>3.7836445779331216E-3</v>
      </c>
      <c r="F13" s="7">
        <f>$B13 * IFERROR(VLOOKUP("buildings|SO2|Non-fatal heart attacks", US_national_yearly!$D:$AM, 14, FALSE) / VLOOKUP("buildings|SO2|Non-fatal heart attacks", US_national_yearly!$D:$AM, 10, FALSE), 1)</f>
        <v>3.8857585567573442E-3</v>
      </c>
      <c r="G13" s="7">
        <f>$B13 * IFERROR(VLOOKUP("buildings|SO2|Non-fatal heart attacks", US_national_yearly!$D:$AM, 15, FALSE) / VLOOKUP("buildings|SO2|Non-fatal heart attacks", US_national_yearly!$D:$AM, 10, FALSE), 1)</f>
        <v>3.982068507760921E-3</v>
      </c>
      <c r="H13" s="7">
        <f>$B13 * IFERROR(VLOOKUP("buildings|SO2|Non-fatal heart attacks", US_national_yearly!$D:$AM, 16, FALSE) / VLOOKUP("buildings|SO2|Non-fatal heart attacks", US_national_yearly!$D:$AM, 10, FALSE), 1)</f>
        <v>4.0783784587644983E-3</v>
      </c>
      <c r="I13" s="7">
        <f>$B13 * IFERROR(VLOOKUP("buildings|SO2|Non-fatal heart attacks", US_national_yearly!$D:$AM, 17, FALSE) / VLOOKUP("buildings|SO2|Non-fatal heart attacks", US_national_yearly!$D:$AM, 10, FALSE), 1)</f>
        <v>4.1559015855357701E-3</v>
      </c>
      <c r="J13" s="7">
        <f>$B13 * IFERROR(VLOOKUP("buildings|SO2|Non-fatal heart attacks", US_national_yearly!$D:$AM, 18, FALSE) / VLOOKUP("buildings|SO2|Non-fatal heart attacks", US_national_yearly!$D:$AM, 10, FALSE), 1)</f>
        <v>4.2334247123070427E-3</v>
      </c>
      <c r="K13" s="7">
        <f>$B13 * IFERROR(VLOOKUP("buildings|SO2|Non-fatal heart attacks", US_national_yearly!$D:$AM, 19, FALSE) / VLOOKUP("buildings|SO2|Non-fatal heart attacks", US_national_yearly!$D:$AM, 10, FALSE), 1)</f>
        <v>4.3109478390783162E-3</v>
      </c>
      <c r="L13" s="7">
        <f>$B13 * IFERROR(VLOOKUP("buildings|SO2|Non-fatal heart attacks", US_national_yearly!$D:$AM, 20, FALSE) / VLOOKUP("buildings|SO2|Non-fatal heart attacks", US_national_yearly!$D:$AM, 10, FALSE), 1)</f>
        <v>4.3884709658495898E-3</v>
      </c>
      <c r="M13" s="7">
        <f>$B13 * IFERROR(VLOOKUP("buildings|SO2|Non-fatal heart attacks", US_national_yearly!$D:$AM, 21, FALSE) / VLOOKUP("buildings|SO2|Non-fatal heart attacks", US_national_yearly!$D:$AM, 10, FALSE), 1)</f>
        <v>4.4659940926208624E-3</v>
      </c>
      <c r="N13" s="7">
        <f>$B13 * IFERROR(VLOOKUP("buildings|SO2|Non-fatal heart attacks", US_national_yearly!$D:$AM, 22, FALSE) / VLOOKUP("buildings|SO2|Non-fatal heart attacks", US_national_yearly!$D:$AM, 10, FALSE), 1)</f>
        <v>4.5163102056227557E-3</v>
      </c>
      <c r="O13" s="7">
        <f>$B13 * IFERROR(VLOOKUP("buildings|SO2|Non-fatal heart attacks", US_national_yearly!$D:$AM, 23, FALSE) / VLOOKUP("buildings|SO2|Non-fatal heart attacks", US_national_yearly!$D:$AM, 10, FALSE), 1)</f>
        <v>4.5666263186246499E-3</v>
      </c>
      <c r="P13" s="7">
        <f>$B13 * IFERROR(VLOOKUP("buildings|SO2|Non-fatal heart attacks", US_national_yearly!$D:$AM, 24, FALSE) / VLOOKUP("buildings|SO2|Non-fatal heart attacks", US_national_yearly!$D:$AM, 10, FALSE), 1)</f>
        <v>4.6169424316265424E-3</v>
      </c>
      <c r="Q13" s="7">
        <f>$B13 * IFERROR(VLOOKUP("buildings|SO2|Non-fatal heart attacks", US_national_yearly!$D:$AM, 25, FALSE) / VLOOKUP("buildings|SO2|Non-fatal heart attacks", US_national_yearly!$D:$AM, 10, FALSE), 1)</f>
        <v>4.6672585446284357E-3</v>
      </c>
      <c r="R13" s="7">
        <f>$B13 * IFERROR(VLOOKUP("buildings|SO2|Non-fatal heart attacks", US_national_yearly!$D:$AM, 26, FALSE) / VLOOKUP("buildings|SO2|Non-fatal heart attacks", US_national_yearly!$D:$AM, 10, FALSE), 1)</f>
        <v>4.71757465763033E-3</v>
      </c>
      <c r="S13" s="7">
        <f>$B13 * IFERROR(VLOOKUP("buildings|SO2|Non-fatal heart attacks", US_national_yearly!$D:$AM, 27, FALSE) / VLOOKUP("buildings|SO2|Non-fatal heart attacks", US_national_yearly!$D:$AM, 10, FALSE), 1)</f>
        <v>4.7438496494534828E-3</v>
      </c>
      <c r="T13" s="7">
        <f>$B13 * IFERROR(VLOOKUP("buildings|SO2|Non-fatal heart attacks", US_national_yearly!$D:$AM, 28, FALSE) / VLOOKUP("buildings|SO2|Non-fatal heart attacks", US_national_yearly!$D:$AM, 10, FALSE), 1)</f>
        <v>4.7701246412766348E-3</v>
      </c>
      <c r="U13" s="7">
        <f>$B13 * IFERROR(VLOOKUP("buildings|SO2|Non-fatal heart attacks", US_national_yearly!$D:$AM, 29, FALSE) / VLOOKUP("buildings|SO2|Non-fatal heart attacks", US_national_yearly!$D:$AM, 10, FALSE), 1)</f>
        <v>4.7963996330997859E-3</v>
      </c>
      <c r="V13" s="7">
        <f>$B13 * IFERROR(VLOOKUP("buildings|SO2|Non-fatal heart attacks", US_national_yearly!$D:$AM, 30, FALSE) / VLOOKUP("buildings|SO2|Non-fatal heart attacks", US_national_yearly!$D:$AM, 10, FALSE), 1)</f>
        <v>4.8226746249229388E-3</v>
      </c>
      <c r="W13" s="7">
        <f>$B13 * IFERROR(VLOOKUP("buildings|SO2|Non-fatal heart attacks", US_national_yearly!$D:$AM, 31, FALSE) / VLOOKUP("buildings|SO2|Non-fatal heart attacks", US_national_yearly!$D:$AM, 10, FALSE), 1)</f>
        <v>4.8489496167460899E-3</v>
      </c>
      <c r="X13" s="7">
        <f>$B13 * IFERROR(VLOOKUP("buildings|SO2|Non-fatal heart attacks", US_national_yearly!$D:$AM, 32, FALSE) / VLOOKUP("buildings|SO2|Non-fatal heart attacks", US_national_yearly!$D:$AM, 10, FALSE), 1)</f>
        <v>4.8687944200621032E-3</v>
      </c>
      <c r="Y13" s="7">
        <f>$B13 * IFERROR(VLOOKUP("buildings|SO2|Non-fatal heart attacks", US_national_yearly!$D:$AM, 33, FALSE) / VLOOKUP("buildings|SO2|Non-fatal heart attacks", US_national_yearly!$D:$AM, 10, FALSE), 1)</f>
        <v>4.8886392233781157E-3</v>
      </c>
      <c r="Z13" s="7">
        <f>$B13 * IFERROR(VLOOKUP("buildings|SO2|Non-fatal heart attacks", US_national_yearly!$D:$AM, 34, FALSE) / VLOOKUP("buildings|SO2|Non-fatal heart attacks", US_national_yearly!$D:$AM, 10, FALSE), 1)</f>
        <v>4.9084840266941272E-3</v>
      </c>
      <c r="AA13" s="7">
        <f>$B13 * IFERROR(VLOOKUP("buildings|SO2|Non-fatal heart attacks", US_national_yearly!$D:$AM, 35, FALSE) / VLOOKUP("buildings|SO2|Non-fatal heart attacks", US_national_yearly!$D:$AM, 10, FALSE), 1)</f>
        <v>4.9283288300101397E-3</v>
      </c>
      <c r="AB13" s="7">
        <f>$B13 * IFERROR(VLOOKUP("buildings|SO2|Non-fatal heart attacks", US_national_yearly!$D:$AM, 36, FALSE) / VLOOKUP("buildings|SO2|Non-fatal heart attacks", US_national_yearly!$D:$AM, 10, FALSE), 1)</f>
        <v>4.9481736333261521E-3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2.5012987110155556</v>
      </c>
      <c r="C14" s="7">
        <f>$B14 * IFERROR(VLOOKUP("buildings|SO2|Minor restricted activity days", US_national_yearly!$D:$AM, 11, FALSE) / VLOOKUP("buildings|SO2|Minor restricted activity days", US_national_yearly!$D:$AM, 10, FALSE), 1)</f>
        <v>2.5076306169383704</v>
      </c>
      <c r="D14" s="7">
        <f>$B14 * IFERROR(VLOOKUP("buildings|SO2|Minor restricted activity days", US_national_yearly!$D:$AM, 12, FALSE) / VLOOKUP("buildings|SO2|Minor restricted activity days", US_national_yearly!$D:$AM, 10, FALSE), 1)</f>
        <v>2.5139625228611853</v>
      </c>
      <c r="E14" s="7">
        <f>$B14 * IFERROR(VLOOKUP("buildings|SO2|Minor restricted activity days", US_national_yearly!$D:$AM, 13, FALSE) / VLOOKUP("buildings|SO2|Minor restricted activity days", US_national_yearly!$D:$AM, 10, FALSE), 1)</f>
        <v>2.5202944287840006</v>
      </c>
      <c r="F14" s="7">
        <f>$B14 * IFERROR(VLOOKUP("buildings|SO2|Minor restricted activity days", US_national_yearly!$D:$AM, 14, FALSE) / VLOOKUP("buildings|SO2|Minor restricted activity days", US_national_yearly!$D:$AM, 10, FALSE), 1)</f>
        <v>2.5266263347068154</v>
      </c>
      <c r="G14" s="7">
        <f>$B14 * IFERROR(VLOOKUP("buildings|SO2|Minor restricted activity days", US_national_yearly!$D:$AM, 15, FALSE) / VLOOKUP("buildings|SO2|Minor restricted activity days", US_national_yearly!$D:$AM, 10, FALSE), 1)</f>
        <v>2.535936745265559</v>
      </c>
      <c r="H14" s="7">
        <f>$B14 * IFERROR(VLOOKUP("buildings|SO2|Minor restricted activity days", US_national_yearly!$D:$AM, 16, FALSE) / VLOOKUP("buildings|SO2|Minor restricted activity days", US_national_yearly!$D:$AM, 10, FALSE), 1)</f>
        <v>2.5452471558243026</v>
      </c>
      <c r="I14" s="7">
        <f>$B14 * IFERROR(VLOOKUP("buildings|SO2|Minor restricted activity days", US_national_yearly!$D:$AM, 17, FALSE) / VLOOKUP("buildings|SO2|Minor restricted activity days", US_national_yearly!$D:$AM, 10, FALSE), 1)</f>
        <v>2.5611037219643378</v>
      </c>
      <c r="J14" s="7">
        <f>$B14 * IFERROR(VLOOKUP("buildings|SO2|Minor restricted activity days", US_national_yearly!$D:$AM, 18, FALSE) / VLOOKUP("buildings|SO2|Minor restricted activity days", US_national_yearly!$D:$AM, 10, FALSE), 1)</f>
        <v>2.5769602881043734</v>
      </c>
      <c r="K14" s="7">
        <f>$B14 * IFERROR(VLOOKUP("buildings|SO2|Minor restricted activity days", US_national_yearly!$D:$AM, 19, FALSE) / VLOOKUP("buildings|SO2|Minor restricted activity days", US_national_yearly!$D:$AM, 10, FALSE), 1)</f>
        <v>2.5928168542444086</v>
      </c>
      <c r="L14" s="7">
        <f>$B14 * IFERROR(VLOOKUP("buildings|SO2|Minor restricted activity days", US_national_yearly!$D:$AM, 20, FALSE) / VLOOKUP("buildings|SO2|Minor restricted activity days", US_national_yearly!$D:$AM, 10, FALSE), 1)</f>
        <v>2.6086734203844437</v>
      </c>
      <c r="M14" s="7">
        <f>$B14 * IFERROR(VLOOKUP("buildings|SO2|Minor restricted activity days", US_national_yearly!$D:$AM, 21, FALSE) / VLOOKUP("buildings|SO2|Minor restricted activity days", US_national_yearly!$D:$AM, 10, FALSE), 1)</f>
        <v>2.6245299865244789</v>
      </c>
      <c r="N14" s="7">
        <f>$B14 * IFERROR(VLOOKUP("buildings|SO2|Minor restricted activity days", US_national_yearly!$D:$AM, 22, FALSE) / VLOOKUP("buildings|SO2|Minor restricted activity days", US_national_yearly!$D:$AM, 10, FALSE), 1)</f>
        <v>2.6462130074713031</v>
      </c>
      <c r="O14" s="7">
        <f>$B14 * IFERROR(VLOOKUP("buildings|SO2|Minor restricted activity days", US_national_yearly!$D:$AM, 23, FALSE) / VLOOKUP("buildings|SO2|Minor restricted activity days", US_national_yearly!$D:$AM, 10, FALSE), 1)</f>
        <v>2.6678960284181268</v>
      </c>
      <c r="P14" s="7">
        <f>$B14 * IFERROR(VLOOKUP("buildings|SO2|Minor restricted activity days", US_national_yearly!$D:$AM, 24, FALSE) / VLOOKUP("buildings|SO2|Minor restricted activity days", US_national_yearly!$D:$AM, 10, FALSE), 1)</f>
        <v>2.6895790493649505</v>
      </c>
      <c r="Q14" s="7">
        <f>$B14 * IFERROR(VLOOKUP("buildings|SO2|Minor restricted activity days", US_national_yearly!$D:$AM, 25, FALSE) / VLOOKUP("buildings|SO2|Minor restricted activity days", US_national_yearly!$D:$AM, 10, FALSE), 1)</f>
        <v>2.7112620703117742</v>
      </c>
      <c r="R14" s="7">
        <f>$B14 * IFERROR(VLOOKUP("buildings|SO2|Minor restricted activity days", US_national_yearly!$D:$AM, 26, FALSE) / VLOOKUP("buildings|SO2|Minor restricted activity days", US_national_yearly!$D:$AM, 10, FALSE), 1)</f>
        <v>2.7329450912585984</v>
      </c>
      <c r="S14" s="7">
        <f>$B14 * IFERROR(VLOOKUP("buildings|SO2|Minor restricted activity days", US_national_yearly!$D:$AM, 27, FALSE) / VLOOKUP("buildings|SO2|Minor restricted activity days", US_national_yearly!$D:$AM, 10, FALSE), 1)</f>
        <v>2.75504952341455</v>
      </c>
      <c r="T14" s="7">
        <f>$B14 * IFERROR(VLOOKUP("buildings|SO2|Minor restricted activity days", US_national_yearly!$D:$AM, 28, FALSE) / VLOOKUP("buildings|SO2|Minor restricted activity days", US_national_yearly!$D:$AM, 10, FALSE), 1)</f>
        <v>2.777153955570502</v>
      </c>
      <c r="U14" s="7">
        <f>$B14 * IFERROR(VLOOKUP("buildings|SO2|Minor restricted activity days", US_national_yearly!$D:$AM, 29, FALSE) / VLOOKUP("buildings|SO2|Minor restricted activity days", US_national_yearly!$D:$AM, 10, FALSE), 1)</f>
        <v>2.7992583877264541</v>
      </c>
      <c r="V14" s="7">
        <f>$B14 * IFERROR(VLOOKUP("buildings|SO2|Minor restricted activity days", US_national_yearly!$D:$AM, 30, FALSE) / VLOOKUP("buildings|SO2|Minor restricted activity days", US_national_yearly!$D:$AM, 10, FALSE), 1)</f>
        <v>2.8213628198824057</v>
      </c>
      <c r="W14" s="7">
        <f>$B14 * IFERROR(VLOOKUP("buildings|SO2|Minor restricted activity days", US_national_yearly!$D:$AM, 31, FALSE) / VLOOKUP("buildings|SO2|Minor restricted activity days", US_national_yearly!$D:$AM, 10, FALSE), 1)</f>
        <v>2.8434672520383582</v>
      </c>
      <c r="X14" s="7">
        <f>$B14 * IFERROR(VLOOKUP("buildings|SO2|Minor restricted activity days", US_national_yearly!$D:$AM, 32, FALSE) / VLOOKUP("buildings|SO2|Minor restricted activity days", US_national_yearly!$D:$AM, 10, FALSE), 1)</f>
        <v>2.8629068209144939</v>
      </c>
      <c r="Y14" s="7">
        <f>$B14 * IFERROR(VLOOKUP("buildings|SO2|Minor restricted activity days", US_national_yearly!$D:$AM, 33, FALSE) / VLOOKUP("buildings|SO2|Minor restricted activity days", US_national_yearly!$D:$AM, 10, FALSE), 1)</f>
        <v>2.8823463897906296</v>
      </c>
      <c r="Z14" s="7">
        <f>$B14 * IFERROR(VLOOKUP("buildings|SO2|Minor restricted activity days", US_national_yearly!$D:$AM, 34, FALSE) / VLOOKUP("buildings|SO2|Minor restricted activity days", US_national_yearly!$D:$AM, 10, FALSE), 1)</f>
        <v>2.9017859586667649</v>
      </c>
      <c r="AA14" s="7">
        <f>$B14 * IFERROR(VLOOKUP("buildings|SO2|Minor restricted activity days", US_national_yearly!$D:$AM, 35, FALSE) / VLOOKUP("buildings|SO2|Minor restricted activity days", US_national_yearly!$D:$AM, 10, FALSE), 1)</f>
        <v>2.9212255275429011</v>
      </c>
      <c r="AB14" s="7">
        <f>$B14 * IFERROR(VLOOKUP("buildings|SO2|Minor restricted activity days", US_national_yearly!$D:$AM, 36, FALSE) / VLOOKUP("buildings|SO2|Minor restricted activity days", US_national_yearly!$D:$AM, 10, FALSE), 1)</f>
        <v>2.9406650964190364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0.42238905515097053</v>
      </c>
      <c r="C15" s="7">
        <f>$B15 * IFERROR(VLOOKUP("buildings|SO2|Work loss days", US_national_yearly!$D:$AM, 11, FALSE) / VLOOKUP("buildings|SO2|Work loss days", US_national_yearly!$D:$AM, 10, FALSE), 1)</f>
        <v>0.42376139031241317</v>
      </c>
      <c r="D15" s="7">
        <f>$B15 * IFERROR(VLOOKUP("buildings|SO2|Work loss days", US_national_yearly!$D:$AM, 12, FALSE) / VLOOKUP("buildings|SO2|Work loss days", US_national_yearly!$D:$AM, 10, FALSE), 1)</f>
        <v>0.42513372547385581</v>
      </c>
      <c r="E15" s="7">
        <f>$B15 * IFERROR(VLOOKUP("buildings|SO2|Work loss days", US_national_yearly!$D:$AM, 13, FALSE) / VLOOKUP("buildings|SO2|Work loss days", US_national_yearly!$D:$AM, 10, FALSE), 1)</f>
        <v>0.42650606063529845</v>
      </c>
      <c r="F15" s="7">
        <f>$B15 * IFERROR(VLOOKUP("buildings|SO2|Work loss days", US_national_yearly!$D:$AM, 14, FALSE) / VLOOKUP("buildings|SO2|Work loss days", US_national_yearly!$D:$AM, 10, FALSE), 1)</f>
        <v>0.42787839579674097</v>
      </c>
      <c r="G15" s="7">
        <f>$B15 * IFERROR(VLOOKUP("buildings|SO2|Work loss days", US_national_yearly!$D:$AM, 15, FALSE) / VLOOKUP("buildings|SO2|Work loss days", US_national_yearly!$D:$AM, 10, FALSE), 1)</f>
        <v>0.42967074146072043</v>
      </c>
      <c r="H15" s="7">
        <f>$B15 * IFERROR(VLOOKUP("buildings|SO2|Work loss days", US_national_yearly!$D:$AM, 16, FALSE) / VLOOKUP("buildings|SO2|Work loss days", US_national_yearly!$D:$AM, 10, FALSE), 1)</f>
        <v>0.43146308712469994</v>
      </c>
      <c r="I15" s="7">
        <f>$B15 * IFERROR(VLOOKUP("buildings|SO2|Work loss days", US_national_yearly!$D:$AM, 17, FALSE) / VLOOKUP("buildings|SO2|Work loss days", US_national_yearly!$D:$AM, 10, FALSE), 1)</f>
        <v>0.43408359680690745</v>
      </c>
      <c r="J15" s="7">
        <f>$B15 * IFERROR(VLOOKUP("buildings|SO2|Work loss days", US_national_yearly!$D:$AM, 18, FALSE) / VLOOKUP("buildings|SO2|Work loss days", US_national_yearly!$D:$AM, 10, FALSE), 1)</f>
        <v>0.43670410648911479</v>
      </c>
      <c r="K15" s="7">
        <f>$B15 * IFERROR(VLOOKUP("buildings|SO2|Work loss days", US_national_yearly!$D:$AM, 19, FALSE) / VLOOKUP("buildings|SO2|Work loss days", US_national_yearly!$D:$AM, 10, FALSE), 1)</f>
        <v>0.43932461617132229</v>
      </c>
      <c r="L15" s="7">
        <f>$B15 * IFERROR(VLOOKUP("buildings|SO2|Work loss days", US_national_yearly!$D:$AM, 20, FALSE) / VLOOKUP("buildings|SO2|Work loss days", US_national_yearly!$D:$AM, 10, FALSE), 1)</f>
        <v>0.44194512585352963</v>
      </c>
      <c r="M15" s="7">
        <f>$B15 * IFERROR(VLOOKUP("buildings|SO2|Work loss days", US_national_yearly!$D:$AM, 21, FALSE) / VLOOKUP("buildings|SO2|Work loss days", US_national_yearly!$D:$AM, 10, FALSE), 1)</f>
        <v>0.44456563553573702</v>
      </c>
      <c r="N15" s="7">
        <f>$B15 * IFERROR(VLOOKUP("buildings|SO2|Work loss days", US_national_yearly!$D:$AM, 22, FALSE) / VLOOKUP("buildings|SO2|Work loss days", US_national_yearly!$D:$AM, 10, FALSE), 1)</f>
        <v>0.44785171174990873</v>
      </c>
      <c r="O15" s="7">
        <f>$B15 * IFERROR(VLOOKUP("buildings|SO2|Work loss days", US_national_yearly!$D:$AM, 23, FALSE) / VLOOKUP("buildings|SO2|Work loss days", US_national_yearly!$D:$AM, 10, FALSE), 1)</f>
        <v>0.45113778796408033</v>
      </c>
      <c r="P15" s="7">
        <f>$B15 * IFERROR(VLOOKUP("buildings|SO2|Work loss days", US_national_yearly!$D:$AM, 24, FALSE) / VLOOKUP("buildings|SO2|Work loss days", US_national_yearly!$D:$AM, 10, FALSE), 1)</f>
        <v>0.45442386417825192</v>
      </c>
      <c r="Q15" s="7">
        <f>$B15 * IFERROR(VLOOKUP("buildings|SO2|Work loss days", US_national_yearly!$D:$AM, 25, FALSE) / VLOOKUP("buildings|SO2|Work loss days", US_national_yearly!$D:$AM, 10, FALSE), 1)</f>
        <v>0.45770994039242358</v>
      </c>
      <c r="R15" s="7">
        <f>$B15 * IFERROR(VLOOKUP("buildings|SO2|Work loss days", US_national_yearly!$D:$AM, 26, FALSE) / VLOOKUP("buildings|SO2|Work loss days", US_national_yearly!$D:$AM, 10, FALSE), 1)</f>
        <v>0.46099601660659512</v>
      </c>
      <c r="S15" s="7">
        <f>$B15 * IFERROR(VLOOKUP("buildings|SO2|Work loss days", US_national_yearly!$D:$AM, 27, FALSE) / VLOOKUP("buildings|SO2|Work loss days", US_national_yearly!$D:$AM, 10, FALSE), 1)</f>
        <v>0.46466685158011034</v>
      </c>
      <c r="T15" s="7">
        <f>$B15 * IFERROR(VLOOKUP("buildings|SO2|Work loss days", US_national_yearly!$D:$AM, 28, FALSE) / VLOOKUP("buildings|SO2|Work loss days", US_national_yearly!$D:$AM, 10, FALSE), 1)</f>
        <v>0.46833768655362557</v>
      </c>
      <c r="U15" s="7">
        <f>$B15 * IFERROR(VLOOKUP("buildings|SO2|Work loss days", US_national_yearly!$D:$AM, 29, FALSE) / VLOOKUP("buildings|SO2|Work loss days", US_national_yearly!$D:$AM, 10, FALSE), 1)</f>
        <v>0.47200852152714079</v>
      </c>
      <c r="V15" s="7">
        <f>$B15 * IFERROR(VLOOKUP("buildings|SO2|Work loss days", US_national_yearly!$D:$AM, 30, FALSE) / VLOOKUP("buildings|SO2|Work loss days", US_national_yearly!$D:$AM, 10, FALSE), 1)</f>
        <v>0.4756793565006559</v>
      </c>
      <c r="W15" s="7">
        <f>$B15 * IFERROR(VLOOKUP("buildings|SO2|Work loss days", US_national_yearly!$D:$AM, 31, FALSE) / VLOOKUP("buildings|SO2|Work loss days", US_national_yearly!$D:$AM, 10, FALSE), 1)</f>
        <v>0.47935019147417113</v>
      </c>
      <c r="X15" s="7">
        <f>$B15 * IFERROR(VLOOKUP("buildings|SO2|Work loss days", US_national_yearly!$D:$AM, 32, FALSE) / VLOOKUP("buildings|SO2|Work loss days", US_national_yearly!$D:$AM, 10, FALSE), 1)</f>
        <v>0.48264616858457099</v>
      </c>
      <c r="Y15" s="7">
        <f>$B15 * IFERROR(VLOOKUP("buildings|SO2|Work loss days", US_national_yearly!$D:$AM, 33, FALSE) / VLOOKUP("buildings|SO2|Work loss days", US_national_yearly!$D:$AM, 10, FALSE), 1)</f>
        <v>0.4859421456949708</v>
      </c>
      <c r="Z15" s="7">
        <f>$B15 * IFERROR(VLOOKUP("buildings|SO2|Work loss days", US_national_yearly!$D:$AM, 34, FALSE) / VLOOKUP("buildings|SO2|Work loss days", US_national_yearly!$D:$AM, 10, FALSE), 1)</f>
        <v>0.48923812280537055</v>
      </c>
      <c r="AA15" s="7">
        <f>$B15 * IFERROR(VLOOKUP("buildings|SO2|Work loss days", US_national_yearly!$D:$AM, 35, FALSE) / VLOOKUP("buildings|SO2|Work loss days", US_national_yearly!$D:$AM, 10, FALSE), 1)</f>
        <v>0.49253409991577041</v>
      </c>
      <c r="AB15" s="7">
        <f>$B15 * IFERROR(VLOOKUP("buildings|SO2|Work loss days", US_national_yearly!$D:$AM, 36, FALSE) / VLOOKUP("buildings|SO2|Work loss days", US_national_yearly!$D:$AM, 10, FALSE), 1)</f>
        <v>0.4958300770261701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8.4406483147680185E-4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8.6959725115756561E-4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8.9512967083832937E-4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9.2066209051909335E-4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9.4619451019985711E-4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9.7065303889510603E-4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9.9511156759035484E-4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1.0160724774111139E-3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1.0370333872318724E-3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1.0579942970526314E-3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1.0789552068733901E-3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1.0999161166941487E-3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1.1139909475588426E-3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1.1280657784235363E-3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1.1421406092882302E-3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1.1562154401529238E-3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1.1702902710176175E-3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1.1776919272424944E-3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1.1850935834673713E-3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1.1924952396922483E-3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1.1998968959171252E-3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1.2072985521420019E-3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1.2122687809362467E-3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1.2172390097304915E-3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1.2222092385247363E-3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1.2271794673189812E-3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1.232149696113226E-3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6.4517255046664987E-2</v>
      </c>
      <c r="C2" s="7">
        <f>$B2 * IFERROR(VLOOKUP("industry|PM25|Premature mortality", US_national_yearly!$D:$AM, 11, FALSE) / VLOOKUP("industry|PM25|Premature mortality", US_national_yearly!$D:$AM, 10, FALSE), 1)</f>
        <v>6.5320705707576088E-2</v>
      </c>
      <c r="D2" s="7">
        <f>$B2 * IFERROR(VLOOKUP("industry|PM25|Premature mortality", US_national_yearly!$D:$AM, 12, FALSE) / VLOOKUP("industry|PM25|Premature mortality", US_national_yearly!$D:$AM, 10, FALSE), 1)</f>
        <v>6.6124156368487189E-2</v>
      </c>
      <c r="E2" s="7">
        <f>$B2 * IFERROR(VLOOKUP("industry|PM25|Premature mortality", US_national_yearly!$D:$AM, 13, FALSE) / VLOOKUP("industry|PM25|Premature mortality", US_national_yearly!$D:$AM, 10, FALSE), 1)</f>
        <v>6.6927607029398289E-2</v>
      </c>
      <c r="F2" s="7">
        <f>$B2 * IFERROR(VLOOKUP("industry|PM25|Premature mortality", US_national_yearly!$D:$AM, 14, FALSE) / VLOOKUP("industry|PM25|Premature mortality", US_national_yearly!$D:$AM, 10, FALSE), 1)</f>
        <v>6.7731057690309376E-2</v>
      </c>
      <c r="G2" s="7">
        <f>$B2 * IFERROR(VLOOKUP("industry|PM25|Premature mortality", US_national_yearly!$D:$AM, 15, FALSE) / VLOOKUP("industry|PM25|Premature mortality", US_national_yearly!$D:$AM, 10, FALSE), 1)</f>
        <v>6.9294158471557107E-2</v>
      </c>
      <c r="H2" s="7">
        <f>$B2 * IFERROR(VLOOKUP("industry|PM25|Premature mortality", US_national_yearly!$D:$AM, 16, FALSE) / VLOOKUP("industry|PM25|Premature mortality", US_national_yearly!$D:$AM, 10, FALSE), 1)</f>
        <v>7.0857259252804838E-2</v>
      </c>
      <c r="I2" s="7">
        <f>$B2 * IFERROR(VLOOKUP("industry|PM25|Premature mortality", US_national_yearly!$D:$AM, 17, FALSE) / VLOOKUP("industry|PM25|Premature mortality", US_national_yearly!$D:$AM, 10, FALSE), 1)</f>
        <v>7.1889369502409428E-2</v>
      </c>
      <c r="J2" s="7">
        <f>$B2 * IFERROR(VLOOKUP("industry|PM25|Premature mortality", US_national_yearly!$D:$AM, 18, FALSE) / VLOOKUP("industry|PM25|Premature mortality", US_national_yearly!$D:$AM, 10, FALSE), 1)</f>
        <v>7.2921479752014004E-2</v>
      </c>
      <c r="K2" s="7">
        <f>$B2 * IFERROR(VLOOKUP("industry|PM25|Premature mortality", US_national_yearly!$D:$AM, 19, FALSE) / VLOOKUP("industry|PM25|Premature mortality", US_national_yearly!$D:$AM, 10, FALSE), 1)</f>
        <v>7.3953590001618594E-2</v>
      </c>
      <c r="L2" s="7">
        <f>$B2 * IFERROR(VLOOKUP("industry|PM25|Premature mortality", US_national_yearly!$D:$AM, 20, FALSE) / VLOOKUP("industry|PM25|Premature mortality", US_national_yearly!$D:$AM, 10, FALSE), 1)</f>
        <v>7.498570025122317E-2</v>
      </c>
      <c r="M2" s="7">
        <f>$B2 * IFERROR(VLOOKUP("industry|PM25|Premature mortality", US_national_yearly!$D:$AM, 21, FALSE) / VLOOKUP("industry|PM25|Premature mortality", US_national_yearly!$D:$AM, 10, FALSE), 1)</f>
        <v>7.6017810500827773E-2</v>
      </c>
      <c r="N2" s="7">
        <f>$B2 * IFERROR(VLOOKUP("industry|PM25|Premature mortality", US_national_yearly!$D:$AM, 22, FALSE) / VLOOKUP("industry|PM25|Premature mortality", US_national_yearly!$D:$AM, 10, FALSE), 1)</f>
        <v>7.6821912627460923E-2</v>
      </c>
      <c r="O2" s="7">
        <f>$B2 * IFERROR(VLOOKUP("industry|PM25|Premature mortality", US_national_yearly!$D:$AM, 23, FALSE) / VLOOKUP("industry|PM25|Premature mortality", US_national_yearly!$D:$AM, 10, FALSE), 1)</f>
        <v>7.7626014754094058E-2</v>
      </c>
      <c r="P2" s="7">
        <f>$B2 * IFERROR(VLOOKUP("industry|PM25|Premature mortality", US_national_yearly!$D:$AM, 24, FALSE) / VLOOKUP("industry|PM25|Premature mortality", US_national_yearly!$D:$AM, 10, FALSE), 1)</f>
        <v>7.8430116880727208E-2</v>
      </c>
      <c r="Q2" s="7">
        <f>$B2 * IFERROR(VLOOKUP("industry|PM25|Premature mortality", US_national_yearly!$D:$AM, 25, FALSE) / VLOOKUP("industry|PM25|Premature mortality", US_national_yearly!$D:$AM, 10, FALSE), 1)</f>
        <v>7.9234219007360371E-2</v>
      </c>
      <c r="R2" s="7">
        <f>$B2 * IFERROR(VLOOKUP("industry|PM25|Premature mortality", US_national_yearly!$D:$AM, 26, FALSE) / VLOOKUP("industry|PM25|Premature mortality", US_national_yearly!$D:$AM, 10, FALSE), 1)</f>
        <v>8.0038321133993506E-2</v>
      </c>
      <c r="S2" s="7">
        <f>$B2 * IFERROR(VLOOKUP("industry|PM25|Premature mortality", US_national_yearly!$D:$AM, 27, FALSE) / VLOOKUP("industry|PM25|Premature mortality", US_national_yearly!$D:$AM, 10, FALSE), 1)</f>
        <v>8.0472506458449958E-2</v>
      </c>
      <c r="T2" s="7">
        <f>$B2 * IFERROR(VLOOKUP("industry|PM25|Premature mortality", US_national_yearly!$D:$AM, 28, FALSE) / VLOOKUP("industry|PM25|Premature mortality", US_national_yearly!$D:$AM, 10, FALSE), 1)</f>
        <v>8.0906691782906395E-2</v>
      </c>
      <c r="U2" s="7">
        <f>$B2 * IFERROR(VLOOKUP("industry|PM25|Premature mortality", US_national_yearly!$D:$AM, 29, FALSE) / VLOOKUP("industry|PM25|Premature mortality", US_national_yearly!$D:$AM, 10, FALSE), 1)</f>
        <v>8.1340877107362874E-2</v>
      </c>
      <c r="V2" s="7">
        <f>$B2 * IFERROR(VLOOKUP("industry|PM25|Premature mortality", US_national_yearly!$D:$AM, 30, FALSE) / VLOOKUP("industry|PM25|Premature mortality", US_national_yearly!$D:$AM, 10, FALSE), 1)</f>
        <v>8.1775062431819326E-2</v>
      </c>
      <c r="W2" s="7">
        <f>$B2 * IFERROR(VLOOKUP("industry|PM25|Premature mortality", US_national_yearly!$D:$AM, 31, FALSE) / VLOOKUP("industry|PM25|Premature mortality", US_national_yearly!$D:$AM, 10, FALSE), 1)</f>
        <v>8.2209247756275777E-2</v>
      </c>
      <c r="X2" s="7">
        <f>$B2 * IFERROR(VLOOKUP("industry|PM25|Premature mortality", US_national_yearly!$D:$AM, 32, FALSE) / VLOOKUP("industry|PM25|Premature mortality", US_national_yearly!$D:$AM, 10, FALSE), 1)</f>
        <v>8.2298891807301322E-2</v>
      </c>
      <c r="Y2" s="7">
        <f>$B2 * IFERROR(VLOOKUP("industry|PM25|Premature mortality", US_national_yearly!$D:$AM, 33, FALSE) / VLOOKUP("industry|PM25|Premature mortality", US_national_yearly!$D:$AM, 10, FALSE), 1)</f>
        <v>8.2388535858326908E-2</v>
      </c>
      <c r="Z2" s="7">
        <f>$B2 * IFERROR(VLOOKUP("industry|PM25|Premature mortality", US_national_yearly!$D:$AM, 34, FALSE) / VLOOKUP("industry|PM25|Premature mortality", US_national_yearly!$D:$AM, 10, FALSE), 1)</f>
        <v>8.2478179909352453E-2</v>
      </c>
      <c r="AA2" s="7">
        <f>$B2 * IFERROR(VLOOKUP("industry|PM25|Premature mortality", US_national_yearly!$D:$AM, 35, FALSE) / VLOOKUP("industry|PM25|Premature mortality", US_national_yearly!$D:$AM, 10, FALSE), 1)</f>
        <v>8.2567823960378026E-2</v>
      </c>
      <c r="AB2" s="7">
        <f>$B2 * IFERROR(VLOOKUP("industry|PM25|Premature mortality", US_national_yearly!$D:$AM, 36, FALSE) / VLOOKUP("industry|PM25|Premature mortality", US_national_yearly!$D:$AM, 10, FALSE), 1)</f>
        <v>8.2657468011403584E-2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1.2035256197701148E-4</v>
      </c>
      <c r="C3" s="7">
        <f>$B3 * IFERROR(VLOOKUP("industry|PM25|Infant mortality", US_national_yearly!$D:$AM, 11, FALSE) / VLOOKUP("industry|PM25|Infant mortality", US_national_yearly!$D:$AM, 10, FALSE), 1)</f>
        <v>1.1930467041127452E-4</v>
      </c>
      <c r="D3" s="7">
        <f>$B3 * IFERROR(VLOOKUP("industry|PM25|Infant mortality", US_national_yearly!$D:$AM, 12, FALSE) / VLOOKUP("industry|PM25|Infant mortality", US_national_yearly!$D:$AM, 10, FALSE), 1)</f>
        <v>1.1825677884553756E-4</v>
      </c>
      <c r="E3" s="7">
        <f>$B3 * IFERROR(VLOOKUP("industry|PM25|Infant mortality", US_national_yearly!$D:$AM, 13, FALSE) / VLOOKUP("industry|PM25|Infant mortality", US_national_yearly!$D:$AM, 10, FALSE), 1)</f>
        <v>1.1720888727980057E-4</v>
      </c>
      <c r="F3" s="7">
        <f>$B3 * IFERROR(VLOOKUP("industry|PM25|Infant mortality", US_national_yearly!$D:$AM, 14, FALSE) / VLOOKUP("industry|PM25|Infant mortality", US_national_yearly!$D:$AM, 10, FALSE), 1)</f>
        <v>1.1616099571406362E-4</v>
      </c>
      <c r="G3" s="7">
        <f>$B3 * IFERROR(VLOOKUP("industry|PM25|Infant mortality", US_national_yearly!$D:$AM, 15, FALSE) / VLOOKUP("industry|PM25|Infant mortality", US_national_yearly!$D:$AM, 10, FALSE), 1)</f>
        <v>7.7181431533636236E-5</v>
      </c>
      <c r="H3" s="7">
        <f>$B3 * IFERROR(VLOOKUP("industry|PM25|Infant mortality", US_national_yearly!$D:$AM, 16, FALSE) / VLOOKUP("industry|PM25|Infant mortality", US_national_yearly!$D:$AM, 10, FALSE), 1)</f>
        <v>3.8201867353208864E-5</v>
      </c>
      <c r="I3" s="7">
        <f>$B3 * IFERROR(VLOOKUP("industry|PM25|Infant mortality", US_national_yearly!$D:$AM, 17, FALSE) / VLOOKUP("industry|PM25|Infant mortality", US_national_yearly!$D:$AM, 10, FALSE), 1)</f>
        <v>3.794759624696047E-5</v>
      </c>
      <c r="J3" s="7">
        <f>$B3 * IFERROR(VLOOKUP("industry|PM25|Infant mortality", US_national_yearly!$D:$AM, 18, FALSE) / VLOOKUP("industry|PM25|Infant mortality", US_national_yearly!$D:$AM, 10, FALSE), 1)</f>
        <v>3.7693325140712077E-5</v>
      </c>
      <c r="K3" s="7">
        <f>$B3 * IFERROR(VLOOKUP("industry|PM25|Infant mortality", US_national_yearly!$D:$AM, 19, FALSE) / VLOOKUP("industry|PM25|Infant mortality", US_national_yearly!$D:$AM, 10, FALSE), 1)</f>
        <v>3.7439054034463676E-5</v>
      </c>
      <c r="L3" s="7">
        <f>$B3 * IFERROR(VLOOKUP("industry|PM25|Infant mortality", US_national_yearly!$D:$AM, 20, FALSE) / VLOOKUP("industry|PM25|Infant mortality", US_national_yearly!$D:$AM, 10, FALSE), 1)</f>
        <v>3.7184782928215276E-5</v>
      </c>
      <c r="M3" s="7">
        <f>$B3 * IFERROR(VLOOKUP("industry|PM25|Infant mortality", US_national_yearly!$D:$AM, 21, FALSE) / VLOOKUP("industry|PM25|Infant mortality", US_national_yearly!$D:$AM, 10, FALSE), 1)</f>
        <v>3.6930511821966889E-5</v>
      </c>
      <c r="N3" s="7">
        <f>$B3 * IFERROR(VLOOKUP("industry|PM25|Infant mortality", US_national_yearly!$D:$AM, 22, FALSE) / VLOOKUP("industry|PM25|Infant mortality", US_national_yearly!$D:$AM, 10, FALSE), 1)</f>
        <v>3.6768262095480116E-5</v>
      </c>
      <c r="O3" s="7">
        <f>$B3 * IFERROR(VLOOKUP("industry|PM25|Infant mortality", US_national_yearly!$D:$AM, 23, FALSE) / VLOOKUP("industry|PM25|Infant mortality", US_national_yearly!$D:$AM, 10, FALSE), 1)</f>
        <v>3.6606012368993357E-5</v>
      </c>
      <c r="P3" s="7">
        <f>$B3 * IFERROR(VLOOKUP("industry|PM25|Infant mortality", US_national_yearly!$D:$AM, 24, FALSE) / VLOOKUP("industry|PM25|Infant mortality", US_national_yearly!$D:$AM, 10, FALSE), 1)</f>
        <v>3.6443762642506597E-5</v>
      </c>
      <c r="Q3" s="7">
        <f>$B3 * IFERROR(VLOOKUP("industry|PM25|Infant mortality", US_national_yearly!$D:$AM, 25, FALSE) / VLOOKUP("industry|PM25|Infant mortality", US_national_yearly!$D:$AM, 10, FALSE), 1)</f>
        <v>3.6281512916019831E-5</v>
      </c>
      <c r="R3" s="7">
        <f>$B3 * IFERROR(VLOOKUP("industry|PM25|Infant mortality", US_national_yearly!$D:$AM, 26, FALSE) / VLOOKUP("industry|PM25|Infant mortality", US_national_yearly!$D:$AM, 10, FALSE), 1)</f>
        <v>3.6119263189533072E-5</v>
      </c>
      <c r="S3" s="7">
        <f>$B3 * IFERROR(VLOOKUP("industry|PM25|Infant mortality", US_national_yearly!$D:$AM, 27, FALSE) / VLOOKUP("industry|PM25|Infant mortality", US_national_yearly!$D:$AM, 10, FALSE), 1)</f>
        <v>3.5919710675542123E-5</v>
      </c>
      <c r="T3" s="7">
        <f>$B3 * IFERROR(VLOOKUP("industry|PM25|Infant mortality", US_national_yearly!$D:$AM, 28, FALSE) / VLOOKUP("industry|PM25|Infant mortality", US_national_yearly!$D:$AM, 10, FALSE), 1)</f>
        <v>3.5720158161551188E-5</v>
      </c>
      <c r="U3" s="7">
        <f>$B3 * IFERROR(VLOOKUP("industry|PM25|Infant mortality", US_national_yearly!$D:$AM, 29, FALSE) / VLOOKUP("industry|PM25|Infant mortality", US_national_yearly!$D:$AM, 10, FALSE), 1)</f>
        <v>3.5520605647560239E-5</v>
      </c>
      <c r="V3" s="7">
        <f>$B3 * IFERROR(VLOOKUP("industry|PM25|Infant mortality", US_national_yearly!$D:$AM, 30, FALSE) / VLOOKUP("industry|PM25|Infant mortality", US_national_yearly!$D:$AM, 10, FALSE), 1)</f>
        <v>3.5321053133569297E-5</v>
      </c>
      <c r="W3" s="7">
        <f>$B3 * IFERROR(VLOOKUP("industry|PM25|Infant mortality", US_national_yearly!$D:$AM, 31, FALSE) / VLOOKUP("industry|PM25|Infant mortality", US_national_yearly!$D:$AM, 10, FALSE), 1)</f>
        <v>3.5121500619578362E-5</v>
      </c>
      <c r="X3" s="7">
        <f>$B3 * IFERROR(VLOOKUP("industry|PM25|Infant mortality", US_national_yearly!$D:$AM, 32, FALSE) / VLOOKUP("industry|PM25|Infant mortality", US_national_yearly!$D:$AM, 10, FALSE), 1)</f>
        <v>3.4908253753756341E-5</v>
      </c>
      <c r="Y3" s="7">
        <f>$B3 * IFERROR(VLOOKUP("industry|PM25|Infant mortality", US_national_yearly!$D:$AM, 33, FALSE) / VLOOKUP("industry|PM25|Infant mortality", US_national_yearly!$D:$AM, 10, FALSE), 1)</f>
        <v>3.469500688793432E-5</v>
      </c>
      <c r="Z3" s="7">
        <f>$B3 * IFERROR(VLOOKUP("industry|PM25|Infant mortality", US_national_yearly!$D:$AM, 34, FALSE) / VLOOKUP("industry|PM25|Infant mortality", US_national_yearly!$D:$AM, 10, FALSE), 1)</f>
        <v>3.44817600221123E-5</v>
      </c>
      <c r="AA3" s="7">
        <f>$B3 * IFERROR(VLOOKUP("industry|PM25|Infant mortality", US_national_yearly!$D:$AM, 35, FALSE) / VLOOKUP("industry|PM25|Infant mortality", US_national_yearly!$D:$AM, 10, FALSE), 1)</f>
        <v>3.4268513156290285E-5</v>
      </c>
      <c r="AB3" s="7">
        <f>$B3 * IFERROR(VLOOKUP("industry|PM25|Infant mortality", US_national_yearly!$D:$AM, 36, FALSE) / VLOOKUP("industry|PM25|Infant mortality", US_national_yearly!$D:$AM, 10, FALSE), 1)</f>
        <v>3.4055266290468265E-5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0.17502496722490216</v>
      </c>
      <c r="C6" s="7">
        <f>$B6 * IFERROR(VLOOKUP("industry|PM25|Asthma symptoms cough", US_national_yearly!$D:$AM, 11, FALSE) / VLOOKUP("industry|PM25|Asthma symptoms cough", US_national_yearly!$D:$AM, 10, FALSE), 1)</f>
        <v>0.17502496722490216</v>
      </c>
      <c r="D6" s="7">
        <f>$B6 * IFERROR(VLOOKUP("industry|PM25|Asthma symptoms cough", US_national_yearly!$D:$AM, 12, FALSE) / VLOOKUP("industry|PM25|Asthma symptoms cough", US_national_yearly!$D:$AM, 10, FALSE), 1)</f>
        <v>0.17502496722490216</v>
      </c>
      <c r="E6" s="7">
        <f>$B6 * IFERROR(VLOOKUP("industry|PM25|Asthma symptoms cough", US_national_yearly!$D:$AM, 13, FALSE) / VLOOKUP("industry|PM25|Asthma symptoms cough", US_national_yearly!$D:$AM, 10, FALSE), 1)</f>
        <v>0.17502496722490216</v>
      </c>
      <c r="F6" s="7">
        <f>$B6 * IFERROR(VLOOKUP("industry|PM25|Asthma symptoms cough", US_national_yearly!$D:$AM, 14, FALSE) / VLOOKUP("industry|PM25|Asthma symptoms cough", US_national_yearly!$D:$AM, 10, FALSE), 1)</f>
        <v>0.17502496722490216</v>
      </c>
      <c r="G6" s="7">
        <f>$B6 * IFERROR(VLOOKUP("industry|PM25|Asthma symptoms cough", US_national_yearly!$D:$AM, 15, FALSE) / VLOOKUP("industry|PM25|Asthma symptoms cough", US_national_yearly!$D:$AM, 10, FALSE), 1)</f>
        <v>0.17502496722490216</v>
      </c>
      <c r="H6" s="7">
        <f>$B6 * IFERROR(VLOOKUP("industry|PM25|Asthma symptoms cough", US_national_yearly!$D:$AM, 16, FALSE) / VLOOKUP("industry|PM25|Asthma symptoms cough", US_national_yearly!$D:$AM, 10, FALSE), 1)</f>
        <v>0.17502496722490216</v>
      </c>
      <c r="I6" s="7">
        <f>$B6 * IFERROR(VLOOKUP("industry|PM25|Asthma symptoms cough", US_national_yearly!$D:$AM, 17, FALSE) / VLOOKUP("industry|PM25|Asthma symptoms cough", US_national_yearly!$D:$AM, 10, FALSE), 1)</f>
        <v>0.17502496722490216</v>
      </c>
      <c r="J6" s="7">
        <f>$B6 * IFERROR(VLOOKUP("industry|PM25|Asthma symptoms cough", US_national_yearly!$D:$AM, 18, FALSE) / VLOOKUP("industry|PM25|Asthma symptoms cough", US_national_yearly!$D:$AM, 10, FALSE), 1)</f>
        <v>0.17502496722490216</v>
      </c>
      <c r="K6" s="7">
        <f>$B6 * IFERROR(VLOOKUP("industry|PM25|Asthma symptoms cough", US_national_yearly!$D:$AM, 19, FALSE) / VLOOKUP("industry|PM25|Asthma symptoms cough", US_national_yearly!$D:$AM, 10, FALSE), 1)</f>
        <v>0.17502496722490216</v>
      </c>
      <c r="L6" s="7">
        <f>$B6 * IFERROR(VLOOKUP("industry|PM25|Asthma symptoms cough", US_national_yearly!$D:$AM, 20, FALSE) / VLOOKUP("industry|PM25|Asthma symptoms cough", US_national_yearly!$D:$AM, 10, FALSE), 1)</f>
        <v>0.17502496722490216</v>
      </c>
      <c r="M6" s="7">
        <f>$B6 * IFERROR(VLOOKUP("industry|PM25|Asthma symptoms cough", US_national_yearly!$D:$AM, 21, FALSE) / VLOOKUP("industry|PM25|Asthma symptoms cough", US_national_yearly!$D:$AM, 10, FALSE), 1)</f>
        <v>0.17502496722490216</v>
      </c>
      <c r="N6" s="7">
        <f>$B6 * IFERROR(VLOOKUP("industry|PM25|Asthma symptoms cough", US_national_yearly!$D:$AM, 22, FALSE) / VLOOKUP("industry|PM25|Asthma symptoms cough", US_national_yearly!$D:$AM, 10, FALSE), 1)</f>
        <v>0.17502496722490216</v>
      </c>
      <c r="O6" s="7">
        <f>$B6 * IFERROR(VLOOKUP("industry|PM25|Asthma symptoms cough", US_national_yearly!$D:$AM, 23, FALSE) / VLOOKUP("industry|PM25|Asthma symptoms cough", US_national_yearly!$D:$AM, 10, FALSE), 1)</f>
        <v>0.17502496722490216</v>
      </c>
      <c r="P6" s="7">
        <f>$B6 * IFERROR(VLOOKUP("industry|PM25|Asthma symptoms cough", US_national_yearly!$D:$AM, 24, FALSE) / VLOOKUP("industry|PM25|Asthma symptoms cough", US_national_yearly!$D:$AM, 10, FALSE), 1)</f>
        <v>0.17502496722490216</v>
      </c>
      <c r="Q6" s="7">
        <f>$B6 * IFERROR(VLOOKUP("industry|PM25|Asthma symptoms cough", US_national_yearly!$D:$AM, 25, FALSE) / VLOOKUP("industry|PM25|Asthma symptoms cough", US_national_yearly!$D:$AM, 10, FALSE), 1)</f>
        <v>0.17502496722490216</v>
      </c>
      <c r="R6" s="7">
        <f>$B6 * IFERROR(VLOOKUP("industry|PM25|Asthma symptoms cough", US_national_yearly!$D:$AM, 26, FALSE) / VLOOKUP("industry|PM25|Asthma symptoms cough", US_national_yearly!$D:$AM, 10, FALSE), 1)</f>
        <v>0.17502496722490216</v>
      </c>
      <c r="S6" s="7">
        <f>$B6 * IFERROR(VLOOKUP("industry|PM25|Asthma symptoms cough", US_national_yearly!$D:$AM, 27, FALSE) / VLOOKUP("industry|PM25|Asthma symptoms cough", US_national_yearly!$D:$AM, 10, FALSE), 1)</f>
        <v>0.17502496722490216</v>
      </c>
      <c r="T6" s="7">
        <f>$B6 * IFERROR(VLOOKUP("industry|PM25|Asthma symptoms cough", US_national_yearly!$D:$AM, 28, FALSE) / VLOOKUP("industry|PM25|Asthma symptoms cough", US_national_yearly!$D:$AM, 10, FALSE), 1)</f>
        <v>0.17502496722490216</v>
      </c>
      <c r="U6" s="7">
        <f>$B6 * IFERROR(VLOOKUP("industry|PM25|Asthma symptoms cough", US_national_yearly!$D:$AM, 29, FALSE) / VLOOKUP("industry|PM25|Asthma symptoms cough", US_national_yearly!$D:$AM, 10, FALSE), 1)</f>
        <v>0.17502496722490216</v>
      </c>
      <c r="V6" s="7">
        <f>$B6 * IFERROR(VLOOKUP("industry|PM25|Asthma symptoms cough", US_national_yearly!$D:$AM, 30, FALSE) / VLOOKUP("industry|PM25|Asthma symptoms cough", US_national_yearly!$D:$AM, 10, FALSE), 1)</f>
        <v>0.17502496722490216</v>
      </c>
      <c r="W6" s="7">
        <f>$B6 * IFERROR(VLOOKUP("industry|PM25|Asthma symptoms cough", US_national_yearly!$D:$AM, 31, FALSE) / VLOOKUP("industry|PM25|Asthma symptoms cough", US_national_yearly!$D:$AM, 10, FALSE), 1)</f>
        <v>0.17502496722490216</v>
      </c>
      <c r="X6" s="7">
        <f>$B6 * IFERROR(VLOOKUP("industry|PM25|Asthma symptoms cough", US_national_yearly!$D:$AM, 32, FALSE) / VLOOKUP("industry|PM25|Asthma symptoms cough", US_national_yearly!$D:$AM, 10, FALSE), 1)</f>
        <v>0.17502496722490216</v>
      </c>
      <c r="Y6" s="7">
        <f>$B6 * IFERROR(VLOOKUP("industry|PM25|Asthma symptoms cough", US_national_yearly!$D:$AM, 33, FALSE) / VLOOKUP("industry|PM25|Asthma symptoms cough", US_national_yearly!$D:$AM, 10, FALSE), 1)</f>
        <v>0.17502496722490216</v>
      </c>
      <c r="Z6" s="7">
        <f>$B6 * IFERROR(VLOOKUP("industry|PM25|Asthma symptoms cough", US_national_yearly!$D:$AM, 34, FALSE) / VLOOKUP("industry|PM25|Asthma symptoms cough", US_national_yearly!$D:$AM, 10, FALSE), 1)</f>
        <v>0.17502496722490216</v>
      </c>
      <c r="AA6" s="7">
        <f>$B6 * IFERROR(VLOOKUP("industry|PM25|Asthma symptoms cough", US_national_yearly!$D:$AM, 35, FALSE) / VLOOKUP("industry|PM25|Asthma symptoms cough", US_national_yearly!$D:$AM, 10, FALSE), 1)</f>
        <v>0.17502496722490216</v>
      </c>
      <c r="AB6" s="7">
        <f>$B6 * IFERROR(VLOOKUP("industry|PM25|Asthma symptoms cough", US_national_yearly!$D:$AM, 36, FALSE) / VLOOKUP("industry|PM25|Asthma symptoms cough", US_national_yearly!$D:$AM, 10, FALSE), 1)</f>
        <v>0.17502496722490216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0.23568339729170934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0.23568339729170934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0.23568339729170934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0.23568339729170934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0.23568339729170934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0.23568339729170934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0.23568339729170934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0.23568339729170934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0.23568339729170934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0.23568339729170934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0.23568339729170934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0.23568339729170934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0.23568339729170934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0.23568339729170934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0.23568339729170934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0.23568339729170934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0.23568339729170934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0.23568339729170934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0.23568339729170934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0.23568339729170934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0.23568339729170934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0.23568339729170934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0.23568339729170934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0.23568339729170934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0.23568339729170934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0.23568339729170934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0.23568339729170934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0.36013104552682335</v>
      </c>
      <c r="C8" s="7">
        <f>$B8 * IFERROR(VLOOKUP("industry|PM25|Asthma symptoms wheeze", US_national_yearly!$D:$AM, 11, FALSE) / VLOOKUP("industry|PM25|Asthma symptoms wheeze", US_national_yearly!$D:$AM, 10, FALSE), 1)</f>
        <v>0.36013104552682335</v>
      </c>
      <c r="D8" s="7">
        <f>$B8 * IFERROR(VLOOKUP("industry|PM25|Asthma symptoms wheeze", US_national_yearly!$D:$AM, 12, FALSE) / VLOOKUP("industry|PM25|Asthma symptoms wheeze", US_national_yearly!$D:$AM, 10, FALSE), 1)</f>
        <v>0.36013104552682335</v>
      </c>
      <c r="E8" s="7">
        <f>$B8 * IFERROR(VLOOKUP("industry|PM25|Asthma symptoms wheeze", US_national_yearly!$D:$AM, 13, FALSE) / VLOOKUP("industry|PM25|Asthma symptoms wheeze", US_national_yearly!$D:$AM, 10, FALSE), 1)</f>
        <v>0.36013104552682335</v>
      </c>
      <c r="F8" s="7">
        <f>$B8 * IFERROR(VLOOKUP("industry|PM25|Asthma symptoms wheeze", US_national_yearly!$D:$AM, 14, FALSE) / VLOOKUP("industry|PM25|Asthma symptoms wheeze", US_national_yearly!$D:$AM, 10, FALSE), 1)</f>
        <v>0.36013104552682335</v>
      </c>
      <c r="G8" s="7">
        <f>$B8 * IFERROR(VLOOKUP("industry|PM25|Asthma symptoms wheeze", US_national_yearly!$D:$AM, 15, FALSE) / VLOOKUP("industry|PM25|Asthma symptoms wheeze", US_national_yearly!$D:$AM, 10, FALSE), 1)</f>
        <v>0.36013104552682335</v>
      </c>
      <c r="H8" s="7">
        <f>$B8 * IFERROR(VLOOKUP("industry|PM25|Asthma symptoms wheeze", US_national_yearly!$D:$AM, 16, FALSE) / VLOOKUP("industry|PM25|Asthma symptoms wheeze", US_national_yearly!$D:$AM, 10, FALSE), 1)</f>
        <v>0.36013104552682335</v>
      </c>
      <c r="I8" s="7">
        <f>$B8 * IFERROR(VLOOKUP("industry|PM25|Asthma symptoms wheeze", US_national_yearly!$D:$AM, 17, FALSE) / VLOOKUP("industry|PM25|Asthma symptoms wheeze", US_national_yearly!$D:$AM, 10, FALSE), 1)</f>
        <v>0.36013104552682335</v>
      </c>
      <c r="J8" s="7">
        <f>$B8 * IFERROR(VLOOKUP("industry|PM25|Asthma symptoms wheeze", US_national_yearly!$D:$AM, 18, FALSE) / VLOOKUP("industry|PM25|Asthma symptoms wheeze", US_national_yearly!$D:$AM, 10, FALSE), 1)</f>
        <v>0.36013104552682335</v>
      </c>
      <c r="K8" s="7">
        <f>$B8 * IFERROR(VLOOKUP("industry|PM25|Asthma symptoms wheeze", US_national_yearly!$D:$AM, 19, FALSE) / VLOOKUP("industry|PM25|Asthma symptoms wheeze", US_national_yearly!$D:$AM, 10, FALSE), 1)</f>
        <v>0.36013104552682335</v>
      </c>
      <c r="L8" s="7">
        <f>$B8 * IFERROR(VLOOKUP("industry|PM25|Asthma symptoms wheeze", US_national_yearly!$D:$AM, 20, FALSE) / VLOOKUP("industry|PM25|Asthma symptoms wheeze", US_national_yearly!$D:$AM, 10, FALSE), 1)</f>
        <v>0.36013104552682335</v>
      </c>
      <c r="M8" s="7">
        <f>$B8 * IFERROR(VLOOKUP("industry|PM25|Asthma symptoms wheeze", US_national_yearly!$D:$AM, 21, FALSE) / VLOOKUP("industry|PM25|Asthma symptoms wheeze", US_national_yearly!$D:$AM, 10, FALSE), 1)</f>
        <v>0.36013104552682335</v>
      </c>
      <c r="N8" s="7">
        <f>$B8 * IFERROR(VLOOKUP("industry|PM25|Asthma symptoms wheeze", US_national_yearly!$D:$AM, 22, FALSE) / VLOOKUP("industry|PM25|Asthma symptoms wheeze", US_national_yearly!$D:$AM, 10, FALSE), 1)</f>
        <v>0.36013104552682335</v>
      </c>
      <c r="O8" s="7">
        <f>$B8 * IFERROR(VLOOKUP("industry|PM25|Asthma symptoms wheeze", US_national_yearly!$D:$AM, 23, FALSE) / VLOOKUP("industry|PM25|Asthma symptoms wheeze", US_national_yearly!$D:$AM, 10, FALSE), 1)</f>
        <v>0.36013104552682335</v>
      </c>
      <c r="P8" s="7">
        <f>$B8 * IFERROR(VLOOKUP("industry|PM25|Asthma symptoms wheeze", US_national_yearly!$D:$AM, 24, FALSE) / VLOOKUP("industry|PM25|Asthma symptoms wheeze", US_national_yearly!$D:$AM, 10, FALSE), 1)</f>
        <v>0.36013104552682335</v>
      </c>
      <c r="Q8" s="7">
        <f>$B8 * IFERROR(VLOOKUP("industry|PM25|Asthma symptoms wheeze", US_national_yearly!$D:$AM, 25, FALSE) / VLOOKUP("industry|PM25|Asthma symptoms wheeze", US_national_yearly!$D:$AM, 10, FALSE), 1)</f>
        <v>0.36013104552682335</v>
      </c>
      <c r="R8" s="7">
        <f>$B8 * IFERROR(VLOOKUP("industry|PM25|Asthma symptoms wheeze", US_national_yearly!$D:$AM, 26, FALSE) / VLOOKUP("industry|PM25|Asthma symptoms wheeze", US_national_yearly!$D:$AM, 10, FALSE), 1)</f>
        <v>0.36013104552682335</v>
      </c>
      <c r="S8" s="7">
        <f>$B8 * IFERROR(VLOOKUP("industry|PM25|Asthma symptoms wheeze", US_national_yearly!$D:$AM, 27, FALSE) / VLOOKUP("industry|PM25|Asthma symptoms wheeze", US_national_yearly!$D:$AM, 10, FALSE), 1)</f>
        <v>0.36013104552682335</v>
      </c>
      <c r="T8" s="7">
        <f>$B8 * IFERROR(VLOOKUP("industry|PM25|Asthma symptoms wheeze", US_national_yearly!$D:$AM, 28, FALSE) / VLOOKUP("industry|PM25|Asthma symptoms wheeze", US_national_yearly!$D:$AM, 10, FALSE), 1)</f>
        <v>0.36013104552682335</v>
      </c>
      <c r="U8" s="7">
        <f>$B8 * IFERROR(VLOOKUP("industry|PM25|Asthma symptoms wheeze", US_national_yearly!$D:$AM, 29, FALSE) / VLOOKUP("industry|PM25|Asthma symptoms wheeze", US_national_yearly!$D:$AM, 10, FALSE), 1)</f>
        <v>0.36013104552682335</v>
      </c>
      <c r="V8" s="7">
        <f>$B8 * IFERROR(VLOOKUP("industry|PM25|Asthma symptoms wheeze", US_national_yearly!$D:$AM, 30, FALSE) / VLOOKUP("industry|PM25|Asthma symptoms wheeze", US_national_yearly!$D:$AM, 10, FALSE), 1)</f>
        <v>0.36013104552682335</v>
      </c>
      <c r="W8" s="7">
        <f>$B8 * IFERROR(VLOOKUP("industry|PM25|Asthma symptoms wheeze", US_national_yearly!$D:$AM, 31, FALSE) / VLOOKUP("industry|PM25|Asthma symptoms wheeze", US_national_yearly!$D:$AM, 10, FALSE), 1)</f>
        <v>0.36013104552682335</v>
      </c>
      <c r="X8" s="7">
        <f>$B8 * IFERROR(VLOOKUP("industry|PM25|Asthma symptoms wheeze", US_national_yearly!$D:$AM, 32, FALSE) / VLOOKUP("industry|PM25|Asthma symptoms wheeze", US_national_yearly!$D:$AM, 10, FALSE), 1)</f>
        <v>0.36013104552682335</v>
      </c>
      <c r="Y8" s="7">
        <f>$B8 * IFERROR(VLOOKUP("industry|PM25|Asthma symptoms wheeze", US_national_yearly!$D:$AM, 33, FALSE) / VLOOKUP("industry|PM25|Asthma symptoms wheeze", US_national_yearly!$D:$AM, 10, FALSE), 1)</f>
        <v>0.36013104552682335</v>
      </c>
      <c r="Z8" s="7">
        <f>$B8 * IFERROR(VLOOKUP("industry|PM25|Asthma symptoms wheeze", US_national_yearly!$D:$AM, 34, FALSE) / VLOOKUP("industry|PM25|Asthma symptoms wheeze", US_national_yearly!$D:$AM, 10, FALSE), 1)</f>
        <v>0.36013104552682335</v>
      </c>
      <c r="AA8" s="7">
        <f>$B8 * IFERROR(VLOOKUP("industry|PM25|Asthma symptoms wheeze", US_national_yearly!$D:$AM, 35, FALSE) / VLOOKUP("industry|PM25|Asthma symptoms wheeze", US_national_yearly!$D:$AM, 10, FALSE), 1)</f>
        <v>0.36013104552682335</v>
      </c>
      <c r="AB8" s="7">
        <f>$B8 * IFERROR(VLOOKUP("industry|PM25|Asthma symptoms wheeze", US_national_yearly!$D:$AM, 36, FALSE) / VLOOKUP("industry|PM25|Asthma symptoms wheeze", US_national_yearly!$D:$AM, 10, FALSE), 1)</f>
        <v>0.36013104552682335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4.3604179906528645E-3</v>
      </c>
      <c r="C12" s="7">
        <f>$B12 * IFERROR(VLOOKUP("industry|PM25|Respiratory hospital admissions", US_national_yearly!$D:$AM, 11, FALSE) / VLOOKUP("industry|PM25|Respiratory hospital admissions", US_national_yearly!$D:$AM, 10, FALSE), 1)</f>
        <v>4.3851745413728063E-3</v>
      </c>
      <c r="D12" s="7">
        <f>$B12 * IFERROR(VLOOKUP("industry|PM25|Respiratory hospital admissions", US_national_yearly!$D:$AM, 12, FALSE) / VLOOKUP("industry|PM25|Respiratory hospital admissions", US_national_yearly!$D:$AM, 10, FALSE), 1)</f>
        <v>4.409931092092749E-3</v>
      </c>
      <c r="E12" s="7">
        <f>$B12 * IFERROR(VLOOKUP("industry|PM25|Respiratory hospital admissions", US_national_yearly!$D:$AM, 13, FALSE) / VLOOKUP("industry|PM25|Respiratory hospital admissions", US_national_yearly!$D:$AM, 10, FALSE), 1)</f>
        <v>4.4346876428126908E-3</v>
      </c>
      <c r="F12" s="7">
        <f>$B12 * IFERROR(VLOOKUP("industry|PM25|Respiratory hospital admissions", US_national_yearly!$D:$AM, 14, FALSE) / VLOOKUP("industry|PM25|Respiratory hospital admissions", US_national_yearly!$D:$AM, 10, FALSE), 1)</f>
        <v>4.4594441935326343E-3</v>
      </c>
      <c r="G12" s="7">
        <f>$B12 * IFERROR(VLOOKUP("industry|PM25|Respiratory hospital admissions", US_national_yearly!$D:$AM, 15, FALSE) / VLOOKUP("industry|PM25|Respiratory hospital admissions", US_national_yearly!$D:$AM, 10, FALSE), 1)</f>
        <v>4.4862106944851638E-3</v>
      </c>
      <c r="H12" s="7">
        <f>$B12 * IFERROR(VLOOKUP("industry|PM25|Respiratory hospital admissions", US_national_yearly!$D:$AM, 16, FALSE) / VLOOKUP("industry|PM25|Respiratory hospital admissions", US_national_yearly!$D:$AM, 10, FALSE), 1)</f>
        <v>4.5129771954376934E-3</v>
      </c>
      <c r="I12" s="7">
        <f>$B12 * IFERROR(VLOOKUP("industry|PM25|Respiratory hospital admissions", US_national_yearly!$D:$AM, 17, FALSE) / VLOOKUP("industry|PM25|Respiratory hospital admissions", US_national_yearly!$D:$AM, 10, FALSE), 1)</f>
        <v>4.5383685889896323E-3</v>
      </c>
      <c r="J12" s="7">
        <f>$B12 * IFERROR(VLOOKUP("industry|PM25|Respiratory hospital admissions", US_national_yearly!$D:$AM, 18, FALSE) / VLOOKUP("industry|PM25|Respiratory hospital admissions", US_national_yearly!$D:$AM, 10, FALSE), 1)</f>
        <v>4.5637599825415704E-3</v>
      </c>
      <c r="K12" s="7">
        <f>$B12 * IFERROR(VLOOKUP("industry|PM25|Respiratory hospital admissions", US_national_yearly!$D:$AM, 19, FALSE) / VLOOKUP("industry|PM25|Respiratory hospital admissions", US_national_yearly!$D:$AM, 10, FALSE), 1)</f>
        <v>4.5891513760935075E-3</v>
      </c>
      <c r="L12" s="7">
        <f>$B12 * IFERROR(VLOOKUP("industry|PM25|Respiratory hospital admissions", US_national_yearly!$D:$AM, 20, FALSE) / VLOOKUP("industry|PM25|Respiratory hospital admissions", US_national_yearly!$D:$AM, 10, FALSE), 1)</f>
        <v>4.6145427696454456E-3</v>
      </c>
      <c r="M12" s="7">
        <f>$B12 * IFERROR(VLOOKUP("industry|PM25|Respiratory hospital admissions", US_national_yearly!$D:$AM, 21, FALSE) / VLOOKUP("industry|PM25|Respiratory hospital admissions", US_national_yearly!$D:$AM, 10, FALSE), 1)</f>
        <v>4.6399341631973845E-3</v>
      </c>
      <c r="N12" s="7">
        <f>$B12 * IFERROR(VLOOKUP("industry|PM25|Respiratory hospital admissions", US_national_yearly!$D:$AM, 22, FALSE) / VLOOKUP("industry|PM25|Respiratory hospital admissions", US_national_yearly!$D:$AM, 10, FALSE), 1)</f>
        <v>4.6578927845832953E-3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4.6758514059692044E-3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4.6938100273551152E-3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4.7117686487410252E-3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4.729727270126936E-3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4.7466654251318314E-3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4.7636035801367259E-3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4.7805417351416213E-3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4.7974798901465167E-3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4.8144180451514121E-3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4.8307270258463987E-3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4.8470360065413854E-3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4.863344987236372E-3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4.8796539679313595E-3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4.8959629486263461E-3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3.0936961030700864E-2</v>
      </c>
      <c r="C13" s="7">
        <f>$B13 * IFERROR(VLOOKUP("industry|PM25|Non-fatal heart attacks", US_national_yearly!$D:$AM, 11, FALSE) / VLOOKUP("industry|PM25|Non-fatal heart attacks", US_national_yearly!$D:$AM, 10, FALSE), 1)</f>
        <v>3.1837544078158656E-2</v>
      </c>
      <c r="D13" s="7">
        <f>$B13 * IFERROR(VLOOKUP("industry|PM25|Non-fatal heart attacks", US_national_yearly!$D:$AM, 12, FALSE) / VLOOKUP("industry|PM25|Non-fatal heart attacks", US_national_yearly!$D:$AM, 10, FALSE), 1)</f>
        <v>3.273812712561644E-2</v>
      </c>
      <c r="E13" s="7">
        <f>$B13 * IFERROR(VLOOKUP("industry|PM25|Non-fatal heart attacks", US_national_yearly!$D:$AM, 13, FALSE) / VLOOKUP("industry|PM25|Non-fatal heart attacks", US_national_yearly!$D:$AM, 10, FALSE), 1)</f>
        <v>3.3638710173074238E-2</v>
      </c>
      <c r="F13" s="7">
        <f>$B13 * IFERROR(VLOOKUP("industry|PM25|Non-fatal heart attacks", US_national_yearly!$D:$AM, 14, FALSE) / VLOOKUP("industry|PM25|Non-fatal heart attacks", US_national_yearly!$D:$AM, 10, FALSE), 1)</f>
        <v>3.4539293220532029E-2</v>
      </c>
      <c r="G13" s="7">
        <f>$B13 * IFERROR(VLOOKUP("industry|PM25|Non-fatal heart attacks", US_national_yearly!$D:$AM, 15, FALSE) / VLOOKUP("industry|PM25|Non-fatal heart attacks", US_national_yearly!$D:$AM, 10, FALSE), 1)</f>
        <v>3.5389506940233594E-2</v>
      </c>
      <c r="H13" s="7">
        <f>$B13 * IFERROR(VLOOKUP("industry|PM25|Non-fatal heart attacks", US_national_yearly!$D:$AM, 16, FALSE) / VLOOKUP("industry|PM25|Non-fatal heart attacks", US_national_yearly!$D:$AM, 10, FALSE), 1)</f>
        <v>3.6239720659935172E-2</v>
      </c>
      <c r="I13" s="7">
        <f>$B13 * IFERROR(VLOOKUP("industry|PM25|Non-fatal heart attacks", US_national_yearly!$D:$AM, 17, FALSE) / VLOOKUP("industry|PM25|Non-fatal heart attacks", US_national_yearly!$D:$AM, 10, FALSE), 1)</f>
        <v>3.692627609051545E-2</v>
      </c>
      <c r="J13" s="7">
        <f>$B13 * IFERROR(VLOOKUP("industry|PM25|Non-fatal heart attacks", US_national_yearly!$D:$AM, 18, FALSE) / VLOOKUP("industry|PM25|Non-fatal heart attacks", US_national_yearly!$D:$AM, 10, FALSE), 1)</f>
        <v>3.7612831521095715E-2</v>
      </c>
      <c r="K13" s="7">
        <f>$B13 * IFERROR(VLOOKUP("industry|PM25|Non-fatal heart attacks", US_national_yearly!$D:$AM, 19, FALSE) / VLOOKUP("industry|PM25|Non-fatal heart attacks", US_national_yearly!$D:$AM, 10, FALSE), 1)</f>
        <v>3.8299386951675986E-2</v>
      </c>
      <c r="L13" s="7">
        <f>$B13 * IFERROR(VLOOKUP("industry|PM25|Non-fatal heart attacks", US_national_yearly!$D:$AM, 20, FALSE) / VLOOKUP("industry|PM25|Non-fatal heart attacks", US_national_yearly!$D:$AM, 10, FALSE), 1)</f>
        <v>3.8985942382256257E-2</v>
      </c>
      <c r="M13" s="7">
        <f>$B13 * IFERROR(VLOOKUP("industry|PM25|Non-fatal heart attacks", US_national_yearly!$D:$AM, 21, FALSE) / VLOOKUP("industry|PM25|Non-fatal heart attacks", US_national_yearly!$D:$AM, 10, FALSE), 1)</f>
        <v>3.9672497812836521E-2</v>
      </c>
      <c r="N13" s="7">
        <f>$B13 * IFERROR(VLOOKUP("industry|PM25|Non-fatal heart attacks", US_national_yearly!$D:$AM, 22, FALSE) / VLOOKUP("industry|PM25|Non-fatal heart attacks", US_national_yearly!$D:$AM, 10, FALSE), 1)</f>
        <v>4.0116394133614376E-2</v>
      </c>
      <c r="O13" s="7">
        <f>$B13 * IFERROR(VLOOKUP("industry|PM25|Non-fatal heart attacks", US_national_yearly!$D:$AM, 23, FALSE) / VLOOKUP("industry|PM25|Non-fatal heart attacks", US_national_yearly!$D:$AM, 10, FALSE), 1)</f>
        <v>4.0560290454392224E-2</v>
      </c>
      <c r="P13" s="7">
        <f>$B13 * IFERROR(VLOOKUP("industry|PM25|Non-fatal heart attacks", US_national_yearly!$D:$AM, 24, FALSE) / VLOOKUP("industry|PM25|Non-fatal heart attacks", US_national_yearly!$D:$AM, 10, FALSE), 1)</f>
        <v>4.1004186775170079E-2</v>
      </c>
      <c r="Q13" s="7">
        <f>$B13 * IFERROR(VLOOKUP("industry|PM25|Non-fatal heart attacks", US_national_yearly!$D:$AM, 25, FALSE) / VLOOKUP("industry|PM25|Non-fatal heart attacks", US_national_yearly!$D:$AM, 10, FALSE), 1)</f>
        <v>4.144808309594792E-2</v>
      </c>
      <c r="R13" s="7">
        <f>$B13 * IFERROR(VLOOKUP("industry|PM25|Non-fatal heart attacks", US_national_yearly!$D:$AM, 26, FALSE) / VLOOKUP("industry|PM25|Non-fatal heart attacks", US_national_yearly!$D:$AM, 10, FALSE), 1)</f>
        <v>4.1891979416725775E-2</v>
      </c>
      <c r="S13" s="7">
        <f>$B13 * IFERROR(VLOOKUP("industry|PM25|Non-fatal heart attacks", US_national_yearly!$D:$AM, 27, FALSE) / VLOOKUP("industry|PM25|Non-fatal heart attacks", US_national_yearly!$D:$AM, 10, FALSE), 1)</f>
        <v>4.2129066123864592E-2</v>
      </c>
      <c r="T13" s="7">
        <f>$B13 * IFERROR(VLOOKUP("industry|PM25|Non-fatal heart attacks", US_national_yearly!$D:$AM, 28, FALSE) / VLOOKUP("industry|PM25|Non-fatal heart attacks", US_national_yearly!$D:$AM, 10, FALSE), 1)</f>
        <v>4.2366152831003423E-2</v>
      </c>
      <c r="U13" s="7">
        <f>$B13 * IFERROR(VLOOKUP("industry|PM25|Non-fatal heart attacks", US_national_yearly!$D:$AM, 29, FALSE) / VLOOKUP("industry|PM25|Non-fatal heart attacks", US_national_yearly!$D:$AM, 10, FALSE), 1)</f>
        <v>4.2603239538142247E-2</v>
      </c>
      <c r="V13" s="7">
        <f>$B13 * IFERROR(VLOOKUP("industry|PM25|Non-fatal heart attacks", US_national_yearly!$D:$AM, 30, FALSE) / VLOOKUP("industry|PM25|Non-fatal heart attacks", US_national_yearly!$D:$AM, 10, FALSE), 1)</f>
        <v>4.2840326245281064E-2</v>
      </c>
      <c r="W13" s="7">
        <f>$B13 * IFERROR(VLOOKUP("industry|PM25|Non-fatal heart attacks", US_national_yearly!$D:$AM, 31, FALSE) / VLOOKUP("industry|PM25|Non-fatal heart attacks", US_national_yearly!$D:$AM, 10, FALSE), 1)</f>
        <v>4.3077412952419895E-2</v>
      </c>
      <c r="X13" s="7">
        <f>$B13 * IFERROR(VLOOKUP("industry|PM25|Non-fatal heart attacks", US_national_yearly!$D:$AM, 32, FALSE) / VLOOKUP("industry|PM25|Non-fatal heart attacks", US_national_yearly!$D:$AM, 10, FALSE), 1)</f>
        <v>4.3260394943024361E-2</v>
      </c>
      <c r="Y13" s="7">
        <f>$B13 * IFERROR(VLOOKUP("industry|PM25|Non-fatal heart attacks", US_national_yearly!$D:$AM, 33, FALSE) / VLOOKUP("industry|PM25|Non-fatal heart attacks", US_national_yearly!$D:$AM, 10, FALSE), 1)</f>
        <v>4.3443376933628826E-2</v>
      </c>
      <c r="Z13" s="7">
        <f>$B13 * IFERROR(VLOOKUP("industry|PM25|Non-fatal heart attacks", US_national_yearly!$D:$AM, 34, FALSE) / VLOOKUP("industry|PM25|Non-fatal heart attacks", US_national_yearly!$D:$AM, 10, FALSE), 1)</f>
        <v>4.3626358924233298E-2</v>
      </c>
      <c r="AA13" s="7">
        <f>$B13 * IFERROR(VLOOKUP("industry|PM25|Non-fatal heart attacks", US_national_yearly!$D:$AM, 35, FALSE) / VLOOKUP("industry|PM25|Non-fatal heart attacks", US_national_yearly!$D:$AM, 10, FALSE), 1)</f>
        <v>4.380934091483777E-2</v>
      </c>
      <c r="AB13" s="7">
        <f>$B13 * IFERROR(VLOOKUP("industry|PM25|Non-fatal heart attacks", US_national_yearly!$D:$AM, 36, FALSE) / VLOOKUP("industry|PM25|Non-fatal heart attacks", US_national_yearly!$D:$AM, 10, FALSE), 1)</f>
        <v>4.3992322905442235E-2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22.920735810716646</v>
      </c>
      <c r="C14" s="7">
        <f>$B14 * IFERROR(VLOOKUP("industry|PM25|Minor restricted activity days", US_national_yearly!$D:$AM, 11, FALSE) / VLOOKUP("industry|PM25|Minor restricted activity days", US_national_yearly!$D:$AM, 10, FALSE), 1)</f>
        <v>22.976872491961597</v>
      </c>
      <c r="D14" s="7">
        <f>$B14 * IFERROR(VLOOKUP("industry|PM25|Minor restricted activity days", US_national_yearly!$D:$AM, 12, FALSE) / VLOOKUP("industry|PM25|Minor restricted activity days", US_national_yearly!$D:$AM, 10, FALSE), 1)</f>
        <v>23.033009173206555</v>
      </c>
      <c r="E14" s="7">
        <f>$B14 * IFERROR(VLOOKUP("industry|PM25|Minor restricted activity days", US_national_yearly!$D:$AM, 13, FALSE) / VLOOKUP("industry|PM25|Minor restricted activity days", US_national_yearly!$D:$AM, 10, FALSE), 1)</f>
        <v>23.089145854451505</v>
      </c>
      <c r="F14" s="7">
        <f>$B14 * IFERROR(VLOOKUP("industry|PM25|Minor restricted activity days", US_national_yearly!$D:$AM, 14, FALSE) / VLOOKUP("industry|PM25|Minor restricted activity days", US_national_yearly!$D:$AM, 10, FALSE), 1)</f>
        <v>23.14528253569646</v>
      </c>
      <c r="G14" s="7">
        <f>$B14 * IFERROR(VLOOKUP("industry|PM25|Minor restricted activity days", US_national_yearly!$D:$AM, 15, FALSE) / VLOOKUP("industry|PM25|Minor restricted activity days", US_national_yearly!$D:$AM, 10, FALSE), 1)</f>
        <v>23.227682059943973</v>
      </c>
      <c r="H14" s="7">
        <f>$B14 * IFERROR(VLOOKUP("industry|PM25|Minor restricted activity days", US_national_yearly!$D:$AM, 16, FALSE) / VLOOKUP("industry|PM25|Minor restricted activity days", US_national_yearly!$D:$AM, 10, FALSE), 1)</f>
        <v>23.310081584191483</v>
      </c>
      <c r="I14" s="7">
        <f>$B14 * IFERROR(VLOOKUP("industry|PM25|Minor restricted activity days", US_national_yearly!$D:$AM, 17, FALSE) / VLOOKUP("industry|PM25|Minor restricted activity days", US_national_yearly!$D:$AM, 10, FALSE), 1)</f>
        <v>23.450057188711575</v>
      </c>
      <c r="J14" s="7">
        <f>$B14 * IFERROR(VLOOKUP("industry|PM25|Minor restricted activity days", US_national_yearly!$D:$AM, 18, FALSE) / VLOOKUP("industry|PM25|Minor restricted activity days", US_national_yearly!$D:$AM, 10, FALSE), 1)</f>
        <v>23.590032793231675</v>
      </c>
      <c r="K14" s="7">
        <f>$B14 * IFERROR(VLOOKUP("industry|PM25|Minor restricted activity days", US_national_yearly!$D:$AM, 19, FALSE) / VLOOKUP("industry|PM25|Minor restricted activity days", US_national_yearly!$D:$AM, 10, FALSE), 1)</f>
        <v>23.730008397751764</v>
      </c>
      <c r="L14" s="7">
        <f>$B14 * IFERROR(VLOOKUP("industry|PM25|Minor restricted activity days", US_national_yearly!$D:$AM, 20, FALSE) / VLOOKUP("industry|PM25|Minor restricted activity days", US_national_yearly!$D:$AM, 10, FALSE), 1)</f>
        <v>23.86998400227186</v>
      </c>
      <c r="M14" s="7">
        <f>$B14 * IFERROR(VLOOKUP("industry|PM25|Minor restricted activity days", US_national_yearly!$D:$AM, 21, FALSE) / VLOOKUP("industry|PM25|Minor restricted activity days", US_national_yearly!$D:$AM, 10, FALSE), 1)</f>
        <v>24.009959606791952</v>
      </c>
      <c r="N14" s="7">
        <f>$B14 * IFERROR(VLOOKUP("industry|PM25|Minor restricted activity days", US_national_yearly!$D:$AM, 22, FALSE) / VLOOKUP("industry|PM25|Minor restricted activity days", US_national_yearly!$D:$AM, 10, FALSE), 1)</f>
        <v>24.201180103887793</v>
      </c>
      <c r="O14" s="7">
        <f>$B14 * IFERROR(VLOOKUP("industry|PM25|Minor restricted activity days", US_national_yearly!$D:$AM, 23, FALSE) / VLOOKUP("industry|PM25|Minor restricted activity days", US_national_yearly!$D:$AM, 10, FALSE), 1)</f>
        <v>24.392400600983652</v>
      </c>
      <c r="P14" s="7">
        <f>$B14 * IFERROR(VLOOKUP("industry|PM25|Minor restricted activity days", US_national_yearly!$D:$AM, 24, FALSE) / VLOOKUP("industry|PM25|Minor restricted activity days", US_national_yearly!$D:$AM, 10, FALSE), 1)</f>
        <v>24.583621098079494</v>
      </c>
      <c r="Q14" s="7">
        <f>$B14 * IFERROR(VLOOKUP("industry|PM25|Minor restricted activity days", US_national_yearly!$D:$AM, 25, FALSE) / VLOOKUP("industry|PM25|Minor restricted activity days", US_national_yearly!$D:$AM, 10, FALSE), 1)</f>
        <v>24.77484159517536</v>
      </c>
      <c r="R14" s="7">
        <f>$B14 * IFERROR(VLOOKUP("industry|PM25|Minor restricted activity days", US_national_yearly!$D:$AM, 26, FALSE) / VLOOKUP("industry|PM25|Minor restricted activity days", US_national_yearly!$D:$AM, 10, FALSE), 1)</f>
        <v>24.966062092271198</v>
      </c>
      <c r="S14" s="7">
        <f>$B14 * IFERROR(VLOOKUP("industry|PM25|Minor restricted activity days", US_national_yearly!$D:$AM, 27, FALSE) / VLOOKUP("industry|PM25|Minor restricted activity days", US_national_yearly!$D:$AM, 10, FALSE), 1)</f>
        <v>25.159118380924927</v>
      </c>
      <c r="T14" s="7">
        <f>$B14 * IFERROR(VLOOKUP("industry|PM25|Minor restricted activity days", US_national_yearly!$D:$AM, 28, FALSE) / VLOOKUP("industry|PM25|Minor restricted activity days", US_national_yearly!$D:$AM, 10, FALSE), 1)</f>
        <v>25.352174669578663</v>
      </c>
      <c r="U14" s="7">
        <f>$B14 * IFERROR(VLOOKUP("industry|PM25|Minor restricted activity days", US_national_yearly!$D:$AM, 29, FALSE) / VLOOKUP("industry|PM25|Minor restricted activity days", US_national_yearly!$D:$AM, 10, FALSE), 1)</f>
        <v>25.545230958232391</v>
      </c>
      <c r="V14" s="7">
        <f>$B14 * IFERROR(VLOOKUP("industry|PM25|Minor restricted activity days", US_national_yearly!$D:$AM, 30, FALSE) / VLOOKUP("industry|PM25|Minor restricted activity days", US_national_yearly!$D:$AM, 10, FALSE), 1)</f>
        <v>25.73828724688612</v>
      </c>
      <c r="W14" s="7">
        <f>$B14 * IFERROR(VLOOKUP("industry|PM25|Minor restricted activity days", US_national_yearly!$D:$AM, 31, FALSE) / VLOOKUP("industry|PM25|Minor restricted activity days", US_national_yearly!$D:$AM, 10, FALSE), 1)</f>
        <v>25.931343535539852</v>
      </c>
      <c r="X14" s="7">
        <f>$B14 * IFERROR(VLOOKUP("industry|PM25|Minor restricted activity days", US_national_yearly!$D:$AM, 32, FALSE) / VLOOKUP("industry|PM25|Minor restricted activity days", US_national_yearly!$D:$AM, 10, FALSE), 1)</f>
        <v>26.099102380083494</v>
      </c>
      <c r="Y14" s="7">
        <f>$B14 * IFERROR(VLOOKUP("industry|PM25|Minor restricted activity days", US_national_yearly!$D:$AM, 33, FALSE) / VLOOKUP("industry|PM25|Minor restricted activity days", US_national_yearly!$D:$AM, 10, FALSE), 1)</f>
        <v>26.266861224627142</v>
      </c>
      <c r="Z14" s="7">
        <f>$B14 * IFERROR(VLOOKUP("industry|PM25|Minor restricted activity days", US_national_yearly!$D:$AM, 34, FALSE) / VLOOKUP("industry|PM25|Minor restricted activity days", US_national_yearly!$D:$AM, 10, FALSE), 1)</f>
        <v>26.434620069170787</v>
      </c>
      <c r="AA14" s="7">
        <f>$B14 * IFERROR(VLOOKUP("industry|PM25|Minor restricted activity days", US_national_yearly!$D:$AM, 35, FALSE) / VLOOKUP("industry|PM25|Minor restricted activity days", US_national_yearly!$D:$AM, 10, FALSE), 1)</f>
        <v>26.602378913714436</v>
      </c>
      <c r="AB14" s="7">
        <f>$B14 * IFERROR(VLOOKUP("industry|PM25|Minor restricted activity days", US_national_yearly!$D:$AM, 36, FALSE) / VLOOKUP("industry|PM25|Minor restricted activity days", US_national_yearly!$D:$AM, 10, FALSE), 1)</f>
        <v>26.77013775825808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3.8745846851305052</v>
      </c>
      <c r="C15" s="7">
        <f>$B15 * IFERROR(VLOOKUP("industry|PM25|Work loss days", US_national_yearly!$D:$AM, 11, FALSE) / VLOOKUP("industry|PM25|Work loss days", US_national_yearly!$D:$AM, 10, FALSE), 1)</f>
        <v>3.8865974532982848</v>
      </c>
      <c r="D15" s="7">
        <f>$B15 * IFERROR(VLOOKUP("industry|PM25|Work loss days", US_national_yearly!$D:$AM, 12, FALSE) / VLOOKUP("industry|PM25|Work loss days", US_national_yearly!$D:$AM, 10, FALSE), 1)</f>
        <v>3.8986102214660638</v>
      </c>
      <c r="E15" s="7">
        <f>$B15 * IFERROR(VLOOKUP("industry|PM25|Work loss days", US_national_yearly!$D:$AM, 13, FALSE) / VLOOKUP("industry|PM25|Work loss days", US_national_yearly!$D:$AM, 10, FALSE), 1)</f>
        <v>3.9106229896338425</v>
      </c>
      <c r="F15" s="7">
        <f>$B15 * IFERROR(VLOOKUP("industry|PM25|Work loss days", US_national_yearly!$D:$AM, 14, FALSE) / VLOOKUP("industry|PM25|Work loss days", US_national_yearly!$D:$AM, 10, FALSE), 1)</f>
        <v>3.9226357578016215</v>
      </c>
      <c r="G15" s="7">
        <f>$B15 * IFERROR(VLOOKUP("industry|PM25|Work loss days", US_national_yearly!$D:$AM, 15, FALSE) / VLOOKUP("industry|PM25|Work loss days", US_national_yearly!$D:$AM, 10, FALSE), 1)</f>
        <v>3.9383189526218114</v>
      </c>
      <c r="H15" s="7">
        <f>$B15 * IFERROR(VLOOKUP("industry|PM25|Work loss days", US_national_yearly!$D:$AM, 16, FALSE) / VLOOKUP("industry|PM25|Work loss days", US_national_yearly!$D:$AM, 10, FALSE), 1)</f>
        <v>3.9540021474420017</v>
      </c>
      <c r="I15" s="7">
        <f>$B15 * IFERROR(VLOOKUP("industry|PM25|Work loss days", US_national_yearly!$D:$AM, 17, FALSE) / VLOOKUP("industry|PM25|Work loss days", US_national_yearly!$D:$AM, 10, FALSE), 1)</f>
        <v>3.9769673360522093</v>
      </c>
      <c r="J15" s="7">
        <f>$B15 * IFERROR(VLOOKUP("industry|PM25|Work loss days", US_national_yearly!$D:$AM, 18, FALSE) / VLOOKUP("industry|PM25|Work loss days", US_national_yearly!$D:$AM, 10, FALSE), 1)</f>
        <v>3.9999325246624173</v>
      </c>
      <c r="K15" s="7">
        <f>$B15 * IFERROR(VLOOKUP("industry|PM25|Work loss days", US_national_yearly!$D:$AM, 19, FALSE) / VLOOKUP("industry|PM25|Work loss days", US_national_yearly!$D:$AM, 10, FALSE), 1)</f>
        <v>4.0228977132726245</v>
      </c>
      <c r="L15" s="7">
        <f>$B15 * IFERROR(VLOOKUP("industry|PM25|Work loss days", US_national_yearly!$D:$AM, 20, FALSE) / VLOOKUP("industry|PM25|Work loss days", US_national_yearly!$D:$AM, 10, FALSE), 1)</f>
        <v>4.045862901882832</v>
      </c>
      <c r="M15" s="7">
        <f>$B15 * IFERROR(VLOOKUP("industry|PM25|Work loss days", US_national_yearly!$D:$AM, 21, FALSE) / VLOOKUP("industry|PM25|Work loss days", US_national_yearly!$D:$AM, 10, FALSE), 1)</f>
        <v>4.0688280904930405</v>
      </c>
      <c r="N15" s="7">
        <f>$B15 * IFERROR(VLOOKUP("industry|PM25|Work loss days", US_national_yearly!$D:$AM, 22, FALSE) / VLOOKUP("industry|PM25|Work loss days", US_national_yearly!$D:$AM, 10, FALSE), 1)</f>
        <v>4.0978071441570112</v>
      </c>
      <c r="O15" s="7">
        <f>$B15 * IFERROR(VLOOKUP("industry|PM25|Work loss days", US_national_yearly!$D:$AM, 23, FALSE) / VLOOKUP("industry|PM25|Work loss days", US_national_yearly!$D:$AM, 10, FALSE), 1)</f>
        <v>4.1267861978209828</v>
      </c>
      <c r="P15" s="7">
        <f>$B15 * IFERROR(VLOOKUP("industry|PM25|Work loss days", US_national_yearly!$D:$AM, 24, FALSE) / VLOOKUP("industry|PM25|Work loss days", US_national_yearly!$D:$AM, 10, FALSE), 1)</f>
        <v>4.1557652514849535</v>
      </c>
      <c r="Q15" s="7">
        <f>$B15 * IFERROR(VLOOKUP("industry|PM25|Work loss days", US_national_yearly!$D:$AM, 25, FALSE) / VLOOKUP("industry|PM25|Work loss days", US_national_yearly!$D:$AM, 10, FALSE), 1)</f>
        <v>4.1847443051489241</v>
      </c>
      <c r="R15" s="7">
        <f>$B15 * IFERROR(VLOOKUP("industry|PM25|Work loss days", US_national_yearly!$D:$AM, 26, FALSE) / VLOOKUP("industry|PM25|Work loss days", US_national_yearly!$D:$AM, 10, FALSE), 1)</f>
        <v>4.2137233588128948</v>
      </c>
      <c r="S15" s="7">
        <f>$B15 * IFERROR(VLOOKUP("industry|PM25|Work loss days", US_national_yearly!$D:$AM, 27, FALSE) / VLOOKUP("industry|PM25|Work loss days", US_national_yearly!$D:$AM, 10, FALSE), 1)</f>
        <v>4.2458570210099804</v>
      </c>
      <c r="T15" s="7">
        <f>$B15 * IFERROR(VLOOKUP("industry|PM25|Work loss days", US_national_yearly!$D:$AM, 28, FALSE) / VLOOKUP("industry|PM25|Work loss days", US_national_yearly!$D:$AM, 10, FALSE), 1)</f>
        <v>4.277990683207066</v>
      </c>
      <c r="U15" s="7">
        <f>$B15 * IFERROR(VLOOKUP("industry|PM25|Work loss days", US_national_yearly!$D:$AM, 29, FALSE) / VLOOKUP("industry|PM25|Work loss days", US_national_yearly!$D:$AM, 10, FALSE), 1)</f>
        <v>4.3101243454041507</v>
      </c>
      <c r="V15" s="7">
        <f>$B15 * IFERROR(VLOOKUP("industry|PM25|Work loss days", US_national_yearly!$D:$AM, 30, FALSE) / VLOOKUP("industry|PM25|Work loss days", US_national_yearly!$D:$AM, 10, FALSE), 1)</f>
        <v>4.3422580076012363</v>
      </c>
      <c r="W15" s="7">
        <f>$B15 * IFERROR(VLOOKUP("industry|PM25|Work loss days", US_national_yearly!$D:$AM, 31, FALSE) / VLOOKUP("industry|PM25|Work loss days", US_national_yearly!$D:$AM, 10, FALSE), 1)</f>
        <v>4.3743916697983218</v>
      </c>
      <c r="X15" s="7">
        <f>$B15 * IFERROR(VLOOKUP("industry|PM25|Work loss days", US_national_yearly!$D:$AM, 32, FALSE) / VLOOKUP("industry|PM25|Work loss days", US_national_yearly!$D:$AM, 10, FALSE), 1)</f>
        <v>4.4029466539169153</v>
      </c>
      <c r="Y15" s="7">
        <f>$B15 * IFERROR(VLOOKUP("industry|PM25|Work loss days", US_national_yearly!$D:$AM, 33, FALSE) / VLOOKUP("industry|PM25|Work loss days", US_national_yearly!$D:$AM, 10, FALSE), 1)</f>
        <v>4.4315016380355088</v>
      </c>
      <c r="Z15" s="7">
        <f>$B15 * IFERROR(VLOOKUP("industry|PM25|Work loss days", US_national_yearly!$D:$AM, 34, FALSE) / VLOOKUP("industry|PM25|Work loss days", US_national_yearly!$D:$AM, 10, FALSE), 1)</f>
        <v>4.4600566221541031</v>
      </c>
      <c r="AA15" s="7">
        <f>$B15 * IFERROR(VLOOKUP("industry|PM25|Work loss days", US_national_yearly!$D:$AM, 35, FALSE) / VLOOKUP("industry|PM25|Work loss days", US_national_yearly!$D:$AM, 10, FALSE), 1)</f>
        <v>4.4886116062726966</v>
      </c>
      <c r="AB15" s="7">
        <f>$B15 * IFERROR(VLOOKUP("industry|PM25|Work loss days", US_national_yearly!$D:$AM, 36, FALSE) / VLOOKUP("industry|PM25|Work loss days", US_national_yearly!$D:$AM, 10, FALSE), 1)</f>
        <v>4.517166590391291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7.4767228947444399E-3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7.7003564700066371E-3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7.9239900452688344E-3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8.1476236205310325E-3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8.3712571957932289E-3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8.5855938584615543E-3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8.7999305211298798E-3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8.9839573292918411E-3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9.1679841374538024E-3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9.3520109456157654E-3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9.5360377537777267E-3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9.7200645619396897E-3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9.8429951636001475E-3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9.9659257652606036E-3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1.008885636692106E-2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1.0211786968581516E-2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1.0334717570241972E-2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1.0400580805478109E-2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1.0466444040714246E-2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1.0532307275950384E-2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1.0598170511186519E-2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1.0664033746422656E-2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1.0709261671488968E-2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1.0754489596555276E-2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1.0799717521621585E-2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1.0844945446687893E-2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1.0890173371754203E-2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6.3941290340339767E-4</v>
      </c>
      <c r="C2" s="7">
        <f>$B2 * IFERROR(VLOOKUP("industry|NOx|Premature mortality", US_national_yearly!$D:$AM, 11, FALSE) / VLOOKUP("industry|NOx|Premature mortality", US_national_yearly!$D:$AM, 10, FALSE), 1)</f>
        <v>6.4886773417389889E-4</v>
      </c>
      <c r="D2" s="7">
        <f>$B2 * IFERROR(VLOOKUP("industry|NOx|Premature mortality", US_national_yearly!$D:$AM, 12, FALSE) / VLOOKUP("industry|NOx|Premature mortality", US_national_yearly!$D:$AM, 10, FALSE), 1)</f>
        <v>6.5832256494440021E-4</v>
      </c>
      <c r="E2" s="7">
        <f>$B2 * IFERROR(VLOOKUP("industry|NOx|Premature mortality", US_national_yearly!$D:$AM, 13, FALSE) / VLOOKUP("industry|NOx|Premature mortality", US_national_yearly!$D:$AM, 10, FALSE), 1)</f>
        <v>6.6777739571490143E-4</v>
      </c>
      <c r="F2" s="7">
        <f>$B2 * IFERROR(VLOOKUP("industry|NOx|Premature mortality", US_national_yearly!$D:$AM, 14, FALSE) / VLOOKUP("industry|NOx|Premature mortality", US_national_yearly!$D:$AM, 10, FALSE), 1)</f>
        <v>6.7723222648540286E-4</v>
      </c>
      <c r="G2" s="7">
        <f>$B2 * IFERROR(VLOOKUP("industry|NOx|Premature mortality", US_national_yearly!$D:$AM, 15, FALSE) / VLOOKUP("industry|NOx|Premature mortality", US_national_yearly!$D:$AM, 10, FALSE), 1)</f>
        <v>6.9418827872548994E-4</v>
      </c>
      <c r="H2" s="7">
        <f>$B2 * IFERROR(VLOOKUP("industry|NOx|Premature mortality", US_national_yearly!$D:$AM, 16, FALSE) / VLOOKUP("industry|NOx|Premature mortality", US_national_yearly!$D:$AM, 10, FALSE), 1)</f>
        <v>7.1114433096557703E-4</v>
      </c>
      <c r="I2" s="7">
        <f>$B2 * IFERROR(VLOOKUP("industry|NOx|Premature mortality", US_national_yearly!$D:$AM, 17, FALSE) / VLOOKUP("industry|NOx|Premature mortality", US_national_yearly!$D:$AM, 10, FALSE), 1)</f>
        <v>7.2214429259906908E-4</v>
      </c>
      <c r="J2" s="7">
        <f>$B2 * IFERROR(VLOOKUP("industry|NOx|Premature mortality", US_national_yearly!$D:$AM, 18, FALSE) / VLOOKUP("industry|NOx|Premature mortality", US_national_yearly!$D:$AM, 10, FALSE), 1)</f>
        <v>7.3314425423256114E-4</v>
      </c>
      <c r="K2" s="7">
        <f>$B2 * IFERROR(VLOOKUP("industry|NOx|Premature mortality", US_national_yearly!$D:$AM, 19, FALSE) / VLOOKUP("industry|NOx|Premature mortality", US_national_yearly!$D:$AM, 10, FALSE), 1)</f>
        <v>7.441442158660533E-4</v>
      </c>
      <c r="L2" s="7">
        <f>$B2 * IFERROR(VLOOKUP("industry|NOx|Premature mortality", US_national_yearly!$D:$AM, 20, FALSE) / VLOOKUP("industry|NOx|Premature mortality", US_national_yearly!$D:$AM, 10, FALSE), 1)</f>
        <v>7.5514417749954535E-4</v>
      </c>
      <c r="M2" s="7">
        <f>$B2 * IFERROR(VLOOKUP("industry|NOx|Premature mortality", US_national_yearly!$D:$AM, 21, FALSE) / VLOOKUP("industry|NOx|Premature mortality", US_national_yearly!$D:$AM, 10, FALSE), 1)</f>
        <v>7.661441391330373E-4</v>
      </c>
      <c r="N2" s="7">
        <f>$B2 * IFERROR(VLOOKUP("industry|NOx|Premature mortality", US_national_yearly!$D:$AM, 22, FALSE) / VLOOKUP("industry|NOx|Premature mortality", US_national_yearly!$D:$AM, 10, FALSE), 1)</f>
        <v>7.7432954597826567E-4</v>
      </c>
      <c r="O2" s="7">
        <f>$B2 * IFERROR(VLOOKUP("industry|NOx|Premature mortality", US_national_yearly!$D:$AM, 23, FALSE) / VLOOKUP("industry|NOx|Premature mortality", US_national_yearly!$D:$AM, 10, FALSE), 1)</f>
        <v>7.8251495282349382E-4</v>
      </c>
      <c r="P2" s="7">
        <f>$B2 * IFERROR(VLOOKUP("industry|NOx|Premature mortality", US_national_yearly!$D:$AM, 24, FALSE) / VLOOKUP("industry|NOx|Premature mortality", US_national_yearly!$D:$AM, 10, FALSE), 1)</f>
        <v>7.9070035966872186E-4</v>
      </c>
      <c r="Q2" s="7">
        <f>$B2 * IFERROR(VLOOKUP("industry|NOx|Premature mortality", US_national_yearly!$D:$AM, 25, FALSE) / VLOOKUP("industry|NOx|Premature mortality", US_national_yearly!$D:$AM, 10, FALSE), 1)</f>
        <v>7.9888576651395012E-4</v>
      </c>
      <c r="R2" s="7">
        <f>$B2 * IFERROR(VLOOKUP("industry|NOx|Premature mortality", US_national_yearly!$D:$AM, 26, FALSE) / VLOOKUP("industry|NOx|Premature mortality", US_national_yearly!$D:$AM, 10, FALSE), 1)</f>
        <v>8.0707117335917828E-4</v>
      </c>
      <c r="S2" s="7">
        <f>$B2 * IFERROR(VLOOKUP("industry|NOx|Premature mortality", US_national_yearly!$D:$AM, 27, FALSE) / VLOOKUP("industry|NOx|Premature mortality", US_national_yearly!$D:$AM, 10, FALSE), 1)</f>
        <v>8.1088279297585834E-4</v>
      </c>
      <c r="T2" s="7">
        <f>$B2 * IFERROR(VLOOKUP("industry|NOx|Premature mortality", US_national_yearly!$D:$AM, 28, FALSE) / VLOOKUP("industry|NOx|Premature mortality", US_national_yearly!$D:$AM, 10, FALSE), 1)</f>
        <v>8.1469441259253851E-4</v>
      </c>
      <c r="U2" s="7">
        <f>$B2 * IFERROR(VLOOKUP("industry|NOx|Premature mortality", US_national_yearly!$D:$AM, 29, FALSE) / VLOOKUP("industry|NOx|Premature mortality", US_national_yearly!$D:$AM, 10, FALSE), 1)</f>
        <v>8.1850603220921857E-4</v>
      </c>
      <c r="V2" s="7">
        <f>$B2 * IFERROR(VLOOKUP("industry|NOx|Premature mortality", US_national_yearly!$D:$AM, 30, FALSE) / VLOOKUP("industry|NOx|Premature mortality", US_national_yearly!$D:$AM, 10, FALSE), 1)</f>
        <v>8.2231765182589863E-4</v>
      </c>
      <c r="W2" s="7">
        <f>$B2 * IFERROR(VLOOKUP("industry|NOx|Premature mortality", US_national_yearly!$D:$AM, 31, FALSE) / VLOOKUP("industry|NOx|Premature mortality", US_national_yearly!$D:$AM, 10, FALSE), 1)</f>
        <v>8.2612927144257869E-4</v>
      </c>
      <c r="X2" s="7">
        <f>$B2 * IFERROR(VLOOKUP("industry|NOx|Premature mortality", US_national_yearly!$D:$AM, 32, FALSE) / VLOOKUP("industry|NOx|Premature mortality", US_national_yearly!$D:$AM, 10, FALSE), 1)</f>
        <v>8.2642056760391669E-4</v>
      </c>
      <c r="Y2" s="7">
        <f>$B2 * IFERROR(VLOOKUP("industry|NOx|Premature mortality", US_national_yearly!$D:$AM, 33, FALSE) / VLOOKUP("industry|NOx|Premature mortality", US_national_yearly!$D:$AM, 10, FALSE), 1)</f>
        <v>8.2671186376525468E-4</v>
      </c>
      <c r="Z2" s="7">
        <f>$B2 * IFERROR(VLOOKUP("industry|NOx|Premature mortality", US_national_yearly!$D:$AM, 34, FALSE) / VLOOKUP("industry|NOx|Premature mortality", US_national_yearly!$D:$AM, 10, FALSE), 1)</f>
        <v>8.2700315992659278E-4</v>
      </c>
      <c r="AA2" s="7">
        <f>$B2 * IFERROR(VLOOKUP("industry|NOx|Premature mortality", US_national_yearly!$D:$AM, 35, FALSE) / VLOOKUP("industry|NOx|Premature mortality", US_national_yearly!$D:$AM, 10, FALSE), 1)</f>
        <v>8.2729445608793078E-4</v>
      </c>
      <c r="AB2" s="7">
        <f>$B2 * IFERROR(VLOOKUP("industry|NOx|Premature mortality", US_national_yearly!$D:$AM, 36, FALSE) / VLOOKUP("industry|NOx|Premature mortality", US_national_yearly!$D:$AM, 10, FALSE), 1)</f>
        <v>8.2758575224926888E-4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1.1942948543258738E-6</v>
      </c>
      <c r="C3" s="7">
        <f>$B3 * IFERROR(VLOOKUP("industry|NOx|Infant mortality", US_national_yearly!$D:$AM, 11, FALSE) / VLOOKUP("industry|NOx|Infant mortality", US_national_yearly!$D:$AM, 10, FALSE), 1)</f>
        <v>1.1828572926484986E-6</v>
      </c>
      <c r="D3" s="7">
        <f>$B3 * IFERROR(VLOOKUP("industry|NOx|Infant mortality", US_national_yearly!$D:$AM, 12, FALSE) / VLOOKUP("industry|NOx|Infant mortality", US_national_yearly!$D:$AM, 10, FALSE), 1)</f>
        <v>1.1714197309711232E-6</v>
      </c>
      <c r="E3" s="7">
        <f>$B3 * IFERROR(VLOOKUP("industry|NOx|Infant mortality", US_national_yearly!$D:$AM, 13, FALSE) / VLOOKUP("industry|NOx|Infant mortality", US_national_yearly!$D:$AM, 10, FALSE), 1)</f>
        <v>1.159982169293748E-6</v>
      </c>
      <c r="F3" s="7">
        <f>$B3 * IFERROR(VLOOKUP("industry|NOx|Infant mortality", US_national_yearly!$D:$AM, 14, FALSE) / VLOOKUP("industry|NOx|Infant mortality", US_national_yearly!$D:$AM, 10, FALSE), 1)</f>
        <v>1.1485446076163726E-6</v>
      </c>
      <c r="G3" s="7">
        <f>$B3 * IFERROR(VLOOKUP("industry|NOx|Infant mortality", US_national_yearly!$D:$AM, 15, FALSE) / VLOOKUP("industry|NOx|Infant mortality", US_national_yearly!$D:$AM, 10, FALSE), 1)</f>
        <v>7.6181612628985786E-7</v>
      </c>
      <c r="H3" s="7">
        <f>$B3 * IFERROR(VLOOKUP("industry|NOx|Infant mortality", US_national_yearly!$D:$AM, 16, FALSE) / VLOOKUP("industry|NOx|Infant mortality", US_national_yearly!$D:$AM, 10, FALSE), 1)</f>
        <v>3.7508764496334315E-7</v>
      </c>
      <c r="I3" s="7">
        <f>$B3 * IFERROR(VLOOKUP("industry|NOx|Infant mortality", US_national_yearly!$D:$AM, 17, FALSE) / VLOOKUP("industry|NOx|Infant mortality", US_national_yearly!$D:$AM, 10, FALSE), 1)</f>
        <v>3.7238342499213989E-7</v>
      </c>
      <c r="J3" s="7">
        <f>$B3 * IFERROR(VLOOKUP("industry|NOx|Infant mortality", US_national_yearly!$D:$AM, 18, FALSE) / VLOOKUP("industry|NOx|Infant mortality", US_national_yearly!$D:$AM, 10, FALSE), 1)</f>
        <v>3.6967920502093663E-7</v>
      </c>
      <c r="K3" s="7">
        <f>$B3 * IFERROR(VLOOKUP("industry|NOx|Infant mortality", US_national_yearly!$D:$AM, 19, FALSE) / VLOOKUP("industry|NOx|Infant mortality", US_national_yearly!$D:$AM, 10, FALSE), 1)</f>
        <v>3.6697498504973337E-7</v>
      </c>
      <c r="L3" s="7">
        <f>$B3 * IFERROR(VLOOKUP("industry|NOx|Infant mortality", US_national_yearly!$D:$AM, 20, FALSE) / VLOOKUP("industry|NOx|Infant mortality", US_national_yearly!$D:$AM, 10, FALSE), 1)</f>
        <v>3.6427076507853E-7</v>
      </c>
      <c r="M3" s="7">
        <f>$B3 * IFERROR(VLOOKUP("industry|NOx|Infant mortality", US_national_yearly!$D:$AM, 21, FALSE) / VLOOKUP("industry|NOx|Infant mortality", US_national_yearly!$D:$AM, 10, FALSE), 1)</f>
        <v>3.6156654510732674E-7</v>
      </c>
      <c r="N3" s="7">
        <f>$B3 * IFERROR(VLOOKUP("industry|NOx|Infant mortality", US_national_yearly!$D:$AM, 22, FALSE) / VLOOKUP("industry|NOx|Infant mortality", US_national_yearly!$D:$AM, 10, FALSE), 1)</f>
        <v>3.5974456366987638E-7</v>
      </c>
      <c r="O3" s="7">
        <f>$B3 * IFERROR(VLOOKUP("industry|NOx|Infant mortality", US_national_yearly!$D:$AM, 23, FALSE) / VLOOKUP("industry|NOx|Infant mortality", US_national_yearly!$D:$AM, 10, FALSE), 1)</f>
        <v>3.5792258223242601E-7</v>
      </c>
      <c r="P3" s="7">
        <f>$B3 * IFERROR(VLOOKUP("industry|NOx|Infant mortality", US_national_yearly!$D:$AM, 24, FALSE) / VLOOKUP("industry|NOx|Infant mortality", US_national_yearly!$D:$AM, 10, FALSE), 1)</f>
        <v>3.561006007949757E-7</v>
      </c>
      <c r="Q3" s="7">
        <f>$B3 * IFERROR(VLOOKUP("industry|NOx|Infant mortality", US_national_yearly!$D:$AM, 25, FALSE) / VLOOKUP("industry|NOx|Infant mortality", US_national_yearly!$D:$AM, 10, FALSE), 1)</f>
        <v>3.5427861935752534E-7</v>
      </c>
      <c r="R3" s="7">
        <f>$B3 * IFERROR(VLOOKUP("industry|NOx|Infant mortality", US_national_yearly!$D:$AM, 26, FALSE) / VLOOKUP("industry|NOx|Infant mortality", US_national_yearly!$D:$AM, 10, FALSE), 1)</f>
        <v>3.5245663792007503E-7</v>
      </c>
      <c r="S3" s="7">
        <f>$B3 * IFERROR(VLOOKUP("industry|NOx|Infant mortality", US_national_yearly!$D:$AM, 27, FALSE) / VLOOKUP("industry|NOx|Infant mortality", US_national_yearly!$D:$AM, 10, FALSE), 1)</f>
        <v>3.5029306753662465E-7</v>
      </c>
      <c r="T3" s="7">
        <f>$B3 * IFERROR(VLOOKUP("industry|NOx|Infant mortality", US_national_yearly!$D:$AM, 28, FALSE) / VLOOKUP("industry|NOx|Infant mortality", US_national_yearly!$D:$AM, 10, FALSE), 1)</f>
        <v>3.4812949715317432E-7</v>
      </c>
      <c r="U3" s="7">
        <f>$B3 * IFERROR(VLOOKUP("industry|NOx|Infant mortality", US_national_yearly!$D:$AM, 29, FALSE) / VLOOKUP("industry|NOx|Infant mortality", US_national_yearly!$D:$AM, 10, FALSE), 1)</f>
        <v>3.4596592676972394E-7</v>
      </c>
      <c r="V3" s="7">
        <f>$B3 * IFERROR(VLOOKUP("industry|NOx|Infant mortality", US_national_yearly!$D:$AM, 30, FALSE) / VLOOKUP("industry|NOx|Infant mortality", US_national_yearly!$D:$AM, 10, FALSE), 1)</f>
        <v>3.4380235638627356E-7</v>
      </c>
      <c r="W3" s="7">
        <f>$B3 * IFERROR(VLOOKUP("industry|NOx|Infant mortality", US_national_yearly!$D:$AM, 31, FALSE) / VLOOKUP("industry|NOx|Infant mortality", US_national_yearly!$D:$AM, 10, FALSE), 1)</f>
        <v>3.4163878600282329E-7</v>
      </c>
      <c r="X3" s="7">
        <f>$B3 * IFERROR(VLOOKUP("industry|NOx|Infant mortality", US_national_yearly!$D:$AM, 32, FALSE) / VLOOKUP("industry|NOx|Infant mortality", US_national_yearly!$D:$AM, 10, FALSE), 1)</f>
        <v>3.3936679753222455E-7</v>
      </c>
      <c r="Y3" s="7">
        <f>$B3 * IFERROR(VLOOKUP("industry|NOx|Infant mortality", US_national_yearly!$D:$AM, 33, FALSE) / VLOOKUP("industry|NOx|Infant mortality", US_national_yearly!$D:$AM, 10, FALSE), 1)</f>
        <v>3.3709480906162597E-7</v>
      </c>
      <c r="Z3" s="7">
        <f>$B3 * IFERROR(VLOOKUP("industry|NOx|Infant mortality", US_national_yearly!$D:$AM, 34, FALSE) / VLOOKUP("industry|NOx|Infant mortality", US_national_yearly!$D:$AM, 10, FALSE), 1)</f>
        <v>3.3482282059102734E-7</v>
      </c>
      <c r="AA3" s="7">
        <f>$B3 * IFERROR(VLOOKUP("industry|NOx|Infant mortality", US_national_yearly!$D:$AM, 35, FALSE) / VLOOKUP("industry|NOx|Infant mortality", US_national_yearly!$D:$AM, 10, FALSE), 1)</f>
        <v>3.3255083212042871E-7</v>
      </c>
      <c r="AB3" s="7">
        <f>$B3 * IFERROR(VLOOKUP("industry|NOx|Infant mortality", US_national_yearly!$D:$AM, 36, FALSE) / VLOOKUP("industry|NOx|Infant mortality", US_national_yearly!$D:$AM, 10, FALSE), 1)</f>
        <v>3.3027884364983007E-7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1.6687400154226243E-3</v>
      </c>
      <c r="C6" s="7">
        <f>$B6 * IFERROR(VLOOKUP("industry|NOx|Asthma symptoms cough", US_national_yearly!$D:$AM, 11, FALSE) / VLOOKUP("industry|NOx|Asthma symptoms cough", US_national_yearly!$D:$AM, 10, FALSE), 1)</f>
        <v>1.6915689450671886E-3</v>
      </c>
      <c r="D6" s="7">
        <f>$B6 * IFERROR(VLOOKUP("industry|NOx|Asthma symptoms cough", US_national_yearly!$D:$AM, 12, FALSE) / VLOOKUP("industry|NOx|Asthma symptoms cough", US_national_yearly!$D:$AM, 10, FALSE), 1)</f>
        <v>1.714397874711753E-3</v>
      </c>
      <c r="E6" s="7">
        <f>$B6 * IFERROR(VLOOKUP("industry|NOx|Asthma symptoms cough", US_national_yearly!$D:$AM, 13, FALSE) / VLOOKUP("industry|NOx|Asthma symptoms cough", US_national_yearly!$D:$AM, 10, FALSE), 1)</f>
        <v>1.7372268043563171E-3</v>
      </c>
      <c r="F6" s="7">
        <f>$B6 * IFERROR(VLOOKUP("industry|NOx|Asthma symptoms cough", US_national_yearly!$D:$AM, 14, FALSE) / VLOOKUP("industry|NOx|Asthma symptoms cough", US_national_yearly!$D:$AM, 10, FALSE), 1)</f>
        <v>1.7600557340008815E-3</v>
      </c>
      <c r="G6" s="7">
        <f>$B6 * IFERROR(VLOOKUP("industry|NOx|Asthma symptoms cough", US_national_yearly!$D:$AM, 15, FALSE) / VLOOKUP("industry|NOx|Asthma symptoms cough", US_national_yearly!$D:$AM, 10, FALSE), 1)</f>
        <v>1.7783609939539227E-3</v>
      </c>
      <c r="H6" s="7">
        <f>$B6 * IFERROR(VLOOKUP("industry|NOx|Asthma symptoms cough", US_national_yearly!$D:$AM, 16, FALSE) / VLOOKUP("industry|NOx|Asthma symptoms cough", US_national_yearly!$D:$AM, 10, FALSE), 1)</f>
        <v>1.7966662539069642E-3</v>
      </c>
      <c r="I6" s="7">
        <f>$B6 * IFERROR(VLOOKUP("industry|NOx|Asthma symptoms cough", US_national_yearly!$D:$AM, 17, FALSE) / VLOOKUP("industry|NOx|Asthma symptoms cough", US_national_yearly!$D:$AM, 10, FALSE), 1)</f>
        <v>1.8030366466479763E-3</v>
      </c>
      <c r="J6" s="7">
        <f>$B6 * IFERROR(VLOOKUP("industry|NOx|Asthma symptoms cough", US_national_yearly!$D:$AM, 18, FALSE) / VLOOKUP("industry|NOx|Asthma symptoms cough", US_national_yearly!$D:$AM, 10, FALSE), 1)</f>
        <v>1.8094070393889889E-3</v>
      </c>
      <c r="K6" s="7">
        <f>$B6 * IFERROR(VLOOKUP("industry|NOx|Asthma symptoms cough", US_national_yearly!$D:$AM, 19, FALSE) / VLOOKUP("industry|NOx|Asthma symptoms cough", US_national_yearly!$D:$AM, 10, FALSE), 1)</f>
        <v>1.815777432130001E-3</v>
      </c>
      <c r="L6" s="7">
        <f>$B6 * IFERROR(VLOOKUP("industry|NOx|Asthma symptoms cough", US_national_yearly!$D:$AM, 20, FALSE) / VLOOKUP("industry|NOx|Asthma symptoms cough", US_national_yearly!$D:$AM, 10, FALSE), 1)</f>
        <v>1.8221478248710136E-3</v>
      </c>
      <c r="M6" s="7">
        <f>$B6 * IFERROR(VLOOKUP("industry|NOx|Asthma symptoms cough", US_national_yearly!$D:$AM, 21, FALSE) / VLOOKUP("industry|NOx|Asthma symptoms cough", US_national_yearly!$D:$AM, 10, FALSE), 1)</f>
        <v>1.8285182176120262E-3</v>
      </c>
      <c r="N6" s="7">
        <f>$B6 * IFERROR(VLOOKUP("industry|NOx|Asthma symptoms cough", US_national_yearly!$D:$AM, 22, FALSE) / VLOOKUP("industry|NOx|Asthma symptoms cough", US_national_yearly!$D:$AM, 10, FALSE), 1)</f>
        <v>1.835790194829159E-3</v>
      </c>
      <c r="O6" s="7">
        <f>$B6 * IFERROR(VLOOKUP("industry|NOx|Asthma symptoms cough", US_national_yearly!$D:$AM, 23, FALSE) / VLOOKUP("industry|NOx|Asthma symptoms cough", US_national_yearly!$D:$AM, 10, FALSE), 1)</f>
        <v>1.8430621720462914E-3</v>
      </c>
      <c r="P6" s="7">
        <f>$B6 * IFERROR(VLOOKUP("industry|NOx|Asthma symptoms cough", US_national_yearly!$D:$AM, 24, FALSE) / VLOOKUP("industry|NOx|Asthma symptoms cough", US_national_yearly!$D:$AM, 10, FALSE), 1)</f>
        <v>1.8503341492634242E-3</v>
      </c>
      <c r="Q6" s="7">
        <f>$B6 * IFERROR(VLOOKUP("industry|NOx|Asthma symptoms cough", US_national_yearly!$D:$AM, 25, FALSE) / VLOOKUP("industry|NOx|Asthma symptoms cough", US_national_yearly!$D:$AM, 10, FALSE), 1)</f>
        <v>1.8576061264805569E-3</v>
      </c>
      <c r="R6" s="7">
        <f>$B6 * IFERROR(VLOOKUP("industry|NOx|Asthma symptoms cough", US_national_yearly!$D:$AM, 26, FALSE) / VLOOKUP("industry|NOx|Asthma symptoms cough", US_national_yearly!$D:$AM, 10, FALSE), 1)</f>
        <v>1.8648781036976897E-3</v>
      </c>
      <c r="S6" s="7">
        <f>$B6 * IFERROR(VLOOKUP("industry|NOx|Asthma symptoms cough", US_national_yearly!$D:$AM, 27, FALSE) / VLOOKUP("industry|NOx|Asthma symptoms cough", US_national_yearly!$D:$AM, 10, FALSE), 1)</f>
        <v>1.8742586325518177E-3</v>
      </c>
      <c r="T6" s="7">
        <f>$B6 * IFERROR(VLOOKUP("industry|NOx|Asthma symptoms cough", US_national_yearly!$D:$AM, 28, FALSE) / VLOOKUP("industry|NOx|Asthma symptoms cough", US_national_yearly!$D:$AM, 10, FALSE), 1)</f>
        <v>1.8836391614059458E-3</v>
      </c>
      <c r="U6" s="7">
        <f>$B6 * IFERROR(VLOOKUP("industry|NOx|Asthma symptoms cough", US_national_yearly!$D:$AM, 29, FALSE) / VLOOKUP("industry|NOx|Asthma symptoms cough", US_national_yearly!$D:$AM, 10, FALSE), 1)</f>
        <v>1.8930196902600738E-3</v>
      </c>
      <c r="V6" s="7">
        <f>$B6 * IFERROR(VLOOKUP("industry|NOx|Asthma symptoms cough", US_national_yearly!$D:$AM, 30, FALSE) / VLOOKUP("industry|NOx|Asthma symptoms cough", US_national_yearly!$D:$AM, 10, FALSE), 1)</f>
        <v>1.9024002191142014E-3</v>
      </c>
      <c r="W6" s="7">
        <f>$B6 * IFERROR(VLOOKUP("industry|NOx|Asthma symptoms cough", US_national_yearly!$D:$AM, 31, FALSE) / VLOOKUP("industry|NOx|Asthma symptoms cough", US_national_yearly!$D:$AM, 10, FALSE), 1)</f>
        <v>1.9117807479683299E-3</v>
      </c>
      <c r="X6" s="7">
        <f>$B6 * IFERROR(VLOOKUP("industry|NOx|Asthma symptoms cough", US_national_yearly!$D:$AM, 32, FALSE) / VLOOKUP("industry|NOx|Asthma symptoms cough", US_national_yearly!$D:$AM, 10, FALSE), 1)</f>
        <v>1.9204772195658066E-3</v>
      </c>
      <c r="Y6" s="7">
        <f>$B6 * IFERROR(VLOOKUP("industry|NOx|Asthma symptoms cough", US_national_yearly!$D:$AM, 33, FALSE) / VLOOKUP("industry|NOx|Asthma symptoms cough", US_national_yearly!$D:$AM, 10, FALSE), 1)</f>
        <v>1.929173691163283E-3</v>
      </c>
      <c r="Z6" s="7">
        <f>$B6 * IFERROR(VLOOKUP("industry|NOx|Asthma symptoms cough", US_national_yearly!$D:$AM, 34, FALSE) / VLOOKUP("industry|NOx|Asthma symptoms cough", US_national_yearly!$D:$AM, 10, FALSE), 1)</f>
        <v>1.9378701627607599E-3</v>
      </c>
      <c r="AA6" s="7">
        <f>$B6 * IFERROR(VLOOKUP("industry|NOx|Asthma symptoms cough", US_national_yearly!$D:$AM, 35, FALSE) / VLOOKUP("industry|NOx|Asthma symptoms cough", US_national_yearly!$D:$AM, 10, FALSE), 1)</f>
        <v>1.9465666343582363E-3</v>
      </c>
      <c r="AB6" s="7">
        <f>$B6 * IFERROR(VLOOKUP("industry|NOx|Asthma symptoms cough", US_national_yearly!$D:$AM, 36, FALSE) / VLOOKUP("industry|NOx|Asthma symptoms cough", US_national_yearly!$D:$AM, 10, FALSE), 1)</f>
        <v>1.955263105955713E-3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2.2472008127685586E-3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2.2779432823378269E-3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2.3086857519070947E-3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2.339428221476363E-3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2.3701706910456317E-3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2.3948213822929574E-3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2.4194720735402834E-3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2.4280507325431058E-3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2.4366293915459281E-3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2.4452080505487509E-3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2.4537867095515741E-3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2.4623653685543964E-3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2.4721581420193198E-3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2.4819509154842432E-3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2.4917436889491671E-3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2.5015364624140909E-3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2.5113292358790143E-3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2.5239614804097722E-3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2.536593724940531E-3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2.5492259694712889E-3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2.5618582140020476E-3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2.5744904585328051E-3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2.5862015206009506E-3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2.5979125826690952E-3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2.6096236447372403E-3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2.621334706805385E-3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2.6330457688735296E-3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3.4333411396449518E-3</v>
      </c>
      <c r="C8" s="7">
        <f>$B8 * IFERROR(VLOOKUP("industry|NOx|Asthma symptoms wheeze", US_national_yearly!$D:$AM, 11, FALSE) / VLOOKUP("industry|NOx|Asthma symptoms wheeze", US_national_yearly!$D:$AM, 10, FALSE), 1)</f>
        <v>3.4803104114615592E-3</v>
      </c>
      <c r="D8" s="7">
        <f>$B8 * IFERROR(VLOOKUP("industry|NOx|Asthma symptoms wheeze", US_national_yearly!$D:$AM, 12, FALSE) / VLOOKUP("industry|NOx|Asthma symptoms wheeze", US_national_yearly!$D:$AM, 10, FALSE), 1)</f>
        <v>3.5272796832781666E-3</v>
      </c>
      <c r="E8" s="7">
        <f>$B8 * IFERROR(VLOOKUP("industry|NOx|Asthma symptoms wheeze", US_national_yearly!$D:$AM, 13, FALSE) / VLOOKUP("industry|NOx|Asthma symptoms wheeze", US_national_yearly!$D:$AM, 10, FALSE), 1)</f>
        <v>3.5742489550947736E-3</v>
      </c>
      <c r="F8" s="7">
        <f>$B8 * IFERROR(VLOOKUP("industry|NOx|Asthma symptoms wheeze", US_national_yearly!$D:$AM, 14, FALSE) / VLOOKUP("industry|NOx|Asthma symptoms wheeze", US_national_yearly!$D:$AM, 10, FALSE), 1)</f>
        <v>3.6212182269113801E-3</v>
      </c>
      <c r="G8" s="7">
        <f>$B8 * IFERROR(VLOOKUP("industry|NOx|Asthma symptoms wheeze", US_national_yearly!$D:$AM, 15, FALSE) / VLOOKUP("industry|NOx|Asthma symptoms wheeze", US_national_yearly!$D:$AM, 10, FALSE), 1)</f>
        <v>3.6588802962248443E-3</v>
      </c>
      <c r="H8" s="7">
        <f>$B8 * IFERROR(VLOOKUP("industry|NOx|Asthma symptoms wheeze", US_national_yearly!$D:$AM, 16, FALSE) / VLOOKUP("industry|NOx|Asthma symptoms wheeze", US_national_yearly!$D:$AM, 10, FALSE), 1)</f>
        <v>3.6965423655383064E-3</v>
      </c>
      <c r="I8" s="7">
        <f>$B8 * IFERROR(VLOOKUP("industry|NOx|Asthma symptoms wheeze", US_national_yearly!$D:$AM, 17, FALSE) / VLOOKUP("industry|NOx|Asthma symptoms wheeze", US_national_yearly!$D:$AM, 10, FALSE), 1)</f>
        <v>3.7096490995471749E-3</v>
      </c>
      <c r="J8" s="7">
        <f>$B8 * IFERROR(VLOOKUP("industry|NOx|Asthma symptoms wheeze", US_national_yearly!$D:$AM, 18, FALSE) / VLOOKUP("industry|NOx|Asthma symptoms wheeze", US_national_yearly!$D:$AM, 10, FALSE), 1)</f>
        <v>3.7227558335560427E-3</v>
      </c>
      <c r="K8" s="7">
        <f>$B8 * IFERROR(VLOOKUP("industry|NOx|Asthma symptoms wheeze", US_national_yearly!$D:$AM, 19, FALSE) / VLOOKUP("industry|NOx|Asthma symptoms wheeze", US_national_yearly!$D:$AM, 10, FALSE), 1)</f>
        <v>3.7358625675649113E-3</v>
      </c>
      <c r="L8" s="7">
        <f>$B8 * IFERROR(VLOOKUP("industry|NOx|Asthma symptoms wheeze", US_national_yearly!$D:$AM, 20, FALSE) / VLOOKUP("industry|NOx|Asthma symptoms wheeze", US_national_yearly!$D:$AM, 10, FALSE), 1)</f>
        <v>3.7489693015737781E-3</v>
      </c>
      <c r="M8" s="7">
        <f>$B8 * IFERROR(VLOOKUP("industry|NOx|Asthma symptoms wheeze", US_national_yearly!$D:$AM, 21, FALSE) / VLOOKUP("industry|NOx|Asthma symptoms wheeze", US_national_yearly!$D:$AM, 10, FALSE), 1)</f>
        <v>3.7620760355826467E-3</v>
      </c>
      <c r="N8" s="7">
        <f>$B8 * IFERROR(VLOOKUP("industry|NOx|Asthma symptoms wheeze", US_national_yearly!$D:$AM, 22, FALSE) / VLOOKUP("industry|NOx|Asthma symptoms wheeze", US_national_yearly!$D:$AM, 10, FALSE), 1)</f>
        <v>3.7770377302470894E-3</v>
      </c>
      <c r="O8" s="7">
        <f>$B8 * IFERROR(VLOOKUP("industry|NOx|Asthma symptoms wheeze", US_national_yearly!$D:$AM, 23, FALSE) / VLOOKUP("industry|NOx|Asthma symptoms wheeze", US_national_yearly!$D:$AM, 10, FALSE), 1)</f>
        <v>3.7919994249115316E-3</v>
      </c>
      <c r="P8" s="7">
        <f>$B8 * IFERROR(VLOOKUP("industry|NOx|Asthma symptoms wheeze", US_national_yearly!$D:$AM, 24, FALSE) / VLOOKUP("industry|NOx|Asthma symptoms wheeze", US_national_yearly!$D:$AM, 10, FALSE), 1)</f>
        <v>3.8069611195759735E-3</v>
      </c>
      <c r="Q8" s="7">
        <f>$B8 * IFERROR(VLOOKUP("industry|NOx|Asthma symptoms wheeze", US_national_yearly!$D:$AM, 25, FALSE) / VLOOKUP("industry|NOx|Asthma symptoms wheeze", US_national_yearly!$D:$AM, 10, FALSE), 1)</f>
        <v>3.8219228142404161E-3</v>
      </c>
      <c r="R8" s="7">
        <f>$B8 * IFERROR(VLOOKUP("industry|NOx|Asthma symptoms wheeze", US_national_yearly!$D:$AM, 26, FALSE) / VLOOKUP("industry|NOx|Asthma symptoms wheeze", US_national_yearly!$D:$AM, 10, FALSE), 1)</f>
        <v>3.8368845089048584E-3</v>
      </c>
      <c r="S8" s="7">
        <f>$B8 * IFERROR(VLOOKUP("industry|NOx|Asthma symptoms wheeze", US_national_yearly!$D:$AM, 27, FALSE) / VLOOKUP("industry|NOx|Asthma symptoms wheeze", US_national_yearly!$D:$AM, 10, FALSE), 1)</f>
        <v>3.8561844330202598E-3</v>
      </c>
      <c r="T8" s="7">
        <f>$B8 * IFERROR(VLOOKUP("industry|NOx|Asthma symptoms wheeze", US_national_yearly!$D:$AM, 28, FALSE) / VLOOKUP("industry|NOx|Asthma symptoms wheeze", US_national_yearly!$D:$AM, 10, FALSE), 1)</f>
        <v>3.8754843571356598E-3</v>
      </c>
      <c r="U8" s="7">
        <f>$B8 * IFERROR(VLOOKUP("industry|NOx|Asthma symptoms wheeze", US_national_yearly!$D:$AM, 29, FALSE) / VLOOKUP("industry|NOx|Asthma symptoms wheeze", US_national_yearly!$D:$AM, 10, FALSE), 1)</f>
        <v>3.8947842812510603E-3</v>
      </c>
      <c r="V8" s="7">
        <f>$B8 * IFERROR(VLOOKUP("industry|NOx|Asthma symptoms wheeze", US_national_yearly!$D:$AM, 30, FALSE) / VLOOKUP("industry|NOx|Asthma symptoms wheeze", US_national_yearly!$D:$AM, 10, FALSE), 1)</f>
        <v>3.9140842053664608E-3</v>
      </c>
      <c r="W8" s="7">
        <f>$B8 * IFERROR(VLOOKUP("industry|NOx|Asthma symptoms wheeze", US_national_yearly!$D:$AM, 31, FALSE) / VLOOKUP("industry|NOx|Asthma symptoms wheeze", US_national_yearly!$D:$AM, 10, FALSE), 1)</f>
        <v>3.9333841294818608E-3</v>
      </c>
      <c r="X8" s="7">
        <f>$B8 * IFERROR(VLOOKUP("industry|NOx|Asthma symptoms wheeze", US_national_yearly!$D:$AM, 32, FALSE) / VLOOKUP("industry|NOx|Asthma symptoms wheeze", US_national_yearly!$D:$AM, 10, FALSE), 1)</f>
        <v>3.9512766432740444E-3</v>
      </c>
      <c r="Y8" s="7">
        <f>$B8 * IFERROR(VLOOKUP("industry|NOx|Asthma symptoms wheeze", US_national_yearly!$D:$AM, 33, FALSE) / VLOOKUP("industry|NOx|Asthma symptoms wheeze", US_national_yearly!$D:$AM, 10, FALSE), 1)</f>
        <v>3.9691691570662262E-3</v>
      </c>
      <c r="Z8" s="7">
        <f>$B8 * IFERROR(VLOOKUP("industry|NOx|Asthma symptoms wheeze", US_national_yearly!$D:$AM, 34, FALSE) / VLOOKUP("industry|NOx|Asthma symptoms wheeze", US_national_yearly!$D:$AM, 10, FALSE), 1)</f>
        <v>3.9870616708584088E-3</v>
      </c>
      <c r="AA8" s="7">
        <f>$B8 * IFERROR(VLOOKUP("industry|NOx|Asthma symptoms wheeze", US_national_yearly!$D:$AM, 35, FALSE) / VLOOKUP("industry|NOx|Asthma symptoms wheeze", US_national_yearly!$D:$AM, 10, FALSE), 1)</f>
        <v>4.0049541846505906E-3</v>
      </c>
      <c r="AB8" s="7">
        <f>$B8 * IFERROR(VLOOKUP("industry|NOx|Asthma symptoms wheeze", US_national_yearly!$D:$AM, 36, FALSE) / VLOOKUP("industry|NOx|Asthma symptoms wheeze", US_national_yearly!$D:$AM, 10, FALSE), 1)</f>
        <v>4.0228466984427759E-3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4.3159760412944076E-5</v>
      </c>
      <c r="C12" s="7">
        <f>$B12 * IFERROR(VLOOKUP("industry|NOx|Respiratory hospital admissions", US_national_yearly!$D:$AM, 11, FALSE) / VLOOKUP("industry|NOx|Respiratory hospital admissions", US_national_yearly!$D:$AM, 10, FALSE), 1)</f>
        <v>4.4244076583401213E-5</v>
      </c>
      <c r="D12" s="7">
        <f>$B12 * IFERROR(VLOOKUP("industry|NOx|Respiratory hospital admissions", US_national_yearly!$D:$AM, 12, FALSE) / VLOOKUP("industry|NOx|Respiratory hospital admissions", US_national_yearly!$D:$AM, 10, FALSE), 1)</f>
        <v>4.532839275385835E-5</v>
      </c>
      <c r="E12" s="7">
        <f>$B12 * IFERROR(VLOOKUP("industry|NOx|Respiratory hospital admissions", US_national_yearly!$D:$AM, 13, FALSE) / VLOOKUP("industry|NOx|Respiratory hospital admissions", US_national_yearly!$D:$AM, 10, FALSE), 1)</f>
        <v>4.6412708924315494E-5</v>
      </c>
      <c r="F12" s="7">
        <f>$B12 * IFERROR(VLOOKUP("industry|NOx|Respiratory hospital admissions", US_national_yearly!$D:$AM, 14, FALSE) / VLOOKUP("industry|NOx|Respiratory hospital admissions", US_national_yearly!$D:$AM, 10, FALSE), 1)</f>
        <v>4.7497025094772617E-5</v>
      </c>
      <c r="G12" s="7">
        <f>$B12 * IFERROR(VLOOKUP("industry|NOx|Respiratory hospital admissions", US_national_yearly!$D:$AM, 15, FALSE) / VLOOKUP("industry|NOx|Respiratory hospital admissions", US_national_yearly!$D:$AM, 10, FALSE), 1)</f>
        <v>4.8534221728368732E-5</v>
      </c>
      <c r="H12" s="7">
        <f>$B12 * IFERROR(VLOOKUP("industry|NOx|Respiratory hospital admissions", US_national_yearly!$D:$AM, 16, FALSE) / VLOOKUP("industry|NOx|Respiratory hospital admissions", US_national_yearly!$D:$AM, 10, FALSE), 1)</f>
        <v>4.9571418361964846E-5</v>
      </c>
      <c r="I12" s="7">
        <f>$B12 * IFERROR(VLOOKUP("industry|NOx|Respiratory hospital admissions", US_national_yearly!$D:$AM, 17, FALSE) / VLOOKUP("industry|NOx|Respiratory hospital admissions", US_national_yearly!$D:$AM, 10, FALSE), 1)</f>
        <v>5.0454732138601056E-5</v>
      </c>
      <c r="J12" s="7">
        <f>$B12 * IFERROR(VLOOKUP("industry|NOx|Respiratory hospital admissions", US_national_yearly!$D:$AM, 18, FALSE) / VLOOKUP("industry|NOx|Respiratory hospital admissions", US_national_yearly!$D:$AM, 10, FALSE), 1)</f>
        <v>5.1338045915237265E-5</v>
      </c>
      <c r="K12" s="7">
        <f>$B12 * IFERROR(VLOOKUP("industry|NOx|Respiratory hospital admissions", US_national_yearly!$D:$AM, 19, FALSE) / VLOOKUP("industry|NOx|Respiratory hospital admissions", US_national_yearly!$D:$AM, 10, FALSE), 1)</f>
        <v>5.2221359691873481E-5</v>
      </c>
      <c r="L12" s="7">
        <f>$B12 * IFERROR(VLOOKUP("industry|NOx|Respiratory hospital admissions", US_national_yearly!$D:$AM, 20, FALSE) / VLOOKUP("industry|NOx|Respiratory hospital admissions", US_national_yearly!$D:$AM, 10, FALSE), 1)</f>
        <v>5.3104673468509704E-5</v>
      </c>
      <c r="M12" s="7">
        <f>$B12 * IFERROR(VLOOKUP("industry|NOx|Respiratory hospital admissions", US_national_yearly!$D:$AM, 21, FALSE) / VLOOKUP("industry|NOx|Respiratory hospital admissions", US_national_yearly!$D:$AM, 10, FALSE), 1)</f>
        <v>5.3987987245145914E-5</v>
      </c>
      <c r="N12" s="7">
        <f>$B12 * IFERROR(VLOOKUP("industry|NOx|Respiratory hospital admissions", US_national_yearly!$D:$AM, 22, FALSE) / VLOOKUP("industry|NOx|Respiratory hospital admissions", US_national_yearly!$D:$AM, 10, FALSE), 1)</f>
        <v>5.4579999144705652E-5</v>
      </c>
      <c r="O12" s="7">
        <f>$B12 * IFERROR(VLOOKUP("industry|NOx|Respiratory hospital admissions", US_national_yearly!$D:$AM, 23, FALSE) / VLOOKUP("industry|NOx|Respiratory hospital admissions", US_national_yearly!$D:$AM, 10, FALSE), 1)</f>
        <v>5.5172011044265383E-5</v>
      </c>
      <c r="P12" s="7">
        <f>$B12 * IFERROR(VLOOKUP("industry|NOx|Respiratory hospital admissions", US_national_yearly!$D:$AM, 24, FALSE) / VLOOKUP("industry|NOx|Respiratory hospital admissions", US_national_yearly!$D:$AM, 10, FALSE), 1)</f>
        <v>5.5764022943825127E-5</v>
      </c>
      <c r="Q12" s="7">
        <f>$B12 * IFERROR(VLOOKUP("industry|NOx|Respiratory hospital admissions", US_national_yearly!$D:$AM, 25, FALSE) / VLOOKUP("industry|NOx|Respiratory hospital admissions", US_national_yearly!$D:$AM, 10, FALSE), 1)</f>
        <v>5.6356034843384858E-5</v>
      </c>
      <c r="R12" s="7">
        <f>$B12 * IFERROR(VLOOKUP("industry|NOx|Respiratory hospital admissions", US_national_yearly!$D:$AM, 26, FALSE) / VLOOKUP("industry|NOx|Respiratory hospital admissions", US_national_yearly!$D:$AM, 10, FALSE), 1)</f>
        <v>5.6948046742944595E-5</v>
      </c>
      <c r="S12" s="7">
        <f>$B12 * IFERROR(VLOOKUP("industry|NOx|Respiratory hospital admissions", US_national_yearly!$D:$AM, 27, FALSE) / VLOOKUP("industry|NOx|Respiratory hospital admissions", US_national_yearly!$D:$AM, 10, FALSE), 1)</f>
        <v>5.7269457766198987E-5</v>
      </c>
      <c r="T12" s="7">
        <f>$B12 * IFERROR(VLOOKUP("industry|NOx|Respiratory hospital admissions", US_national_yearly!$D:$AM, 28, FALSE) / VLOOKUP("industry|NOx|Respiratory hospital admissions", US_national_yearly!$D:$AM, 10, FALSE), 1)</f>
        <v>5.7590868789453393E-5</v>
      </c>
      <c r="U12" s="7">
        <f>$B12 * IFERROR(VLOOKUP("industry|NOx|Respiratory hospital admissions", US_national_yearly!$D:$AM, 29, FALSE) / VLOOKUP("industry|NOx|Respiratory hospital admissions", US_national_yearly!$D:$AM, 10, FALSE), 1)</f>
        <v>5.7912279812707784E-5</v>
      </c>
      <c r="V12" s="7">
        <f>$B12 * IFERROR(VLOOKUP("industry|NOx|Respiratory hospital admissions", US_national_yearly!$D:$AM, 30, FALSE) / VLOOKUP("industry|NOx|Respiratory hospital admissions", US_national_yearly!$D:$AM, 10, FALSE), 1)</f>
        <v>5.8233690835962176E-5</v>
      </c>
      <c r="W12" s="7">
        <f>$B12 * IFERROR(VLOOKUP("industry|NOx|Respiratory hospital admissions", US_national_yearly!$D:$AM, 31, FALSE) / VLOOKUP("industry|NOx|Respiratory hospital admissions", US_national_yearly!$D:$AM, 10, FALSE), 1)</f>
        <v>5.8555101859216575E-5</v>
      </c>
      <c r="X12" s="7">
        <f>$B12 * IFERROR(VLOOKUP("industry|NOx|Respiratory hospital admissions", US_national_yearly!$D:$AM, 32, FALSE) / VLOOKUP("industry|NOx|Respiratory hospital admissions", US_national_yearly!$D:$AM, 10, FALSE), 1)</f>
        <v>5.8779209423927657E-5</v>
      </c>
      <c r="Y12" s="7">
        <f>$B12 * IFERROR(VLOOKUP("industry|NOx|Respiratory hospital admissions", US_national_yearly!$D:$AM, 33, FALSE) / VLOOKUP("industry|NOx|Respiratory hospital admissions", US_national_yearly!$D:$AM, 10, FALSE), 1)</f>
        <v>5.9003316988638731E-5</v>
      </c>
      <c r="Z12" s="7">
        <f>$B12 * IFERROR(VLOOKUP("industry|NOx|Respiratory hospital admissions", US_national_yearly!$D:$AM, 34, FALSE) / VLOOKUP("industry|NOx|Respiratory hospital admissions", US_national_yearly!$D:$AM, 10, FALSE), 1)</f>
        <v>5.922742455334982E-5</v>
      </c>
      <c r="AA12" s="7">
        <f>$B12 * IFERROR(VLOOKUP("industry|NOx|Respiratory hospital admissions", US_national_yearly!$D:$AM, 35, FALSE) / VLOOKUP("industry|NOx|Respiratory hospital admissions", US_national_yearly!$D:$AM, 10, FALSE), 1)</f>
        <v>5.9451532118060901E-5</v>
      </c>
      <c r="AB12" s="7">
        <f>$B12 * IFERROR(VLOOKUP("industry|NOx|Respiratory hospital admissions", US_national_yearly!$D:$AM, 36, FALSE) / VLOOKUP("industry|NOx|Respiratory hospital admissions", US_national_yearly!$D:$AM, 10, FALSE), 1)</f>
        <v>5.9675639682771976E-5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3.0150299793395405E-4</v>
      </c>
      <c r="C13" s="7">
        <f>$B13 * IFERROR(VLOOKUP("industry|NOx|Non-fatal heart attacks", US_national_yearly!$D:$AM, 11, FALSE) / VLOOKUP("industry|NOx|Non-fatal heart attacks", US_national_yearly!$D:$AM, 10, FALSE), 1)</f>
        <v>3.1011722750923552E-4</v>
      </c>
      <c r="D13" s="7">
        <f>$B13 * IFERROR(VLOOKUP("industry|NOx|Non-fatal heart attacks", US_national_yearly!$D:$AM, 12, FALSE) / VLOOKUP("industry|NOx|Non-fatal heart attacks", US_national_yearly!$D:$AM, 10, FALSE), 1)</f>
        <v>3.1873145708451699E-4</v>
      </c>
      <c r="E13" s="7">
        <f>$B13 * IFERROR(VLOOKUP("industry|NOx|Non-fatal heart attacks", US_national_yearly!$D:$AM, 13, FALSE) / VLOOKUP("industry|NOx|Non-fatal heart attacks", US_national_yearly!$D:$AM, 10, FALSE), 1)</f>
        <v>3.273456866597984E-4</v>
      </c>
      <c r="F13" s="7">
        <f>$B13 * IFERROR(VLOOKUP("industry|NOx|Non-fatal heart attacks", US_national_yearly!$D:$AM, 14, FALSE) / VLOOKUP("industry|NOx|Non-fatal heart attacks", US_national_yearly!$D:$AM, 10, FALSE), 1)</f>
        <v>3.3595991623507987E-4</v>
      </c>
      <c r="G13" s="7">
        <f>$B13 * IFERROR(VLOOKUP("industry|NOx|Non-fatal heart attacks", US_national_yearly!$D:$AM, 15, FALSE) / VLOOKUP("industry|NOx|Non-fatal heart attacks", US_national_yearly!$D:$AM, 10, FALSE), 1)</f>
        <v>3.440167302580521E-4</v>
      </c>
      <c r="H13" s="7">
        <f>$B13 * IFERROR(VLOOKUP("industry|NOx|Non-fatal heart attacks", US_national_yearly!$D:$AM, 16, FALSE) / VLOOKUP("industry|NOx|Non-fatal heart attacks", US_national_yearly!$D:$AM, 10, FALSE), 1)</f>
        <v>3.5207354428102422E-4</v>
      </c>
      <c r="I13" s="7">
        <f>$B13 * IFERROR(VLOOKUP("industry|NOx|Non-fatal heart attacks", US_national_yearly!$D:$AM, 17, FALSE) / VLOOKUP("industry|NOx|Non-fatal heart attacks", US_national_yearly!$D:$AM, 10, FALSE), 1)</f>
        <v>3.5844563724762396E-4</v>
      </c>
      <c r="J13" s="7">
        <f>$B13 * IFERROR(VLOOKUP("industry|NOx|Non-fatal heart attacks", US_national_yearly!$D:$AM, 18, FALSE) / VLOOKUP("industry|NOx|Non-fatal heart attacks", US_national_yearly!$D:$AM, 10, FALSE), 1)</f>
        <v>3.648177302142237E-4</v>
      </c>
      <c r="K13" s="7">
        <f>$B13 * IFERROR(VLOOKUP("industry|NOx|Non-fatal heart attacks", US_national_yearly!$D:$AM, 19, FALSE) / VLOOKUP("industry|NOx|Non-fatal heart attacks", US_national_yearly!$D:$AM, 10, FALSE), 1)</f>
        <v>3.7118982318082327E-4</v>
      </c>
      <c r="L13" s="7">
        <f>$B13 * IFERROR(VLOOKUP("industry|NOx|Non-fatal heart attacks", US_national_yearly!$D:$AM, 20, FALSE) / VLOOKUP("industry|NOx|Non-fatal heart attacks", US_national_yearly!$D:$AM, 10, FALSE), 1)</f>
        <v>3.7756191614742311E-4</v>
      </c>
      <c r="M13" s="7">
        <f>$B13 * IFERROR(VLOOKUP("industry|NOx|Non-fatal heart attacks", US_national_yearly!$D:$AM, 21, FALSE) / VLOOKUP("industry|NOx|Non-fatal heart attacks", US_national_yearly!$D:$AM, 10, FALSE), 1)</f>
        <v>3.839340091140229E-4</v>
      </c>
      <c r="N13" s="7">
        <f>$B13 * IFERROR(VLOOKUP("industry|NOx|Non-fatal heart attacks", US_national_yearly!$D:$AM, 22, FALSE) / VLOOKUP("industry|NOx|Non-fatal heart attacks", US_national_yearly!$D:$AM, 10, FALSE), 1)</f>
        <v>3.8777288929513616E-4</v>
      </c>
      <c r="O13" s="7">
        <f>$B13 * IFERROR(VLOOKUP("industry|NOx|Non-fatal heart attacks", US_national_yearly!$D:$AM, 23, FALSE) / VLOOKUP("industry|NOx|Non-fatal heart attacks", US_national_yearly!$D:$AM, 10, FALSE), 1)</f>
        <v>3.9161176947624931E-4</v>
      </c>
      <c r="P13" s="7">
        <f>$B13 * IFERROR(VLOOKUP("industry|NOx|Non-fatal heart attacks", US_national_yearly!$D:$AM, 24, FALSE) / VLOOKUP("industry|NOx|Non-fatal heart attacks", US_national_yearly!$D:$AM, 10, FALSE), 1)</f>
        <v>3.9545064965736246E-4</v>
      </c>
      <c r="Q13" s="7">
        <f>$B13 * IFERROR(VLOOKUP("industry|NOx|Non-fatal heart attacks", US_national_yearly!$D:$AM, 25, FALSE) / VLOOKUP("industry|NOx|Non-fatal heart attacks", US_national_yearly!$D:$AM, 10, FALSE), 1)</f>
        <v>3.992895298384756E-4</v>
      </c>
      <c r="R13" s="7">
        <f>$B13 * IFERROR(VLOOKUP("industry|NOx|Non-fatal heart attacks", US_national_yearly!$D:$AM, 26, FALSE) / VLOOKUP("industry|NOx|Non-fatal heart attacks", US_national_yearly!$D:$AM, 10, FALSE), 1)</f>
        <v>4.0312841001958875E-4</v>
      </c>
      <c r="S13" s="7">
        <f>$B13 * IFERROR(VLOOKUP("industry|NOx|Non-fatal heart attacks", US_national_yearly!$D:$AM, 27, FALSE) / VLOOKUP("industry|NOx|Non-fatal heart attacks", US_national_yearly!$D:$AM, 10, FALSE), 1)</f>
        <v>4.0488976481858809E-4</v>
      </c>
      <c r="T13" s="7">
        <f>$B13 * IFERROR(VLOOKUP("industry|NOx|Non-fatal heart attacks", US_national_yearly!$D:$AM, 28, FALSE) / VLOOKUP("industry|NOx|Non-fatal heart attacks", US_national_yearly!$D:$AM, 10, FALSE), 1)</f>
        <v>4.0665111961758733E-4</v>
      </c>
      <c r="U13" s="7">
        <f>$B13 * IFERROR(VLOOKUP("industry|NOx|Non-fatal heart attacks", US_national_yearly!$D:$AM, 29, FALSE) / VLOOKUP("industry|NOx|Non-fatal heart attacks", US_national_yearly!$D:$AM, 10, FALSE), 1)</f>
        <v>4.0841247441658661E-4</v>
      </c>
      <c r="V13" s="7">
        <f>$B13 * IFERROR(VLOOKUP("industry|NOx|Non-fatal heart attacks", US_national_yearly!$D:$AM, 30, FALSE) / VLOOKUP("industry|NOx|Non-fatal heart attacks", US_national_yearly!$D:$AM, 10, FALSE), 1)</f>
        <v>4.1017382921558596E-4</v>
      </c>
      <c r="W13" s="7">
        <f>$B13 * IFERROR(VLOOKUP("industry|NOx|Non-fatal heart attacks", US_national_yearly!$D:$AM, 31, FALSE) / VLOOKUP("industry|NOx|Non-fatal heart attacks", US_national_yearly!$D:$AM, 10, FALSE), 1)</f>
        <v>4.1193518401458525E-4</v>
      </c>
      <c r="X13" s="7">
        <f>$B13 * IFERROR(VLOOKUP("industry|NOx|Non-fatal heart attacks", US_national_yearly!$D:$AM, 32, FALSE) / VLOOKUP("industry|NOx|Non-fatal heart attacks", US_national_yearly!$D:$AM, 10, FALSE), 1)</f>
        <v>4.1312390553937216E-4</v>
      </c>
      <c r="Y13" s="7">
        <f>$B13 * IFERROR(VLOOKUP("industry|NOx|Non-fatal heart attacks", US_national_yearly!$D:$AM, 33, FALSE) / VLOOKUP("industry|NOx|Non-fatal heart attacks", US_national_yearly!$D:$AM, 10, FALSE), 1)</f>
        <v>4.1431262706415907E-4</v>
      </c>
      <c r="Z13" s="7">
        <f>$B13 * IFERROR(VLOOKUP("industry|NOx|Non-fatal heart attacks", US_national_yearly!$D:$AM, 34, FALSE) / VLOOKUP("industry|NOx|Non-fatal heart attacks", US_national_yearly!$D:$AM, 10, FALSE), 1)</f>
        <v>4.1550134858894599E-4</v>
      </c>
      <c r="AA13" s="7">
        <f>$B13 * IFERROR(VLOOKUP("industry|NOx|Non-fatal heart attacks", US_national_yearly!$D:$AM, 35, FALSE) / VLOOKUP("industry|NOx|Non-fatal heart attacks", US_national_yearly!$D:$AM, 10, FALSE), 1)</f>
        <v>4.166900701137329E-4</v>
      </c>
      <c r="AB13" s="7">
        <f>$B13 * IFERROR(VLOOKUP("industry|NOx|Non-fatal heart attacks", US_national_yearly!$D:$AM, 36, FALSE) / VLOOKUP("industry|NOx|Non-fatal heart attacks", US_national_yearly!$D:$AM, 10, FALSE), 1)</f>
        <v>4.1787879163851982E-4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0.21660981256501424</v>
      </c>
      <c r="C14" s="7">
        <f>$B14 * IFERROR(VLOOKUP("industry|NOx|Minor restricted activity days", US_national_yearly!$D:$AM, 11, FALSE) / VLOOKUP("industry|NOx|Minor restricted activity days", US_national_yearly!$D:$AM, 10, FALSE), 1)</f>
        <v>0.2169307367169207</v>
      </c>
      <c r="D14" s="7">
        <f>$B14 * IFERROR(VLOOKUP("industry|NOx|Minor restricted activity days", US_national_yearly!$D:$AM, 12, FALSE) / VLOOKUP("industry|NOx|Minor restricted activity days", US_national_yearly!$D:$AM, 10, FALSE), 1)</f>
        <v>0.21725166086882713</v>
      </c>
      <c r="E14" s="7">
        <f>$B14 * IFERROR(VLOOKUP("industry|NOx|Minor restricted activity days", US_national_yearly!$D:$AM, 13, FALSE) / VLOOKUP("industry|NOx|Minor restricted activity days", US_national_yearly!$D:$AM, 10, FALSE), 1)</f>
        <v>0.21757258502073359</v>
      </c>
      <c r="F14" s="7">
        <f>$B14 * IFERROR(VLOOKUP("industry|NOx|Minor restricted activity days", US_national_yearly!$D:$AM, 14, FALSE) / VLOOKUP("industry|NOx|Minor restricted activity days", US_national_yearly!$D:$AM, 10, FALSE), 1)</f>
        <v>0.21789350917264003</v>
      </c>
      <c r="G14" s="7">
        <f>$B14 * IFERROR(VLOOKUP("industry|NOx|Minor restricted activity days", US_national_yearly!$D:$AM, 15, FALSE) / VLOOKUP("industry|NOx|Minor restricted activity days", US_national_yearly!$D:$AM, 10, FALSE), 1)</f>
        <v>0.21847772157892051</v>
      </c>
      <c r="H14" s="7">
        <f>$B14 * IFERROR(VLOOKUP("industry|NOx|Minor restricted activity days", US_national_yearly!$D:$AM, 16, FALSE) / VLOOKUP("industry|NOx|Minor restricted activity days", US_national_yearly!$D:$AM, 10, FALSE), 1)</f>
        <v>0.21906193398520102</v>
      </c>
      <c r="I14" s="7">
        <f>$B14 * IFERROR(VLOOKUP("industry|NOx|Minor restricted activity days", US_national_yearly!$D:$AM, 17, FALSE) / VLOOKUP("industry|NOx|Minor restricted activity days", US_national_yearly!$D:$AM, 10, FALSE), 1)</f>
        <v>0.22021203926816213</v>
      </c>
      <c r="J14" s="7">
        <f>$B14 * IFERROR(VLOOKUP("industry|NOx|Minor restricted activity days", US_national_yearly!$D:$AM, 18, FALSE) / VLOOKUP("industry|NOx|Minor restricted activity days", US_national_yearly!$D:$AM, 10, FALSE), 1)</f>
        <v>0.22136214455112321</v>
      </c>
      <c r="K14" s="7">
        <f>$B14 * IFERROR(VLOOKUP("industry|NOx|Minor restricted activity days", US_national_yearly!$D:$AM, 19, FALSE) / VLOOKUP("industry|NOx|Minor restricted activity days", US_national_yearly!$D:$AM, 10, FALSE), 1)</f>
        <v>0.22251224983408424</v>
      </c>
      <c r="L14" s="7">
        <f>$B14 * IFERROR(VLOOKUP("industry|NOx|Minor restricted activity days", US_national_yearly!$D:$AM, 20, FALSE) / VLOOKUP("industry|NOx|Minor restricted activity days", US_national_yearly!$D:$AM, 10, FALSE), 1)</f>
        <v>0.22366235511704538</v>
      </c>
      <c r="M14" s="7">
        <f>$B14 * IFERROR(VLOOKUP("industry|NOx|Minor restricted activity days", US_national_yearly!$D:$AM, 21, FALSE) / VLOOKUP("industry|NOx|Minor restricted activity days", US_national_yearly!$D:$AM, 10, FALSE), 1)</f>
        <v>0.22481246040000646</v>
      </c>
      <c r="N14" s="7">
        <f>$B14 * IFERROR(VLOOKUP("industry|NOx|Minor restricted activity days", US_national_yearly!$D:$AM, 22, FALSE) / VLOOKUP("industry|NOx|Minor restricted activity days", US_national_yearly!$D:$AM, 10, FALSE), 1)</f>
        <v>0.22646868889438457</v>
      </c>
      <c r="O14" s="7">
        <f>$B14 * IFERROR(VLOOKUP("industry|NOx|Minor restricted activity days", US_national_yearly!$D:$AM, 23, FALSE) / VLOOKUP("industry|NOx|Minor restricted activity days", US_national_yearly!$D:$AM, 10, FALSE), 1)</f>
        <v>0.22812491738876275</v>
      </c>
      <c r="P14" s="7">
        <f>$B14 * IFERROR(VLOOKUP("industry|NOx|Minor restricted activity days", US_national_yearly!$D:$AM, 24, FALSE) / VLOOKUP("industry|NOx|Minor restricted activity days", US_national_yearly!$D:$AM, 10, FALSE), 1)</f>
        <v>0.22978114588314091</v>
      </c>
      <c r="Q14" s="7">
        <f>$B14 * IFERROR(VLOOKUP("industry|NOx|Minor restricted activity days", US_national_yearly!$D:$AM, 25, FALSE) / VLOOKUP("industry|NOx|Minor restricted activity days", US_national_yearly!$D:$AM, 10, FALSE), 1)</f>
        <v>0.23143737437751902</v>
      </c>
      <c r="R14" s="7">
        <f>$B14 * IFERROR(VLOOKUP("industry|NOx|Minor restricted activity days", US_national_yearly!$D:$AM, 26, FALSE) / VLOOKUP("industry|NOx|Minor restricted activity days", US_national_yearly!$D:$AM, 10, FALSE), 1)</f>
        <v>0.2330936028718972</v>
      </c>
      <c r="S14" s="7">
        <f>$B14 * IFERROR(VLOOKUP("industry|NOx|Minor restricted activity days", US_national_yearly!$D:$AM, 27, FALSE) / VLOOKUP("industry|NOx|Minor restricted activity days", US_national_yearly!$D:$AM, 10, FALSE), 1)</f>
        <v>0.23475160458052238</v>
      </c>
      <c r="T14" s="7">
        <f>$B14 * IFERROR(VLOOKUP("industry|NOx|Minor restricted activity days", US_national_yearly!$D:$AM, 28, FALSE) / VLOOKUP("industry|NOx|Minor restricted activity days", US_national_yearly!$D:$AM, 10, FALSE), 1)</f>
        <v>0.23640960628914762</v>
      </c>
      <c r="U14" s="7">
        <f>$B14 * IFERROR(VLOOKUP("industry|NOx|Minor restricted activity days", US_national_yearly!$D:$AM, 29, FALSE) / VLOOKUP("industry|NOx|Minor restricted activity days", US_national_yearly!$D:$AM, 10, FALSE), 1)</f>
        <v>0.23806760799777285</v>
      </c>
      <c r="V14" s="7">
        <f>$B14 * IFERROR(VLOOKUP("industry|NOx|Minor restricted activity days", US_national_yearly!$D:$AM, 30, FALSE) / VLOOKUP("industry|NOx|Minor restricted activity days", US_national_yearly!$D:$AM, 10, FALSE), 1)</f>
        <v>0.23972560970639806</v>
      </c>
      <c r="W14" s="7">
        <f>$B14 * IFERROR(VLOOKUP("industry|NOx|Minor restricted activity days", US_national_yearly!$D:$AM, 31, FALSE) / VLOOKUP("industry|NOx|Minor restricted activity days", US_national_yearly!$D:$AM, 10, FALSE), 1)</f>
        <v>0.24138361141502329</v>
      </c>
      <c r="X14" s="7">
        <f>$B14 * IFERROR(VLOOKUP("industry|NOx|Minor restricted activity days", US_national_yearly!$D:$AM, 32, FALSE) / VLOOKUP("industry|NOx|Minor restricted activity days", US_national_yearly!$D:$AM, 10, FALSE), 1)</f>
        <v>0.24278343805990329</v>
      </c>
      <c r="Y14" s="7">
        <f>$B14 * IFERROR(VLOOKUP("industry|NOx|Minor restricted activity days", US_national_yearly!$D:$AM, 33, FALSE) / VLOOKUP("industry|NOx|Minor restricted activity days", US_national_yearly!$D:$AM, 10, FALSE), 1)</f>
        <v>0.24418326470478321</v>
      </c>
      <c r="Z14" s="7">
        <f>$B14 * IFERROR(VLOOKUP("industry|NOx|Minor restricted activity days", US_national_yearly!$D:$AM, 34, FALSE) / VLOOKUP("industry|NOx|Minor restricted activity days", US_national_yearly!$D:$AM, 10, FALSE), 1)</f>
        <v>0.24558309134966316</v>
      </c>
      <c r="AA14" s="7">
        <f>$B14 * IFERROR(VLOOKUP("industry|NOx|Minor restricted activity days", US_national_yearly!$D:$AM, 35, FALSE) / VLOOKUP("industry|NOx|Minor restricted activity days", US_national_yearly!$D:$AM, 10, FALSE), 1)</f>
        <v>0.24698291799454314</v>
      </c>
      <c r="AB14" s="7">
        <f>$B14 * IFERROR(VLOOKUP("industry|NOx|Minor restricted activity days", US_national_yearly!$D:$AM, 36, FALSE) / VLOOKUP("industry|NOx|Minor restricted activity days", US_national_yearly!$D:$AM, 10, FALSE), 1)</f>
        <v>0.24838274463942314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3.655824952762253E-2</v>
      </c>
      <c r="C15" s="7">
        <f>$B15 * IFERROR(VLOOKUP("industry|NOx|Work loss days", US_national_yearly!$D:$AM, 11, FALSE) / VLOOKUP("industry|NOx|Work loss days", US_national_yearly!$D:$AM, 10, FALSE), 1)</f>
        <v>3.6637459441662003E-2</v>
      </c>
      <c r="D15" s="7">
        <f>$B15 * IFERROR(VLOOKUP("industry|NOx|Work loss days", US_national_yearly!$D:$AM, 12, FALSE) / VLOOKUP("industry|NOx|Work loss days", US_national_yearly!$D:$AM, 10, FALSE), 1)</f>
        <v>3.6716669355701455E-2</v>
      </c>
      <c r="E15" s="7">
        <f>$B15 * IFERROR(VLOOKUP("industry|NOx|Work loss days", US_national_yearly!$D:$AM, 13, FALSE) / VLOOKUP("industry|NOx|Work loss days", US_national_yearly!$D:$AM, 10, FALSE), 1)</f>
        <v>3.6795879269740921E-2</v>
      </c>
      <c r="F15" s="7">
        <f>$B15 * IFERROR(VLOOKUP("industry|NOx|Work loss days", US_national_yearly!$D:$AM, 14, FALSE) / VLOOKUP("industry|NOx|Work loss days", US_national_yearly!$D:$AM, 10, FALSE), 1)</f>
        <v>3.6875089183780387E-2</v>
      </c>
      <c r="G15" s="7">
        <f>$B15 * IFERROR(VLOOKUP("industry|NOx|Work loss days", US_national_yearly!$D:$AM, 15, FALSE) / VLOOKUP("industry|NOx|Work loss days", US_national_yearly!$D:$AM, 10, FALSE), 1)</f>
        <v>3.6990953421595828E-2</v>
      </c>
      <c r="H15" s="7">
        <f>$B15 * IFERROR(VLOOKUP("industry|NOx|Work loss days", US_national_yearly!$D:$AM, 16, FALSE) / VLOOKUP("industry|NOx|Work loss days", US_national_yearly!$D:$AM, 10, FALSE), 1)</f>
        <v>3.7106817659411276E-2</v>
      </c>
      <c r="I15" s="7">
        <f>$B15 * IFERROR(VLOOKUP("industry|NOx|Work loss days", US_national_yearly!$D:$AM, 17, FALSE) / VLOOKUP("industry|NOx|Work loss days", US_national_yearly!$D:$AM, 10, FALSE), 1)</f>
        <v>3.7295067667950509E-2</v>
      </c>
      <c r="J15" s="7">
        <f>$B15 * IFERROR(VLOOKUP("industry|NOx|Work loss days", US_national_yearly!$D:$AM, 18, FALSE) / VLOOKUP("industry|NOx|Work loss days", US_national_yearly!$D:$AM, 10, FALSE), 1)</f>
        <v>3.7483317676489734E-2</v>
      </c>
      <c r="K15" s="7">
        <f>$B15 * IFERROR(VLOOKUP("industry|NOx|Work loss days", US_national_yearly!$D:$AM, 19, FALSE) / VLOOKUP("industry|NOx|Work loss days", US_national_yearly!$D:$AM, 10, FALSE), 1)</f>
        <v>3.7671567685028967E-2</v>
      </c>
      <c r="L15" s="7">
        <f>$B15 * IFERROR(VLOOKUP("industry|NOx|Work loss days", US_national_yearly!$D:$AM, 20, FALSE) / VLOOKUP("industry|NOx|Work loss days", US_national_yearly!$D:$AM, 10, FALSE), 1)</f>
        <v>3.7859817693568186E-2</v>
      </c>
      <c r="M15" s="7">
        <f>$B15 * IFERROR(VLOOKUP("industry|NOx|Work loss days", US_national_yearly!$D:$AM, 21, FALSE) / VLOOKUP("industry|NOx|Work loss days", US_national_yearly!$D:$AM, 10, FALSE), 1)</f>
        <v>3.8048067702107419E-2</v>
      </c>
      <c r="N15" s="7">
        <f>$B15 * IFERROR(VLOOKUP("industry|NOx|Work loss days", US_national_yearly!$D:$AM, 22, FALSE) / VLOOKUP("industry|NOx|Work loss days", US_national_yearly!$D:$AM, 10, FALSE), 1)</f>
        <v>3.8294256022550273E-2</v>
      </c>
      <c r="O15" s="7">
        <f>$B15 * IFERROR(VLOOKUP("industry|NOx|Work loss days", US_national_yearly!$D:$AM, 23, FALSE) / VLOOKUP("industry|NOx|Work loss days", US_national_yearly!$D:$AM, 10, FALSE), 1)</f>
        <v>3.8540444342993134E-2</v>
      </c>
      <c r="P15" s="7">
        <f>$B15 * IFERROR(VLOOKUP("industry|NOx|Work loss days", US_national_yearly!$D:$AM, 24, FALSE) / VLOOKUP("industry|NOx|Work loss days", US_national_yearly!$D:$AM, 10, FALSE), 1)</f>
        <v>3.8786632663435988E-2</v>
      </c>
      <c r="Q15" s="7">
        <f>$B15 * IFERROR(VLOOKUP("industry|NOx|Work loss days", US_national_yearly!$D:$AM, 25, FALSE) / VLOOKUP("industry|NOx|Work loss days", US_national_yearly!$D:$AM, 10, FALSE), 1)</f>
        <v>3.9032820983878842E-2</v>
      </c>
      <c r="R15" s="7">
        <f>$B15 * IFERROR(VLOOKUP("industry|NOx|Work loss days", US_national_yearly!$D:$AM, 26, FALSE) / VLOOKUP("industry|NOx|Work loss days", US_national_yearly!$D:$AM, 10, FALSE), 1)</f>
        <v>3.9279009304321703E-2</v>
      </c>
      <c r="S15" s="7">
        <f>$B15 * IFERROR(VLOOKUP("industry|NOx|Work loss days", US_national_yearly!$D:$AM, 27, FALSE) / VLOOKUP("industry|NOx|Work loss days", US_national_yearly!$D:$AM, 10, FALSE), 1)</f>
        <v>3.9554232934480564E-2</v>
      </c>
      <c r="T15" s="7">
        <f>$B15 * IFERROR(VLOOKUP("industry|NOx|Work loss days", US_national_yearly!$D:$AM, 28, FALSE) / VLOOKUP("industry|NOx|Work loss days", US_national_yearly!$D:$AM, 10, FALSE), 1)</f>
        <v>3.9829456564639425E-2</v>
      </c>
      <c r="U15" s="7">
        <f>$B15 * IFERROR(VLOOKUP("industry|NOx|Work loss days", US_national_yearly!$D:$AM, 29, FALSE) / VLOOKUP("industry|NOx|Work loss days", US_national_yearly!$D:$AM, 10, FALSE), 1)</f>
        <v>4.0104680194798292E-2</v>
      </c>
      <c r="V15" s="7">
        <f>$B15 * IFERROR(VLOOKUP("industry|NOx|Work loss days", US_national_yearly!$D:$AM, 30, FALSE) / VLOOKUP("industry|NOx|Work loss days", US_national_yearly!$D:$AM, 10, FALSE), 1)</f>
        <v>4.0379903824957146E-2</v>
      </c>
      <c r="W15" s="7">
        <f>$B15 * IFERROR(VLOOKUP("industry|NOx|Work loss days", US_national_yearly!$D:$AM, 31, FALSE) / VLOOKUP("industry|NOx|Work loss days", US_national_yearly!$D:$AM, 10, FALSE), 1)</f>
        <v>4.0655127455116014E-2</v>
      </c>
      <c r="X15" s="7">
        <f>$B15 * IFERROR(VLOOKUP("industry|NOx|Work loss days", US_national_yearly!$D:$AM, 32, FALSE) / VLOOKUP("industry|NOx|Work loss days", US_national_yearly!$D:$AM, 10, FALSE), 1)</f>
        <v>4.0893893552701947E-2</v>
      </c>
      <c r="Y15" s="7">
        <f>$B15 * IFERROR(VLOOKUP("industry|NOx|Work loss days", US_national_yearly!$D:$AM, 33, FALSE) / VLOOKUP("industry|NOx|Work loss days", US_national_yearly!$D:$AM, 10, FALSE), 1)</f>
        <v>4.1132659650287881E-2</v>
      </c>
      <c r="Z15" s="7">
        <f>$B15 * IFERROR(VLOOKUP("industry|NOx|Work loss days", US_national_yearly!$D:$AM, 34, FALSE) / VLOOKUP("industry|NOx|Work loss days", US_national_yearly!$D:$AM, 10, FALSE), 1)</f>
        <v>4.1371425747873822E-2</v>
      </c>
      <c r="AA15" s="7">
        <f>$B15 * IFERROR(VLOOKUP("industry|NOx|Work loss days", US_national_yearly!$D:$AM, 35, FALSE) / VLOOKUP("industry|NOx|Work loss days", US_national_yearly!$D:$AM, 10, FALSE), 1)</f>
        <v>4.1610191845459756E-2</v>
      </c>
      <c r="AB15" s="7">
        <f>$B15 * IFERROR(VLOOKUP("industry|NOx|Work loss days", US_national_yearly!$D:$AM, 36, FALSE) / VLOOKUP("industry|NOx|Work loss days", US_national_yearly!$D:$AM, 10, FALSE), 1)</f>
        <v>4.1848957943045689E-2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7.335432208138934E-5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7.5508200918357075E-5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7.7662079755324811E-5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7.9815958592292533E-5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8.1969837429260282E-5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8.4016935890437037E-5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8.6064034351613793E-5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8.7789886476496426E-5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8.9515738601379045E-5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9.1241590726261651E-5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9.2967442851144284E-5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9.4693294976026891E-5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9.5773749426240269E-5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9.685420387645362E-5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9.7934658326666999E-5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9.9015112776880363E-5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1.0009556722709371E-4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1.0059400211490004E-4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1.0109243700270639E-4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1.0159087189051273E-4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1.0208930677831906E-4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1.025877416661254E-4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1.0286935389430323E-4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1.0315096612248106E-4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1.034325783506589E-4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1.0371419057883672E-4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1.0399580280701456E-4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9.9292675275566861E-3</v>
      </c>
      <c r="C2" s="7">
        <f>$B2 * IFERROR(VLOOKUP("industry|SO2|Premature mortality", US_national_yearly!$D:$AM, 11, FALSE) / VLOOKUP("industry|SO2|Premature mortality", US_national_yearly!$D:$AM, 10, FALSE), 1)</f>
        <v>1.0055139885846248E-2</v>
      </c>
      <c r="D2" s="7">
        <f>$B2 * IFERROR(VLOOKUP("industry|SO2|Premature mortality", US_national_yearly!$D:$AM, 12, FALSE) / VLOOKUP("industry|SO2|Premature mortality", US_national_yearly!$D:$AM, 10, FALSE), 1)</f>
        <v>1.0181012244135807E-2</v>
      </c>
      <c r="E2" s="7">
        <f>$B2 * IFERROR(VLOOKUP("industry|SO2|Premature mortality", US_national_yearly!$D:$AM, 13, FALSE) / VLOOKUP("industry|SO2|Premature mortality", US_national_yearly!$D:$AM, 10, FALSE), 1)</f>
        <v>1.0306884602425365E-2</v>
      </c>
      <c r="F2" s="7">
        <f>$B2 * IFERROR(VLOOKUP("industry|SO2|Premature mortality", US_national_yearly!$D:$AM, 14, FALSE) / VLOOKUP("industry|SO2|Premature mortality", US_national_yearly!$D:$AM, 10, FALSE), 1)</f>
        <v>1.0432756960714927E-2</v>
      </c>
      <c r="G2" s="7">
        <f>$B2 * IFERROR(VLOOKUP("industry|SO2|Premature mortality", US_national_yearly!$D:$AM, 15, FALSE) / VLOOKUP("industry|SO2|Premature mortality", US_national_yearly!$D:$AM, 10, FALSE), 1)</f>
        <v>1.067537135152288E-2</v>
      </c>
      <c r="H2" s="7">
        <f>$B2 * IFERROR(VLOOKUP("industry|SO2|Premature mortality", US_national_yearly!$D:$AM, 16, FALSE) / VLOOKUP("industry|SO2|Premature mortality", US_national_yearly!$D:$AM, 10, FALSE), 1)</f>
        <v>1.0917985742330832E-2</v>
      </c>
      <c r="I2" s="7">
        <f>$B2 * IFERROR(VLOOKUP("industry|SO2|Premature mortality", US_national_yearly!$D:$AM, 17, FALSE) / VLOOKUP("industry|SO2|Premature mortality", US_national_yearly!$D:$AM, 10, FALSE), 1)</f>
        <v>1.1078637890854372E-2</v>
      </c>
      <c r="J2" s="7">
        <f>$B2 * IFERROR(VLOOKUP("industry|SO2|Premature mortality", US_national_yearly!$D:$AM, 18, FALSE) / VLOOKUP("industry|SO2|Premature mortality", US_national_yearly!$D:$AM, 10, FALSE), 1)</f>
        <v>1.123929003937791E-2</v>
      </c>
      <c r="K2" s="7">
        <f>$B2 * IFERROR(VLOOKUP("industry|SO2|Premature mortality", US_national_yearly!$D:$AM, 19, FALSE) / VLOOKUP("industry|SO2|Premature mortality", US_national_yearly!$D:$AM, 10, FALSE), 1)</f>
        <v>1.1399942187901448E-2</v>
      </c>
      <c r="L2" s="7">
        <f>$B2 * IFERROR(VLOOKUP("industry|SO2|Premature mortality", US_national_yearly!$D:$AM, 20, FALSE) / VLOOKUP("industry|SO2|Premature mortality", US_national_yearly!$D:$AM, 10, FALSE), 1)</f>
        <v>1.1560594336424989E-2</v>
      </c>
      <c r="M2" s="7">
        <f>$B2 * IFERROR(VLOOKUP("industry|SO2|Premature mortality", US_national_yearly!$D:$AM, 21, FALSE) / VLOOKUP("industry|SO2|Premature mortality", US_national_yearly!$D:$AM, 10, FALSE), 1)</f>
        <v>1.1721246484948527E-2</v>
      </c>
      <c r="N2" s="7">
        <f>$B2 * IFERROR(VLOOKUP("industry|SO2|Premature mortality", US_national_yearly!$D:$AM, 22, FALSE) / VLOOKUP("industry|SO2|Premature mortality", US_national_yearly!$D:$AM, 10, FALSE), 1)</f>
        <v>1.1846914661967476E-2</v>
      </c>
      <c r="O2" s="7">
        <f>$B2 * IFERROR(VLOOKUP("industry|SO2|Premature mortality", US_national_yearly!$D:$AM, 23, FALSE) / VLOOKUP("industry|SO2|Premature mortality", US_national_yearly!$D:$AM, 10, FALSE), 1)</f>
        <v>1.1972582838986424E-2</v>
      </c>
      <c r="P2" s="7">
        <f>$B2 * IFERROR(VLOOKUP("industry|SO2|Premature mortality", US_national_yearly!$D:$AM, 24, FALSE) / VLOOKUP("industry|SO2|Premature mortality", US_national_yearly!$D:$AM, 10, FALSE), 1)</f>
        <v>1.2098251016005373E-2</v>
      </c>
      <c r="Q2" s="7">
        <f>$B2 * IFERROR(VLOOKUP("industry|SO2|Premature mortality", US_national_yearly!$D:$AM, 25, FALSE) / VLOOKUP("industry|SO2|Premature mortality", US_national_yearly!$D:$AM, 10, FALSE), 1)</f>
        <v>1.2223919193024322E-2</v>
      </c>
      <c r="R2" s="7">
        <f>$B2 * IFERROR(VLOOKUP("industry|SO2|Premature mortality", US_national_yearly!$D:$AM, 26, FALSE) / VLOOKUP("industry|SO2|Premature mortality", US_national_yearly!$D:$AM, 10, FALSE), 1)</f>
        <v>1.2349587370043272E-2</v>
      </c>
      <c r="S2" s="7">
        <f>$B2 * IFERROR(VLOOKUP("industry|SO2|Premature mortality", US_national_yearly!$D:$AM, 27, FALSE) / VLOOKUP("industry|SO2|Premature mortality", US_national_yearly!$D:$AM, 10, FALSE), 1)</f>
        <v>1.241744126248771E-2</v>
      </c>
      <c r="T2" s="7">
        <f>$B2 * IFERROR(VLOOKUP("industry|SO2|Premature mortality", US_national_yearly!$D:$AM, 28, FALSE) / VLOOKUP("industry|SO2|Premature mortality", US_national_yearly!$D:$AM, 10, FALSE), 1)</f>
        <v>1.2485295154932153E-2</v>
      </c>
      <c r="U2" s="7">
        <f>$B2 * IFERROR(VLOOKUP("industry|SO2|Premature mortality", US_national_yearly!$D:$AM, 29, FALSE) / VLOOKUP("industry|SO2|Premature mortality", US_national_yearly!$D:$AM, 10, FALSE), 1)</f>
        <v>1.2553149047376595E-2</v>
      </c>
      <c r="V2" s="7">
        <f>$B2 * IFERROR(VLOOKUP("industry|SO2|Premature mortality", US_national_yearly!$D:$AM, 30, FALSE) / VLOOKUP("industry|SO2|Premature mortality", US_national_yearly!$D:$AM, 10, FALSE), 1)</f>
        <v>1.2621002939821036E-2</v>
      </c>
      <c r="W2" s="7">
        <f>$B2 * IFERROR(VLOOKUP("industry|SO2|Premature mortality", US_national_yearly!$D:$AM, 31, FALSE) / VLOOKUP("industry|SO2|Premature mortality", US_national_yearly!$D:$AM, 10, FALSE), 1)</f>
        <v>1.2688856832265477E-2</v>
      </c>
      <c r="X2" s="7">
        <f>$B2 * IFERROR(VLOOKUP("industry|SO2|Premature mortality", US_national_yearly!$D:$AM, 32, FALSE) / VLOOKUP("industry|SO2|Premature mortality", US_national_yearly!$D:$AM, 10, FALSE), 1)</f>
        <v>1.2703461060406887E-2</v>
      </c>
      <c r="Y2" s="7">
        <f>$B2 * IFERROR(VLOOKUP("industry|SO2|Premature mortality", US_national_yearly!$D:$AM, 33, FALSE) / VLOOKUP("industry|SO2|Premature mortality", US_national_yearly!$D:$AM, 10, FALSE), 1)</f>
        <v>1.2718065288548299E-2</v>
      </c>
      <c r="Z2" s="7">
        <f>$B2 * IFERROR(VLOOKUP("industry|SO2|Premature mortality", US_national_yearly!$D:$AM, 34, FALSE) / VLOOKUP("industry|SO2|Premature mortality", US_national_yearly!$D:$AM, 10, FALSE), 1)</f>
        <v>1.273266951668971E-2</v>
      </c>
      <c r="AA2" s="7">
        <f>$B2 * IFERROR(VLOOKUP("industry|SO2|Premature mortality", US_national_yearly!$D:$AM, 35, FALSE) / VLOOKUP("industry|SO2|Premature mortality", US_national_yearly!$D:$AM, 10, FALSE), 1)</f>
        <v>1.2747273744831122E-2</v>
      </c>
      <c r="AB2" s="7">
        <f>$B2 * IFERROR(VLOOKUP("industry|SO2|Premature mortality", US_national_yearly!$D:$AM, 36, FALSE) / VLOOKUP("industry|SO2|Premature mortality", US_national_yearly!$D:$AM, 10, FALSE), 1)</f>
        <v>1.2761877972972532E-2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1.8183731737952286E-5</v>
      </c>
      <c r="C3" s="7">
        <f>$B3 * IFERROR(VLOOKUP("industry|SO2|Infant mortality", US_national_yearly!$D:$AM, 11, FALSE) / VLOOKUP("industry|SO2|Infant mortality", US_national_yearly!$D:$AM, 10, FALSE), 1)</f>
        <v>1.8027295691540211E-5</v>
      </c>
      <c r="D3" s="7">
        <f>$B3 * IFERROR(VLOOKUP("industry|SO2|Infant mortality", US_national_yearly!$D:$AM, 12, FALSE) / VLOOKUP("industry|SO2|Infant mortality", US_national_yearly!$D:$AM, 10, FALSE), 1)</f>
        <v>1.7870859645128139E-5</v>
      </c>
      <c r="E3" s="7">
        <f>$B3 * IFERROR(VLOOKUP("industry|SO2|Infant mortality", US_national_yearly!$D:$AM, 13, FALSE) / VLOOKUP("industry|SO2|Infant mortality", US_national_yearly!$D:$AM, 10, FALSE), 1)</f>
        <v>1.7714423598716068E-5</v>
      </c>
      <c r="F3" s="7">
        <f>$B3 * IFERROR(VLOOKUP("industry|SO2|Infant mortality", US_national_yearly!$D:$AM, 14, FALSE) / VLOOKUP("industry|SO2|Infant mortality", US_national_yearly!$D:$AM, 10, FALSE), 1)</f>
        <v>1.7557987552303996E-5</v>
      </c>
      <c r="G3" s="7">
        <f>$B3 * IFERROR(VLOOKUP("industry|SO2|Infant mortality", US_national_yearly!$D:$AM, 15, FALSE) / VLOOKUP("industry|SO2|Infant mortality", US_national_yearly!$D:$AM, 10, FALSE), 1)</f>
        <v>1.1688323277350113E-5</v>
      </c>
      <c r="H3" s="7">
        <f>$B3 * IFERROR(VLOOKUP("industry|SO2|Infant mortality", US_national_yearly!$D:$AM, 16, FALSE) / VLOOKUP("industry|SO2|Infant mortality", US_national_yearly!$D:$AM, 10, FALSE), 1)</f>
        <v>5.8186590023962319E-6</v>
      </c>
      <c r="I3" s="7">
        <f>$B3 * IFERROR(VLOOKUP("industry|SO2|Infant mortality", US_national_yearly!$D:$AM, 17, FALSE) / VLOOKUP("industry|SO2|Infant mortality", US_national_yearly!$D:$AM, 10, FALSE), 1)</f>
        <v>5.7817110140087037E-6</v>
      </c>
      <c r="J3" s="7">
        <f>$B3 * IFERROR(VLOOKUP("industry|SO2|Infant mortality", US_national_yearly!$D:$AM, 18, FALSE) / VLOOKUP("industry|SO2|Infant mortality", US_national_yearly!$D:$AM, 10, FALSE), 1)</f>
        <v>5.7447630256211746E-6</v>
      </c>
      <c r="K3" s="7">
        <f>$B3 * IFERROR(VLOOKUP("industry|SO2|Infant mortality", US_national_yearly!$D:$AM, 19, FALSE) / VLOOKUP("industry|SO2|Infant mortality", US_national_yearly!$D:$AM, 10, FALSE), 1)</f>
        <v>5.7078150372336456E-6</v>
      </c>
      <c r="L3" s="7">
        <f>$B3 * IFERROR(VLOOKUP("industry|SO2|Infant mortality", US_national_yearly!$D:$AM, 20, FALSE) / VLOOKUP("industry|SO2|Infant mortality", US_national_yearly!$D:$AM, 10, FALSE), 1)</f>
        <v>5.6708670488461166E-6</v>
      </c>
      <c r="M3" s="7">
        <f>$B3 * IFERROR(VLOOKUP("industry|SO2|Infant mortality", US_national_yearly!$D:$AM, 21, FALSE) / VLOOKUP("industry|SO2|Infant mortality", US_national_yearly!$D:$AM, 10, FALSE), 1)</f>
        <v>5.6339190604585884E-6</v>
      </c>
      <c r="N3" s="7">
        <f>$B3 * IFERROR(VLOOKUP("industry|SO2|Infant mortality", US_national_yearly!$D:$AM, 22, FALSE) / VLOOKUP("industry|SO2|Infant mortality", US_national_yearly!$D:$AM, 10, FALSE), 1)</f>
        <v>5.610501251838856E-6</v>
      </c>
      <c r="O3" s="7">
        <f>$B3 * IFERROR(VLOOKUP("industry|SO2|Infant mortality", US_national_yearly!$D:$AM, 23, FALSE) / VLOOKUP("industry|SO2|Infant mortality", US_national_yearly!$D:$AM, 10, FALSE), 1)</f>
        <v>5.5870834432191245E-6</v>
      </c>
      <c r="P3" s="7">
        <f>$B3 * IFERROR(VLOOKUP("industry|SO2|Infant mortality", US_national_yearly!$D:$AM, 24, FALSE) / VLOOKUP("industry|SO2|Infant mortality", US_national_yearly!$D:$AM, 10, FALSE), 1)</f>
        <v>5.5636656345993921E-6</v>
      </c>
      <c r="Q3" s="7">
        <f>$B3 * IFERROR(VLOOKUP("industry|SO2|Infant mortality", US_national_yearly!$D:$AM, 25, FALSE) / VLOOKUP("industry|SO2|Infant mortality", US_national_yearly!$D:$AM, 10, FALSE), 1)</f>
        <v>5.5402478259796606E-6</v>
      </c>
      <c r="R3" s="7">
        <f>$B3 * IFERROR(VLOOKUP("industry|SO2|Infant mortality", US_national_yearly!$D:$AM, 26, FALSE) / VLOOKUP("industry|SO2|Infant mortality", US_national_yearly!$D:$AM, 10, FALSE), 1)</f>
        <v>5.5168300173599282E-6</v>
      </c>
      <c r="S3" s="7">
        <f>$B3 * IFERROR(VLOOKUP("industry|SO2|Infant mortality", US_national_yearly!$D:$AM, 27, FALSE) / VLOOKUP("industry|SO2|Infant mortality", US_national_yearly!$D:$AM, 10, FALSE), 1)</f>
        <v>5.4876868216756362E-6</v>
      </c>
      <c r="T3" s="7">
        <f>$B3 * IFERROR(VLOOKUP("industry|SO2|Infant mortality", US_national_yearly!$D:$AM, 28, FALSE) / VLOOKUP("industry|SO2|Infant mortality", US_national_yearly!$D:$AM, 10, FALSE), 1)</f>
        <v>5.4585436259913433E-6</v>
      </c>
      <c r="U3" s="7">
        <f>$B3 * IFERROR(VLOOKUP("industry|SO2|Infant mortality", US_national_yearly!$D:$AM, 29, FALSE) / VLOOKUP("industry|SO2|Infant mortality", US_national_yearly!$D:$AM, 10, FALSE), 1)</f>
        <v>5.4294004303070513E-6</v>
      </c>
      <c r="V3" s="7">
        <f>$B3 * IFERROR(VLOOKUP("industry|SO2|Infant mortality", US_national_yearly!$D:$AM, 30, FALSE) / VLOOKUP("industry|SO2|Infant mortality", US_national_yearly!$D:$AM, 10, FALSE), 1)</f>
        <v>5.4002572346227592E-6</v>
      </c>
      <c r="W3" s="7">
        <f>$B3 * IFERROR(VLOOKUP("industry|SO2|Infant mortality", US_national_yearly!$D:$AM, 31, FALSE) / VLOOKUP("industry|SO2|Infant mortality", US_national_yearly!$D:$AM, 10, FALSE), 1)</f>
        <v>5.3711140389384664E-6</v>
      </c>
      <c r="X3" s="7">
        <f>$B3 * IFERROR(VLOOKUP("industry|SO2|Infant mortality", US_national_yearly!$D:$AM, 32, FALSE) / VLOOKUP("industry|SO2|Infant mortality", US_national_yearly!$D:$AM, 10, FALSE), 1)</f>
        <v>5.3394440821739252E-6</v>
      </c>
      <c r="Y3" s="7">
        <f>$B3 * IFERROR(VLOOKUP("industry|SO2|Infant mortality", US_national_yearly!$D:$AM, 33, FALSE) / VLOOKUP("industry|SO2|Infant mortality", US_national_yearly!$D:$AM, 10, FALSE), 1)</f>
        <v>5.307774125409384E-6</v>
      </c>
      <c r="Z3" s="7">
        <f>$B3 * IFERROR(VLOOKUP("industry|SO2|Infant mortality", US_national_yearly!$D:$AM, 34, FALSE) / VLOOKUP("industry|SO2|Infant mortality", US_national_yearly!$D:$AM, 10, FALSE), 1)</f>
        <v>5.276104168644842E-6</v>
      </c>
      <c r="AA3" s="7">
        <f>$B3 * IFERROR(VLOOKUP("industry|SO2|Infant mortality", US_national_yearly!$D:$AM, 35, FALSE) / VLOOKUP("industry|SO2|Infant mortality", US_national_yearly!$D:$AM, 10, FALSE), 1)</f>
        <v>5.2444342118803008E-6</v>
      </c>
      <c r="AB3" s="7">
        <f>$B3 * IFERROR(VLOOKUP("industry|SO2|Infant mortality", US_national_yearly!$D:$AM, 36, FALSE) / VLOOKUP("industry|SO2|Infant mortality", US_national_yearly!$D:$AM, 10, FALSE), 1)</f>
        <v>5.2127642551157588E-6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2.6127226229362619E-2</v>
      </c>
      <c r="C6" s="7">
        <f>$B6 * IFERROR(VLOOKUP("industry|SO2|Asthma symptoms cough", US_national_yearly!$D:$AM, 11, FALSE) / VLOOKUP("industry|SO2|Asthma symptoms cough", US_national_yearly!$D:$AM, 10, FALSE), 1)</f>
        <v>2.6127226229362619E-2</v>
      </c>
      <c r="D6" s="7">
        <f>$B6 * IFERROR(VLOOKUP("industry|SO2|Asthma symptoms cough", US_national_yearly!$D:$AM, 12, FALSE) / VLOOKUP("industry|SO2|Asthma symptoms cough", US_national_yearly!$D:$AM, 10, FALSE), 1)</f>
        <v>2.6127226229362619E-2</v>
      </c>
      <c r="E6" s="7">
        <f>$B6 * IFERROR(VLOOKUP("industry|SO2|Asthma symptoms cough", US_national_yearly!$D:$AM, 13, FALSE) / VLOOKUP("industry|SO2|Asthma symptoms cough", US_national_yearly!$D:$AM, 10, FALSE), 1)</f>
        <v>2.6127226229362619E-2</v>
      </c>
      <c r="F6" s="7">
        <f>$B6 * IFERROR(VLOOKUP("industry|SO2|Asthma symptoms cough", US_national_yearly!$D:$AM, 14, FALSE) / VLOOKUP("industry|SO2|Asthma symptoms cough", US_national_yearly!$D:$AM, 10, FALSE), 1)</f>
        <v>2.6127226229362619E-2</v>
      </c>
      <c r="G6" s="7">
        <f>$B6 * IFERROR(VLOOKUP("industry|SO2|Asthma symptoms cough", US_national_yearly!$D:$AM, 15, FALSE) / VLOOKUP("industry|SO2|Asthma symptoms cough", US_national_yearly!$D:$AM, 10, FALSE), 1)</f>
        <v>2.6127226229362619E-2</v>
      </c>
      <c r="H6" s="7">
        <f>$B6 * IFERROR(VLOOKUP("industry|SO2|Asthma symptoms cough", US_national_yearly!$D:$AM, 16, FALSE) / VLOOKUP("industry|SO2|Asthma symptoms cough", US_national_yearly!$D:$AM, 10, FALSE), 1)</f>
        <v>2.6127226229362619E-2</v>
      </c>
      <c r="I6" s="7">
        <f>$B6 * IFERROR(VLOOKUP("industry|SO2|Asthma symptoms cough", US_national_yearly!$D:$AM, 17, FALSE) / VLOOKUP("industry|SO2|Asthma symptoms cough", US_national_yearly!$D:$AM, 10, FALSE), 1)</f>
        <v>2.6127226229362619E-2</v>
      </c>
      <c r="J6" s="7">
        <f>$B6 * IFERROR(VLOOKUP("industry|SO2|Asthma symptoms cough", US_national_yearly!$D:$AM, 18, FALSE) / VLOOKUP("industry|SO2|Asthma symptoms cough", US_national_yearly!$D:$AM, 10, FALSE), 1)</f>
        <v>2.6127226229362619E-2</v>
      </c>
      <c r="K6" s="7">
        <f>$B6 * IFERROR(VLOOKUP("industry|SO2|Asthma symptoms cough", US_national_yearly!$D:$AM, 19, FALSE) / VLOOKUP("industry|SO2|Asthma symptoms cough", US_national_yearly!$D:$AM, 10, FALSE), 1)</f>
        <v>2.6127226229362619E-2</v>
      </c>
      <c r="L6" s="7">
        <f>$B6 * IFERROR(VLOOKUP("industry|SO2|Asthma symptoms cough", US_national_yearly!$D:$AM, 20, FALSE) / VLOOKUP("industry|SO2|Asthma symptoms cough", US_national_yearly!$D:$AM, 10, FALSE), 1)</f>
        <v>2.6127226229362619E-2</v>
      </c>
      <c r="M6" s="7">
        <f>$B6 * IFERROR(VLOOKUP("industry|SO2|Asthma symptoms cough", US_national_yearly!$D:$AM, 21, FALSE) / VLOOKUP("industry|SO2|Asthma symptoms cough", US_national_yearly!$D:$AM, 10, FALSE), 1)</f>
        <v>2.6127226229362619E-2</v>
      </c>
      <c r="N6" s="7">
        <f>$B6 * IFERROR(VLOOKUP("industry|SO2|Asthma symptoms cough", US_national_yearly!$D:$AM, 22, FALSE) / VLOOKUP("industry|SO2|Asthma symptoms cough", US_national_yearly!$D:$AM, 10, FALSE), 1)</f>
        <v>2.6127226229362619E-2</v>
      </c>
      <c r="O6" s="7">
        <f>$B6 * IFERROR(VLOOKUP("industry|SO2|Asthma symptoms cough", US_national_yearly!$D:$AM, 23, FALSE) / VLOOKUP("industry|SO2|Asthma symptoms cough", US_national_yearly!$D:$AM, 10, FALSE), 1)</f>
        <v>2.6127226229362619E-2</v>
      </c>
      <c r="P6" s="7">
        <f>$B6 * IFERROR(VLOOKUP("industry|SO2|Asthma symptoms cough", US_national_yearly!$D:$AM, 24, FALSE) / VLOOKUP("industry|SO2|Asthma symptoms cough", US_national_yearly!$D:$AM, 10, FALSE), 1)</f>
        <v>2.6127226229362619E-2</v>
      </c>
      <c r="Q6" s="7">
        <f>$B6 * IFERROR(VLOOKUP("industry|SO2|Asthma symptoms cough", US_national_yearly!$D:$AM, 25, FALSE) / VLOOKUP("industry|SO2|Asthma symptoms cough", US_national_yearly!$D:$AM, 10, FALSE), 1)</f>
        <v>2.6127226229362619E-2</v>
      </c>
      <c r="R6" s="7">
        <f>$B6 * IFERROR(VLOOKUP("industry|SO2|Asthma symptoms cough", US_national_yearly!$D:$AM, 26, FALSE) / VLOOKUP("industry|SO2|Asthma symptoms cough", US_national_yearly!$D:$AM, 10, FALSE), 1)</f>
        <v>2.6127226229362619E-2</v>
      </c>
      <c r="S6" s="7">
        <f>$B6 * IFERROR(VLOOKUP("industry|SO2|Asthma symptoms cough", US_national_yearly!$D:$AM, 27, FALSE) / VLOOKUP("industry|SO2|Asthma symptoms cough", US_national_yearly!$D:$AM, 10, FALSE), 1)</f>
        <v>2.6127226229362619E-2</v>
      </c>
      <c r="T6" s="7">
        <f>$B6 * IFERROR(VLOOKUP("industry|SO2|Asthma symptoms cough", US_national_yearly!$D:$AM, 28, FALSE) / VLOOKUP("industry|SO2|Asthma symptoms cough", US_national_yearly!$D:$AM, 10, FALSE), 1)</f>
        <v>2.6127226229362619E-2</v>
      </c>
      <c r="U6" s="7">
        <f>$B6 * IFERROR(VLOOKUP("industry|SO2|Asthma symptoms cough", US_national_yearly!$D:$AM, 29, FALSE) / VLOOKUP("industry|SO2|Asthma symptoms cough", US_national_yearly!$D:$AM, 10, FALSE), 1)</f>
        <v>2.6127226229362619E-2</v>
      </c>
      <c r="V6" s="7">
        <f>$B6 * IFERROR(VLOOKUP("industry|SO2|Asthma symptoms cough", US_national_yearly!$D:$AM, 30, FALSE) / VLOOKUP("industry|SO2|Asthma symptoms cough", US_national_yearly!$D:$AM, 10, FALSE), 1)</f>
        <v>2.6127226229362619E-2</v>
      </c>
      <c r="W6" s="7">
        <f>$B6 * IFERROR(VLOOKUP("industry|SO2|Asthma symptoms cough", US_national_yearly!$D:$AM, 31, FALSE) / VLOOKUP("industry|SO2|Asthma symptoms cough", US_national_yearly!$D:$AM, 10, FALSE), 1)</f>
        <v>2.6127226229362619E-2</v>
      </c>
      <c r="X6" s="7">
        <f>$B6 * IFERROR(VLOOKUP("industry|SO2|Asthma symptoms cough", US_national_yearly!$D:$AM, 32, FALSE) / VLOOKUP("industry|SO2|Asthma symptoms cough", US_national_yearly!$D:$AM, 10, FALSE), 1)</f>
        <v>2.6127226229362619E-2</v>
      </c>
      <c r="Y6" s="7">
        <f>$B6 * IFERROR(VLOOKUP("industry|SO2|Asthma symptoms cough", US_national_yearly!$D:$AM, 33, FALSE) / VLOOKUP("industry|SO2|Asthma symptoms cough", US_national_yearly!$D:$AM, 10, FALSE), 1)</f>
        <v>2.6127226229362619E-2</v>
      </c>
      <c r="Z6" s="7">
        <f>$B6 * IFERROR(VLOOKUP("industry|SO2|Asthma symptoms cough", US_national_yearly!$D:$AM, 34, FALSE) / VLOOKUP("industry|SO2|Asthma symptoms cough", US_national_yearly!$D:$AM, 10, FALSE), 1)</f>
        <v>2.6127226229362619E-2</v>
      </c>
      <c r="AA6" s="7">
        <f>$B6 * IFERROR(VLOOKUP("industry|SO2|Asthma symptoms cough", US_national_yearly!$D:$AM, 35, FALSE) / VLOOKUP("industry|SO2|Asthma symptoms cough", US_national_yearly!$D:$AM, 10, FALSE), 1)</f>
        <v>2.6127226229362619E-2</v>
      </c>
      <c r="AB6" s="7">
        <f>$B6 * IFERROR(VLOOKUP("industry|SO2|Asthma symptoms cough", US_national_yearly!$D:$AM, 36, FALSE) / VLOOKUP("industry|SO2|Asthma symptoms cough", US_national_yearly!$D:$AM, 10, FALSE), 1)</f>
        <v>2.6127226229362619E-2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3.5184055095090067E-2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3.5184055095090067E-2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3.5184055095090067E-2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3.5184055095090067E-2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3.5184055095090067E-2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3.5184055095090067E-2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3.5184055095090067E-2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3.5184055095090067E-2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3.5184055095090067E-2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3.5184055095090067E-2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3.5184055095090067E-2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3.5184055095090067E-2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3.5184055095090067E-2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3.5184055095090067E-2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3.5184055095090067E-2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3.5184055095090067E-2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3.5184055095090067E-2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3.5184055095090067E-2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3.5184055095090067E-2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3.5184055095090067E-2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3.5184055095090067E-2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3.5184055095090067E-2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3.5184055095090067E-2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3.5184055095090067E-2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3.5184055095090067E-2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3.5184055095090067E-2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3.5184055095090067E-2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5.3755438124857682E-2</v>
      </c>
      <c r="C8" s="7">
        <f>$B8 * IFERROR(VLOOKUP("industry|SO2|Asthma symptoms wheeze", US_national_yearly!$D:$AM, 11, FALSE) / VLOOKUP("industry|SO2|Asthma symptoms wheeze", US_national_yearly!$D:$AM, 10, FALSE), 1)</f>
        <v>5.3755438124857682E-2</v>
      </c>
      <c r="D8" s="7">
        <f>$B8 * IFERROR(VLOOKUP("industry|SO2|Asthma symptoms wheeze", US_national_yearly!$D:$AM, 12, FALSE) / VLOOKUP("industry|SO2|Asthma symptoms wheeze", US_national_yearly!$D:$AM, 10, FALSE), 1)</f>
        <v>5.3755438124857682E-2</v>
      </c>
      <c r="E8" s="7">
        <f>$B8 * IFERROR(VLOOKUP("industry|SO2|Asthma symptoms wheeze", US_national_yearly!$D:$AM, 13, FALSE) / VLOOKUP("industry|SO2|Asthma symptoms wheeze", US_national_yearly!$D:$AM, 10, FALSE), 1)</f>
        <v>5.3755438124857682E-2</v>
      </c>
      <c r="F8" s="7">
        <f>$B8 * IFERROR(VLOOKUP("industry|SO2|Asthma symptoms wheeze", US_national_yearly!$D:$AM, 14, FALSE) / VLOOKUP("industry|SO2|Asthma symptoms wheeze", US_national_yearly!$D:$AM, 10, FALSE), 1)</f>
        <v>5.3755438124857682E-2</v>
      </c>
      <c r="G8" s="7">
        <f>$B8 * IFERROR(VLOOKUP("industry|SO2|Asthma symptoms wheeze", US_national_yearly!$D:$AM, 15, FALSE) / VLOOKUP("industry|SO2|Asthma symptoms wheeze", US_national_yearly!$D:$AM, 10, FALSE), 1)</f>
        <v>5.3755438124857682E-2</v>
      </c>
      <c r="H8" s="7">
        <f>$B8 * IFERROR(VLOOKUP("industry|SO2|Asthma symptoms wheeze", US_national_yearly!$D:$AM, 16, FALSE) / VLOOKUP("industry|SO2|Asthma symptoms wheeze", US_national_yearly!$D:$AM, 10, FALSE), 1)</f>
        <v>5.3755438124857682E-2</v>
      </c>
      <c r="I8" s="7">
        <f>$B8 * IFERROR(VLOOKUP("industry|SO2|Asthma symptoms wheeze", US_national_yearly!$D:$AM, 17, FALSE) / VLOOKUP("industry|SO2|Asthma symptoms wheeze", US_national_yearly!$D:$AM, 10, FALSE), 1)</f>
        <v>5.3755438124857682E-2</v>
      </c>
      <c r="J8" s="7">
        <f>$B8 * IFERROR(VLOOKUP("industry|SO2|Asthma symptoms wheeze", US_national_yearly!$D:$AM, 18, FALSE) / VLOOKUP("industry|SO2|Asthma symptoms wheeze", US_national_yearly!$D:$AM, 10, FALSE), 1)</f>
        <v>5.3755438124857682E-2</v>
      </c>
      <c r="K8" s="7">
        <f>$B8 * IFERROR(VLOOKUP("industry|SO2|Asthma symptoms wheeze", US_national_yearly!$D:$AM, 19, FALSE) / VLOOKUP("industry|SO2|Asthma symptoms wheeze", US_national_yearly!$D:$AM, 10, FALSE), 1)</f>
        <v>5.3755438124857682E-2</v>
      </c>
      <c r="L8" s="7">
        <f>$B8 * IFERROR(VLOOKUP("industry|SO2|Asthma symptoms wheeze", US_national_yearly!$D:$AM, 20, FALSE) / VLOOKUP("industry|SO2|Asthma symptoms wheeze", US_national_yearly!$D:$AM, 10, FALSE), 1)</f>
        <v>5.3755438124857682E-2</v>
      </c>
      <c r="M8" s="7">
        <f>$B8 * IFERROR(VLOOKUP("industry|SO2|Asthma symptoms wheeze", US_national_yearly!$D:$AM, 21, FALSE) / VLOOKUP("industry|SO2|Asthma symptoms wheeze", US_national_yearly!$D:$AM, 10, FALSE), 1)</f>
        <v>5.3755438124857682E-2</v>
      </c>
      <c r="N8" s="7">
        <f>$B8 * IFERROR(VLOOKUP("industry|SO2|Asthma symptoms wheeze", US_national_yearly!$D:$AM, 22, FALSE) / VLOOKUP("industry|SO2|Asthma symptoms wheeze", US_national_yearly!$D:$AM, 10, FALSE), 1)</f>
        <v>5.3755438124857682E-2</v>
      </c>
      <c r="O8" s="7">
        <f>$B8 * IFERROR(VLOOKUP("industry|SO2|Asthma symptoms wheeze", US_national_yearly!$D:$AM, 23, FALSE) / VLOOKUP("industry|SO2|Asthma symptoms wheeze", US_national_yearly!$D:$AM, 10, FALSE), 1)</f>
        <v>5.3755438124857682E-2</v>
      </c>
      <c r="P8" s="7">
        <f>$B8 * IFERROR(VLOOKUP("industry|SO2|Asthma symptoms wheeze", US_national_yearly!$D:$AM, 24, FALSE) / VLOOKUP("industry|SO2|Asthma symptoms wheeze", US_national_yearly!$D:$AM, 10, FALSE), 1)</f>
        <v>5.3755438124857682E-2</v>
      </c>
      <c r="Q8" s="7">
        <f>$B8 * IFERROR(VLOOKUP("industry|SO2|Asthma symptoms wheeze", US_national_yearly!$D:$AM, 25, FALSE) / VLOOKUP("industry|SO2|Asthma symptoms wheeze", US_national_yearly!$D:$AM, 10, FALSE), 1)</f>
        <v>5.3755438124857682E-2</v>
      </c>
      <c r="R8" s="7">
        <f>$B8 * IFERROR(VLOOKUP("industry|SO2|Asthma symptoms wheeze", US_national_yearly!$D:$AM, 26, FALSE) / VLOOKUP("industry|SO2|Asthma symptoms wheeze", US_national_yearly!$D:$AM, 10, FALSE), 1)</f>
        <v>5.3755438124857682E-2</v>
      </c>
      <c r="S8" s="7">
        <f>$B8 * IFERROR(VLOOKUP("industry|SO2|Asthma symptoms wheeze", US_national_yearly!$D:$AM, 27, FALSE) / VLOOKUP("industry|SO2|Asthma symptoms wheeze", US_national_yearly!$D:$AM, 10, FALSE), 1)</f>
        <v>5.3755438124857682E-2</v>
      </c>
      <c r="T8" s="7">
        <f>$B8 * IFERROR(VLOOKUP("industry|SO2|Asthma symptoms wheeze", US_national_yearly!$D:$AM, 28, FALSE) / VLOOKUP("industry|SO2|Asthma symptoms wheeze", US_national_yearly!$D:$AM, 10, FALSE), 1)</f>
        <v>5.3755438124857682E-2</v>
      </c>
      <c r="U8" s="7">
        <f>$B8 * IFERROR(VLOOKUP("industry|SO2|Asthma symptoms wheeze", US_national_yearly!$D:$AM, 29, FALSE) / VLOOKUP("industry|SO2|Asthma symptoms wheeze", US_national_yearly!$D:$AM, 10, FALSE), 1)</f>
        <v>5.3755438124857682E-2</v>
      </c>
      <c r="V8" s="7">
        <f>$B8 * IFERROR(VLOOKUP("industry|SO2|Asthma symptoms wheeze", US_national_yearly!$D:$AM, 30, FALSE) / VLOOKUP("industry|SO2|Asthma symptoms wheeze", US_national_yearly!$D:$AM, 10, FALSE), 1)</f>
        <v>5.3755438124857682E-2</v>
      </c>
      <c r="W8" s="7">
        <f>$B8 * IFERROR(VLOOKUP("industry|SO2|Asthma symptoms wheeze", US_national_yearly!$D:$AM, 31, FALSE) / VLOOKUP("industry|SO2|Asthma symptoms wheeze", US_national_yearly!$D:$AM, 10, FALSE), 1)</f>
        <v>5.3755438124857682E-2</v>
      </c>
      <c r="X8" s="7">
        <f>$B8 * IFERROR(VLOOKUP("industry|SO2|Asthma symptoms wheeze", US_national_yearly!$D:$AM, 32, FALSE) / VLOOKUP("industry|SO2|Asthma symptoms wheeze", US_national_yearly!$D:$AM, 10, FALSE), 1)</f>
        <v>5.3755438124857682E-2</v>
      </c>
      <c r="Y8" s="7">
        <f>$B8 * IFERROR(VLOOKUP("industry|SO2|Asthma symptoms wheeze", US_national_yearly!$D:$AM, 33, FALSE) / VLOOKUP("industry|SO2|Asthma symptoms wheeze", US_national_yearly!$D:$AM, 10, FALSE), 1)</f>
        <v>5.3755438124857682E-2</v>
      </c>
      <c r="Z8" s="7">
        <f>$B8 * IFERROR(VLOOKUP("industry|SO2|Asthma symptoms wheeze", US_national_yearly!$D:$AM, 34, FALSE) / VLOOKUP("industry|SO2|Asthma symptoms wheeze", US_national_yearly!$D:$AM, 10, FALSE), 1)</f>
        <v>5.3755438124857682E-2</v>
      </c>
      <c r="AA8" s="7">
        <f>$B8 * IFERROR(VLOOKUP("industry|SO2|Asthma symptoms wheeze", US_national_yearly!$D:$AM, 35, FALSE) / VLOOKUP("industry|SO2|Asthma symptoms wheeze", US_national_yearly!$D:$AM, 10, FALSE), 1)</f>
        <v>5.3755438124857682E-2</v>
      </c>
      <c r="AB8" s="7">
        <f>$B8 * IFERROR(VLOOKUP("industry|SO2|Asthma symptoms wheeze", US_national_yearly!$D:$AM, 36, FALSE) / VLOOKUP("industry|SO2|Asthma symptoms wheeze", US_national_yearly!$D:$AM, 10, FALSE), 1)</f>
        <v>5.3755438124857682E-2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6.7634914446184355E-4</v>
      </c>
      <c r="C12" s="7">
        <f>$B12 * IFERROR(VLOOKUP("industry|SO2|Respiratory hospital admissions", US_national_yearly!$D:$AM, 11, FALSE) / VLOOKUP("industry|SO2|Respiratory hospital admissions", US_national_yearly!$D:$AM, 10, FALSE), 1)</f>
        <v>6.8031125926298517E-4</v>
      </c>
      <c r="D12" s="7">
        <f>$B12 * IFERROR(VLOOKUP("industry|SO2|Respiratory hospital admissions", US_national_yearly!$D:$AM, 12, FALSE) / VLOOKUP("industry|SO2|Respiratory hospital admissions", US_national_yearly!$D:$AM, 10, FALSE), 1)</f>
        <v>6.8427337406412679E-4</v>
      </c>
      <c r="E12" s="7">
        <f>$B12 * IFERROR(VLOOKUP("industry|SO2|Respiratory hospital admissions", US_national_yearly!$D:$AM, 13, FALSE) / VLOOKUP("industry|SO2|Respiratory hospital admissions", US_national_yearly!$D:$AM, 10, FALSE), 1)</f>
        <v>6.882354888652684E-4</v>
      </c>
      <c r="F12" s="7">
        <f>$B12 * IFERROR(VLOOKUP("industry|SO2|Respiratory hospital admissions", US_national_yearly!$D:$AM, 14, FALSE) / VLOOKUP("industry|SO2|Respiratory hospital admissions", US_national_yearly!$D:$AM, 10, FALSE), 1)</f>
        <v>6.9219760366641013E-4</v>
      </c>
      <c r="G12" s="7">
        <f>$B12 * IFERROR(VLOOKUP("industry|SO2|Respiratory hospital admissions", US_national_yearly!$D:$AM, 15, FALSE) / VLOOKUP("industry|SO2|Respiratory hospital admissions", US_national_yearly!$D:$AM, 10, FALSE), 1)</f>
        <v>6.9651707523978306E-4</v>
      </c>
      <c r="H12" s="7">
        <f>$B12 * IFERROR(VLOOKUP("industry|SO2|Respiratory hospital admissions", US_national_yearly!$D:$AM, 16, FALSE) / VLOOKUP("industry|SO2|Respiratory hospital admissions", US_national_yearly!$D:$AM, 10, FALSE), 1)</f>
        <v>7.0083654681315588E-4</v>
      </c>
      <c r="I12" s="7">
        <f>$B12 * IFERROR(VLOOKUP("industry|SO2|Respiratory hospital admissions", US_national_yearly!$D:$AM, 17, FALSE) / VLOOKUP("industry|SO2|Respiratory hospital admissions", US_national_yearly!$D:$AM, 10, FALSE), 1)</f>
        <v>7.0507897616680661E-4</v>
      </c>
      <c r="J12" s="7">
        <f>$B12 * IFERROR(VLOOKUP("industry|SO2|Respiratory hospital admissions", US_national_yearly!$D:$AM, 18, FALSE) / VLOOKUP("industry|SO2|Respiratory hospital admissions", US_national_yearly!$D:$AM, 10, FALSE), 1)</f>
        <v>7.0932140552045723E-4</v>
      </c>
      <c r="K12" s="7">
        <f>$B12 * IFERROR(VLOOKUP("industry|SO2|Respiratory hospital admissions", US_national_yearly!$D:$AM, 19, FALSE) / VLOOKUP("industry|SO2|Respiratory hospital admissions", US_national_yearly!$D:$AM, 10, FALSE), 1)</f>
        <v>7.1356383487410774E-4</v>
      </c>
      <c r="L12" s="7">
        <f>$B12 * IFERROR(VLOOKUP("industry|SO2|Respiratory hospital admissions", US_national_yearly!$D:$AM, 20, FALSE) / VLOOKUP("industry|SO2|Respiratory hospital admissions", US_national_yearly!$D:$AM, 10, FALSE), 1)</f>
        <v>7.1780626422775847E-4</v>
      </c>
      <c r="M12" s="7">
        <f>$B12 * IFERROR(VLOOKUP("industry|SO2|Respiratory hospital admissions", US_national_yearly!$D:$AM, 21, FALSE) / VLOOKUP("industry|SO2|Respiratory hospital admissions", US_national_yearly!$D:$AM, 10, FALSE), 1)</f>
        <v>7.2204869358140909E-4</v>
      </c>
      <c r="N12" s="7">
        <f>$B12 * IFERROR(VLOOKUP("industry|SO2|Respiratory hospital admissions", US_national_yearly!$D:$AM, 22, FALSE) / VLOOKUP("industry|SO2|Respiratory hospital admissions", US_national_yearly!$D:$AM, 10, FALSE), 1)</f>
        <v>7.2511857517445729E-4</v>
      </c>
      <c r="O12" s="7">
        <f>$B12 * IFERROR(VLOOKUP("industry|SO2|Respiratory hospital admissions", US_national_yearly!$D:$AM, 23, FALSE) / VLOOKUP("industry|SO2|Respiratory hospital admissions", US_national_yearly!$D:$AM, 10, FALSE), 1)</f>
        <v>7.2818845676750549E-4</v>
      </c>
      <c r="P12" s="7">
        <f>$B12 * IFERROR(VLOOKUP("industry|SO2|Respiratory hospital admissions", US_national_yearly!$D:$AM, 24, FALSE) / VLOOKUP("industry|SO2|Respiratory hospital admissions", US_national_yearly!$D:$AM, 10, FALSE), 1)</f>
        <v>7.3125833836055348E-4</v>
      </c>
      <c r="Q12" s="7">
        <f>$B12 * IFERROR(VLOOKUP("industry|SO2|Respiratory hospital admissions", US_national_yearly!$D:$AM, 25, FALSE) / VLOOKUP("industry|SO2|Respiratory hospital admissions", US_national_yearly!$D:$AM, 10, FALSE), 1)</f>
        <v>7.3432821995360169E-4</v>
      </c>
      <c r="R12" s="7">
        <f>$B12 * IFERROR(VLOOKUP("industry|SO2|Respiratory hospital admissions", US_national_yearly!$D:$AM, 26, FALSE) / VLOOKUP("industry|SO2|Respiratory hospital admissions", US_national_yearly!$D:$AM, 10, FALSE), 1)</f>
        <v>7.3739810154664967E-4</v>
      </c>
      <c r="S12" s="7">
        <f>$B12 * IFERROR(VLOOKUP("industry|SO2|Respiratory hospital admissions", US_national_yearly!$D:$AM, 27, FALSE) / VLOOKUP("industry|SO2|Respiratory hospital admissions", US_national_yearly!$D:$AM, 10, FALSE), 1)</f>
        <v>7.4031555474633976E-4</v>
      </c>
      <c r="T12" s="7">
        <f>$B12 * IFERROR(VLOOKUP("industry|SO2|Respiratory hospital admissions", US_national_yearly!$D:$AM, 28, FALSE) / VLOOKUP("industry|SO2|Respiratory hospital admissions", US_national_yearly!$D:$AM, 10, FALSE), 1)</f>
        <v>7.4323300794602962E-4</v>
      </c>
      <c r="U12" s="7">
        <f>$B12 * IFERROR(VLOOKUP("industry|SO2|Respiratory hospital admissions", US_national_yearly!$D:$AM, 29, FALSE) / VLOOKUP("industry|SO2|Respiratory hospital admissions", US_national_yearly!$D:$AM, 10, FALSE), 1)</f>
        <v>7.4615046114571949E-4</v>
      </c>
      <c r="V12" s="7">
        <f>$B12 * IFERROR(VLOOKUP("industry|SO2|Respiratory hospital admissions", US_national_yearly!$D:$AM, 30, FALSE) / VLOOKUP("industry|SO2|Respiratory hospital admissions", US_national_yearly!$D:$AM, 10, FALSE), 1)</f>
        <v>7.4906791434540957E-4</v>
      </c>
      <c r="W12" s="7">
        <f>$B12 * IFERROR(VLOOKUP("industry|SO2|Respiratory hospital admissions", US_national_yearly!$D:$AM, 31, FALSE) / VLOOKUP("industry|SO2|Respiratory hospital admissions", US_national_yearly!$D:$AM, 10, FALSE), 1)</f>
        <v>7.5198536754509944E-4</v>
      </c>
      <c r="X12" s="7">
        <f>$B12 * IFERROR(VLOOKUP("industry|SO2|Respiratory hospital admissions", US_national_yearly!$D:$AM, 32, FALSE) / VLOOKUP("industry|SO2|Respiratory hospital admissions", US_national_yearly!$D:$AM, 10, FALSE), 1)</f>
        <v>7.5475582492917832E-4</v>
      </c>
      <c r="Y12" s="7">
        <f>$B12 * IFERROR(VLOOKUP("industry|SO2|Respiratory hospital admissions", US_national_yearly!$D:$AM, 33, FALSE) / VLOOKUP("industry|SO2|Respiratory hospital admissions", US_national_yearly!$D:$AM, 10, FALSE), 1)</f>
        <v>7.5752628231325742E-4</v>
      </c>
      <c r="Z12" s="7">
        <f>$B12 * IFERROR(VLOOKUP("industry|SO2|Respiratory hospital admissions", US_national_yearly!$D:$AM, 34, FALSE) / VLOOKUP("industry|SO2|Respiratory hospital admissions", US_national_yearly!$D:$AM, 10, FALSE), 1)</f>
        <v>7.602967396973363E-4</v>
      </c>
      <c r="AA12" s="7">
        <f>$B12 * IFERROR(VLOOKUP("industry|SO2|Respiratory hospital admissions", US_national_yearly!$D:$AM, 35, FALSE) / VLOOKUP("industry|SO2|Respiratory hospital admissions", US_national_yearly!$D:$AM, 10, FALSE), 1)</f>
        <v>7.6306719708141518E-4</v>
      </c>
      <c r="AB12" s="7">
        <f>$B12 * IFERROR(VLOOKUP("industry|SO2|Respiratory hospital admissions", US_national_yearly!$D:$AM, 36, FALSE) / VLOOKUP("industry|SO2|Respiratory hospital admissions", US_national_yearly!$D:$AM, 10, FALSE), 1)</f>
        <v>7.6583765446549417E-4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4.7482260000441222E-3</v>
      </c>
      <c r="C13" s="7">
        <f>$B13 * IFERROR(VLOOKUP("industry|SO2|Non-fatal heart attacks", US_national_yearly!$D:$AM, 11, FALSE) / VLOOKUP("industry|SO2|Non-fatal heart attacks", US_national_yearly!$D:$AM, 10, FALSE), 1)</f>
        <v>4.8876161098639738E-3</v>
      </c>
      <c r="D13" s="7">
        <f>$B13 * IFERROR(VLOOKUP("industry|SO2|Non-fatal heart attacks", US_national_yearly!$D:$AM, 12, FALSE) / VLOOKUP("industry|SO2|Non-fatal heart attacks", US_national_yearly!$D:$AM, 10, FALSE), 1)</f>
        <v>5.0270062196838263E-3</v>
      </c>
      <c r="E13" s="7">
        <f>$B13 * IFERROR(VLOOKUP("industry|SO2|Non-fatal heart attacks", US_national_yearly!$D:$AM, 13, FALSE) / VLOOKUP("industry|SO2|Non-fatal heart attacks", US_national_yearly!$D:$AM, 10, FALSE), 1)</f>
        <v>5.1663963295036771E-3</v>
      </c>
      <c r="F13" s="7">
        <f>$B13 * IFERROR(VLOOKUP("industry|SO2|Non-fatal heart attacks", US_national_yearly!$D:$AM, 14, FALSE) / VLOOKUP("industry|SO2|Non-fatal heart attacks", US_national_yearly!$D:$AM, 10, FALSE), 1)</f>
        <v>5.3057864393235305E-3</v>
      </c>
      <c r="G13" s="7">
        <f>$B13 * IFERROR(VLOOKUP("industry|SO2|Non-fatal heart attacks", US_national_yearly!$D:$AM, 15, FALSE) / VLOOKUP("industry|SO2|Non-fatal heart attacks", US_national_yearly!$D:$AM, 10, FALSE), 1)</f>
        <v>5.4373316545126438E-3</v>
      </c>
      <c r="H13" s="7">
        <f>$B13 * IFERROR(VLOOKUP("industry|SO2|Non-fatal heart attacks", US_national_yearly!$D:$AM, 16, FALSE) / VLOOKUP("industry|SO2|Non-fatal heart attacks", US_national_yearly!$D:$AM, 10, FALSE), 1)</f>
        <v>5.5688768697017572E-3</v>
      </c>
      <c r="I13" s="7">
        <f>$B13 * IFERROR(VLOOKUP("industry|SO2|Non-fatal heart attacks", US_national_yearly!$D:$AM, 17, FALSE) / VLOOKUP("industry|SO2|Non-fatal heart attacks", US_national_yearly!$D:$AM, 10, FALSE), 1)</f>
        <v>5.6749250828378554E-3</v>
      </c>
      <c r="J13" s="7">
        <f>$B13 * IFERROR(VLOOKUP("industry|SO2|Non-fatal heart attacks", US_national_yearly!$D:$AM, 18, FALSE) / VLOOKUP("industry|SO2|Non-fatal heart attacks", US_national_yearly!$D:$AM, 10, FALSE), 1)</f>
        <v>5.7809732959739546E-3</v>
      </c>
      <c r="K13" s="7">
        <f>$B13 * IFERROR(VLOOKUP("industry|SO2|Non-fatal heart attacks", US_national_yearly!$D:$AM, 19, FALSE) / VLOOKUP("industry|SO2|Non-fatal heart attacks", US_national_yearly!$D:$AM, 10, FALSE), 1)</f>
        <v>5.8870215091100528E-3</v>
      </c>
      <c r="L13" s="7">
        <f>$B13 * IFERROR(VLOOKUP("industry|SO2|Non-fatal heart attacks", US_national_yearly!$D:$AM, 20, FALSE) / VLOOKUP("industry|SO2|Non-fatal heart attacks", US_national_yearly!$D:$AM, 10, FALSE), 1)</f>
        <v>5.9930697222461519E-3</v>
      </c>
      <c r="M13" s="7">
        <f>$B13 * IFERROR(VLOOKUP("industry|SO2|Non-fatal heart attacks", US_national_yearly!$D:$AM, 21, FALSE) / VLOOKUP("industry|SO2|Non-fatal heart attacks", US_national_yearly!$D:$AM, 10, FALSE), 1)</f>
        <v>6.0991179353822502E-3</v>
      </c>
      <c r="N13" s="7">
        <f>$B13 * IFERROR(VLOOKUP("industry|SO2|Non-fatal heart attacks", US_national_yearly!$D:$AM, 22, FALSE) / VLOOKUP("industry|SO2|Non-fatal heart attacks", US_national_yearly!$D:$AM, 10, FALSE), 1)</f>
        <v>6.1680125044515279E-3</v>
      </c>
      <c r="O13" s="7">
        <f>$B13 * IFERROR(VLOOKUP("industry|SO2|Non-fatal heart attacks", US_national_yearly!$D:$AM, 23, FALSE) / VLOOKUP("industry|SO2|Non-fatal heart attacks", US_national_yearly!$D:$AM, 10, FALSE), 1)</f>
        <v>6.2369070735208065E-3</v>
      </c>
      <c r="P13" s="7">
        <f>$B13 * IFERROR(VLOOKUP("industry|SO2|Non-fatal heart attacks", US_national_yearly!$D:$AM, 24, FALSE) / VLOOKUP("industry|SO2|Non-fatal heart attacks", US_national_yearly!$D:$AM, 10, FALSE), 1)</f>
        <v>6.3058016425900842E-3</v>
      </c>
      <c r="Q13" s="7">
        <f>$B13 * IFERROR(VLOOKUP("industry|SO2|Non-fatal heart attacks", US_national_yearly!$D:$AM, 25, FALSE) / VLOOKUP("industry|SO2|Non-fatal heart attacks", US_national_yearly!$D:$AM, 10, FALSE), 1)</f>
        <v>6.3746962116593619E-3</v>
      </c>
      <c r="R13" s="7">
        <f>$B13 * IFERROR(VLOOKUP("industry|SO2|Non-fatal heart attacks", US_national_yearly!$D:$AM, 26, FALSE) / VLOOKUP("industry|SO2|Non-fatal heart attacks", US_national_yearly!$D:$AM, 10, FALSE), 1)</f>
        <v>6.4435907807286396E-3</v>
      </c>
      <c r="S13" s="7">
        <f>$B13 * IFERROR(VLOOKUP("industry|SO2|Non-fatal heart attacks", US_national_yearly!$D:$AM, 27, FALSE) / VLOOKUP("industry|SO2|Non-fatal heart attacks", US_national_yearly!$D:$AM, 10, FALSE), 1)</f>
        <v>6.4797752213584308E-3</v>
      </c>
      <c r="T13" s="7">
        <f>$B13 * IFERROR(VLOOKUP("industry|SO2|Non-fatal heart attacks", US_national_yearly!$D:$AM, 28, FALSE) / VLOOKUP("industry|SO2|Non-fatal heart attacks", US_national_yearly!$D:$AM, 10, FALSE), 1)</f>
        <v>6.515959661988222E-3</v>
      </c>
      <c r="U13" s="7">
        <f>$B13 * IFERROR(VLOOKUP("industry|SO2|Non-fatal heart attacks", US_national_yearly!$D:$AM, 29, FALSE) / VLOOKUP("industry|SO2|Non-fatal heart attacks", US_national_yearly!$D:$AM, 10, FALSE), 1)</f>
        <v>6.5521441026180132E-3</v>
      </c>
      <c r="V13" s="7">
        <f>$B13 * IFERROR(VLOOKUP("industry|SO2|Non-fatal heart attacks", US_national_yearly!$D:$AM, 30, FALSE) / VLOOKUP("industry|SO2|Non-fatal heart attacks", US_national_yearly!$D:$AM, 10, FALSE), 1)</f>
        <v>6.5883285432478044E-3</v>
      </c>
      <c r="W13" s="7">
        <f>$B13 * IFERROR(VLOOKUP("industry|SO2|Non-fatal heart attacks", US_national_yearly!$D:$AM, 31, FALSE) / VLOOKUP("industry|SO2|Non-fatal heart attacks", US_national_yearly!$D:$AM, 10, FALSE), 1)</f>
        <v>6.6245129838775956E-3</v>
      </c>
      <c r="X13" s="7">
        <f>$B13 * IFERROR(VLOOKUP("industry|SO2|Non-fatal heart attacks", US_national_yearly!$D:$AM, 32, FALSE) / VLOOKUP("industry|SO2|Non-fatal heart attacks", US_national_yearly!$D:$AM, 10, FALSE), 1)</f>
        <v>6.651994022357971E-3</v>
      </c>
      <c r="Y13" s="7">
        <f>$B13 * IFERROR(VLOOKUP("industry|SO2|Non-fatal heart attacks", US_national_yearly!$D:$AM, 33, FALSE) / VLOOKUP("industry|SO2|Non-fatal heart attacks", US_national_yearly!$D:$AM, 10, FALSE), 1)</f>
        <v>6.6794750608383472E-3</v>
      </c>
      <c r="Z13" s="7">
        <f>$B13 * IFERROR(VLOOKUP("industry|SO2|Non-fatal heart attacks", US_national_yearly!$D:$AM, 34, FALSE) / VLOOKUP("industry|SO2|Non-fatal heart attacks", US_national_yearly!$D:$AM, 10, FALSE), 1)</f>
        <v>6.7069560993187225E-3</v>
      </c>
      <c r="AA13" s="7">
        <f>$B13 * IFERROR(VLOOKUP("industry|SO2|Non-fatal heart attacks", US_national_yearly!$D:$AM, 35, FALSE) / VLOOKUP("industry|SO2|Non-fatal heart attacks", US_national_yearly!$D:$AM, 10, FALSE), 1)</f>
        <v>6.7344371377990996E-3</v>
      </c>
      <c r="AB13" s="7">
        <f>$B13 * IFERROR(VLOOKUP("industry|SO2|Non-fatal heart attacks", US_national_yearly!$D:$AM, 36, FALSE) / VLOOKUP("industry|SO2|Non-fatal heart attacks", US_national_yearly!$D:$AM, 10, FALSE), 1)</f>
        <v>6.761918176279475E-3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3.4088935209205635</v>
      </c>
      <c r="C14" s="7">
        <f>$B14 * IFERROR(VLOOKUP("industry|SO2|Minor restricted activity days", US_national_yearly!$D:$AM, 11, FALSE) / VLOOKUP("industry|SO2|Minor restricted activity days", US_national_yearly!$D:$AM, 10, FALSE), 1)</f>
        <v>3.4174204898320024</v>
      </c>
      <c r="D14" s="7">
        <f>$B14 * IFERROR(VLOOKUP("industry|SO2|Minor restricted activity days", US_national_yearly!$D:$AM, 12, FALSE) / VLOOKUP("industry|SO2|Minor restricted activity days", US_national_yearly!$D:$AM, 10, FALSE), 1)</f>
        <v>3.4259474587434404</v>
      </c>
      <c r="E14" s="7">
        <f>$B14 * IFERROR(VLOOKUP("industry|SO2|Minor restricted activity days", US_national_yearly!$D:$AM, 13, FALSE) / VLOOKUP("industry|SO2|Minor restricted activity days", US_national_yearly!$D:$AM, 10, FALSE), 1)</f>
        <v>3.4344744276548793</v>
      </c>
      <c r="F14" s="7">
        <f>$B14 * IFERROR(VLOOKUP("industry|SO2|Minor restricted activity days", US_national_yearly!$D:$AM, 14, FALSE) / VLOOKUP("industry|SO2|Minor restricted activity days", US_national_yearly!$D:$AM, 10, FALSE), 1)</f>
        <v>3.4430013965663182</v>
      </c>
      <c r="G14" s="7">
        <f>$B14 * IFERROR(VLOOKUP("industry|SO2|Minor restricted activity days", US_national_yearly!$D:$AM, 15, FALSE) / VLOOKUP("industry|SO2|Minor restricted activity days", US_national_yearly!$D:$AM, 10, FALSE), 1)</f>
        <v>3.4555453803467748</v>
      </c>
      <c r="H14" s="7">
        <f>$B14 * IFERROR(VLOOKUP("industry|SO2|Minor restricted activity days", US_national_yearly!$D:$AM, 16, FALSE) / VLOOKUP("industry|SO2|Minor restricted activity days", US_national_yearly!$D:$AM, 10, FALSE), 1)</f>
        <v>3.468089364127231</v>
      </c>
      <c r="I14" s="7">
        <f>$B14 * IFERROR(VLOOKUP("industry|SO2|Minor restricted activity days", US_national_yearly!$D:$AM, 17, FALSE) / VLOOKUP("industry|SO2|Minor restricted activity days", US_national_yearly!$D:$AM, 10, FALSE), 1)</f>
        <v>3.4894806507419243</v>
      </c>
      <c r="J14" s="7">
        <f>$B14 * IFERROR(VLOOKUP("industry|SO2|Minor restricted activity days", US_national_yearly!$D:$AM, 18, FALSE) / VLOOKUP("industry|SO2|Minor restricted activity days", US_national_yearly!$D:$AM, 10, FALSE), 1)</f>
        <v>3.5108719373566171</v>
      </c>
      <c r="K14" s="7">
        <f>$B14 * IFERROR(VLOOKUP("industry|SO2|Minor restricted activity days", US_national_yearly!$D:$AM, 19, FALSE) / VLOOKUP("industry|SO2|Minor restricted activity days", US_national_yearly!$D:$AM, 10, FALSE), 1)</f>
        <v>3.5322632239713103</v>
      </c>
      <c r="L14" s="7">
        <f>$B14 * IFERROR(VLOOKUP("industry|SO2|Minor restricted activity days", US_national_yearly!$D:$AM, 20, FALSE) / VLOOKUP("industry|SO2|Minor restricted activity days", US_national_yearly!$D:$AM, 10, FALSE), 1)</f>
        <v>3.5536545105860031</v>
      </c>
      <c r="M14" s="7">
        <f>$B14 * IFERROR(VLOOKUP("industry|SO2|Minor restricted activity days", US_national_yearly!$D:$AM, 21, FALSE) / VLOOKUP("industry|SO2|Minor restricted activity days", US_national_yearly!$D:$AM, 10, FALSE), 1)</f>
        <v>3.5750457972006964</v>
      </c>
      <c r="N14" s="7">
        <f>$B14 * IFERROR(VLOOKUP("industry|SO2|Minor restricted activity days", US_national_yearly!$D:$AM, 22, FALSE) / VLOOKUP("industry|SO2|Minor restricted activity days", US_national_yearly!$D:$AM, 10, FALSE), 1)</f>
        <v>3.6043758238199777</v>
      </c>
      <c r="O14" s="7">
        <f>$B14 * IFERROR(VLOOKUP("industry|SO2|Minor restricted activity days", US_national_yearly!$D:$AM, 23, FALSE) / VLOOKUP("industry|SO2|Minor restricted activity days", US_national_yearly!$D:$AM, 10, FALSE), 1)</f>
        <v>3.633705850439259</v>
      </c>
      <c r="P14" s="7">
        <f>$B14 * IFERROR(VLOOKUP("industry|SO2|Minor restricted activity days", US_national_yearly!$D:$AM, 24, FALSE) / VLOOKUP("industry|SO2|Minor restricted activity days", US_national_yearly!$D:$AM, 10, FALSE), 1)</f>
        <v>3.6630358770585407</v>
      </c>
      <c r="Q14" s="7">
        <f>$B14 * IFERROR(VLOOKUP("industry|SO2|Minor restricted activity days", US_national_yearly!$D:$AM, 25, FALSE) / VLOOKUP("industry|SO2|Minor restricted activity days", US_national_yearly!$D:$AM, 10, FALSE), 1)</f>
        <v>3.6923659036778229</v>
      </c>
      <c r="R14" s="7">
        <f>$B14 * IFERROR(VLOOKUP("industry|SO2|Minor restricted activity days", US_national_yearly!$D:$AM, 26, FALSE) / VLOOKUP("industry|SO2|Minor restricted activity days", US_national_yearly!$D:$AM, 10, FALSE), 1)</f>
        <v>3.7216959302971042</v>
      </c>
      <c r="S14" s="7">
        <f>$B14 * IFERROR(VLOOKUP("industry|SO2|Minor restricted activity days", US_national_yearly!$D:$AM, 27, FALSE) / VLOOKUP("industry|SO2|Minor restricted activity days", US_national_yearly!$D:$AM, 10, FALSE), 1)</f>
        <v>3.7516295912132231</v>
      </c>
      <c r="T14" s="7">
        <f>$B14 * IFERROR(VLOOKUP("industry|SO2|Minor restricted activity days", US_national_yearly!$D:$AM, 28, FALSE) / VLOOKUP("industry|SO2|Minor restricted activity days", US_national_yearly!$D:$AM, 10, FALSE), 1)</f>
        <v>3.781563252129343</v>
      </c>
      <c r="U14" s="7">
        <f>$B14 * IFERROR(VLOOKUP("industry|SO2|Minor restricted activity days", US_national_yearly!$D:$AM, 29, FALSE) / VLOOKUP("industry|SO2|Minor restricted activity days", US_national_yearly!$D:$AM, 10, FALSE), 1)</f>
        <v>3.8114969130454623</v>
      </c>
      <c r="V14" s="7">
        <f>$B14 * IFERROR(VLOOKUP("industry|SO2|Minor restricted activity days", US_national_yearly!$D:$AM, 30, FALSE) / VLOOKUP("industry|SO2|Minor restricted activity days", US_national_yearly!$D:$AM, 10, FALSE), 1)</f>
        <v>3.8414305739615817</v>
      </c>
      <c r="W14" s="7">
        <f>$B14 * IFERROR(VLOOKUP("industry|SO2|Minor restricted activity days", US_national_yearly!$D:$AM, 31, FALSE) / VLOOKUP("industry|SO2|Minor restricted activity days", US_national_yearly!$D:$AM, 10, FALSE), 1)</f>
        <v>3.8713642348777011</v>
      </c>
      <c r="X14" s="7">
        <f>$B14 * IFERROR(VLOOKUP("industry|SO2|Minor restricted activity days", US_national_yearly!$D:$AM, 32, FALSE) / VLOOKUP("industry|SO2|Minor restricted activity days", US_national_yearly!$D:$AM, 10, FALSE), 1)</f>
        <v>3.8976846666676424</v>
      </c>
      <c r="Y14" s="7">
        <f>$B14 * IFERROR(VLOOKUP("industry|SO2|Minor restricted activity days", US_national_yearly!$D:$AM, 33, FALSE) / VLOOKUP("industry|SO2|Minor restricted activity days", US_national_yearly!$D:$AM, 10, FALSE), 1)</f>
        <v>3.9240050984575832</v>
      </c>
      <c r="Z14" s="7">
        <f>$B14 * IFERROR(VLOOKUP("industry|SO2|Minor restricted activity days", US_national_yearly!$D:$AM, 34, FALSE) / VLOOKUP("industry|SO2|Minor restricted activity days", US_national_yearly!$D:$AM, 10, FALSE), 1)</f>
        <v>3.950325530247524</v>
      </c>
      <c r="AA14" s="7">
        <f>$B14 * IFERROR(VLOOKUP("industry|SO2|Minor restricted activity days", US_national_yearly!$D:$AM, 35, FALSE) / VLOOKUP("industry|SO2|Minor restricted activity days", US_national_yearly!$D:$AM, 10, FALSE), 1)</f>
        <v>3.9766459620374648</v>
      </c>
      <c r="AB14" s="7">
        <f>$B14 * IFERROR(VLOOKUP("industry|SO2|Minor restricted activity days", US_national_yearly!$D:$AM, 36, FALSE) / VLOOKUP("industry|SO2|Minor restricted activity days", US_national_yearly!$D:$AM, 10, FALSE), 1)</f>
        <v>4.002966393827406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0.57521796963103367</v>
      </c>
      <c r="C15" s="7">
        <f>$B15 * IFERROR(VLOOKUP("industry|SO2|Work loss days", US_national_yearly!$D:$AM, 11, FALSE) / VLOOKUP("industry|SO2|Work loss days", US_national_yearly!$D:$AM, 10, FALSE), 1)</f>
        <v>0.5770678056350409</v>
      </c>
      <c r="D15" s="7">
        <f>$B15 * IFERROR(VLOOKUP("industry|SO2|Work loss days", US_national_yearly!$D:$AM, 12, FALSE) / VLOOKUP("industry|SO2|Work loss days", US_national_yearly!$D:$AM, 10, FALSE), 1)</f>
        <v>0.57891764163904846</v>
      </c>
      <c r="E15" s="7">
        <f>$B15 * IFERROR(VLOOKUP("industry|SO2|Work loss days", US_national_yearly!$D:$AM, 13, FALSE) / VLOOKUP("industry|SO2|Work loss days", US_national_yearly!$D:$AM, 10, FALSE), 1)</f>
        <v>0.5807674776430557</v>
      </c>
      <c r="F15" s="7">
        <f>$B15 * IFERROR(VLOOKUP("industry|SO2|Work loss days", US_national_yearly!$D:$AM, 14, FALSE) / VLOOKUP("industry|SO2|Work loss days", US_national_yearly!$D:$AM, 10, FALSE), 1)</f>
        <v>0.58261731364706326</v>
      </c>
      <c r="G15" s="7">
        <f>$B15 * IFERROR(VLOOKUP("industry|SO2|Work loss days", US_national_yearly!$D:$AM, 15, FALSE) / VLOOKUP("industry|SO2|Work loss days", US_national_yearly!$D:$AM, 10, FALSE), 1)</f>
        <v>0.58503184952866116</v>
      </c>
      <c r="H15" s="7">
        <f>$B15 * IFERROR(VLOOKUP("industry|SO2|Work loss days", US_national_yearly!$D:$AM, 16, FALSE) / VLOOKUP("industry|SO2|Work loss days", US_national_yearly!$D:$AM, 10, FALSE), 1)</f>
        <v>0.58744638541025929</v>
      </c>
      <c r="I15" s="7">
        <f>$B15 * IFERROR(VLOOKUP("industry|SO2|Work loss days", US_national_yearly!$D:$AM, 17, FALSE) / VLOOKUP("industry|SO2|Work loss days", US_national_yearly!$D:$AM, 10, FALSE), 1)</f>
        <v>0.59097575648706369</v>
      </c>
      <c r="J15" s="7">
        <f>$B15 * IFERROR(VLOOKUP("industry|SO2|Work loss days", US_national_yearly!$D:$AM, 18, FALSE) / VLOOKUP("industry|SO2|Work loss days", US_national_yearly!$D:$AM, 10, FALSE), 1)</f>
        <v>0.59450512756386797</v>
      </c>
      <c r="K15" s="7">
        <f>$B15 * IFERROR(VLOOKUP("industry|SO2|Work loss days", US_national_yearly!$D:$AM, 19, FALSE) / VLOOKUP("industry|SO2|Work loss days", US_national_yearly!$D:$AM, 10, FALSE), 1)</f>
        <v>0.59803449864067226</v>
      </c>
      <c r="L15" s="7">
        <f>$B15 * IFERROR(VLOOKUP("industry|SO2|Work loss days", US_national_yearly!$D:$AM, 20, FALSE) / VLOOKUP("industry|SO2|Work loss days", US_national_yearly!$D:$AM, 10, FALSE), 1)</f>
        <v>0.60156386971747666</v>
      </c>
      <c r="M15" s="7">
        <f>$B15 * IFERROR(VLOOKUP("industry|SO2|Work loss days", US_national_yearly!$D:$AM, 21, FALSE) / VLOOKUP("industry|SO2|Work loss days", US_national_yearly!$D:$AM, 10, FALSE), 1)</f>
        <v>0.60509324079428095</v>
      </c>
      <c r="N15" s="7">
        <f>$B15 * IFERROR(VLOOKUP("industry|SO2|Work loss days", US_national_yearly!$D:$AM, 22, FALSE) / VLOOKUP("industry|SO2|Work loss days", US_national_yearly!$D:$AM, 10, FALSE), 1)</f>
        <v>0.60952914064616948</v>
      </c>
      <c r="O15" s="7">
        <f>$B15 * IFERROR(VLOOKUP("industry|SO2|Work loss days", US_national_yearly!$D:$AM, 23, FALSE) / VLOOKUP("industry|SO2|Work loss days", US_national_yearly!$D:$AM, 10, FALSE), 1)</f>
        <v>0.61396504049805789</v>
      </c>
      <c r="P15" s="7">
        <f>$B15 * IFERROR(VLOOKUP("industry|SO2|Work loss days", US_national_yearly!$D:$AM, 24, FALSE) / VLOOKUP("industry|SO2|Work loss days", US_national_yearly!$D:$AM, 10, FALSE), 1)</f>
        <v>0.61840094034994642</v>
      </c>
      <c r="Q15" s="7">
        <f>$B15 * IFERROR(VLOOKUP("industry|SO2|Work loss days", US_national_yearly!$D:$AM, 25, FALSE) / VLOOKUP("industry|SO2|Work loss days", US_national_yearly!$D:$AM, 10, FALSE), 1)</f>
        <v>0.62283684020183494</v>
      </c>
      <c r="R15" s="7">
        <f>$B15 * IFERROR(VLOOKUP("industry|SO2|Work loss days", US_national_yearly!$D:$AM, 26, FALSE) / VLOOKUP("industry|SO2|Work loss days", US_national_yearly!$D:$AM, 10, FALSE), 1)</f>
        <v>0.62727274005372347</v>
      </c>
      <c r="S15" s="7">
        <f>$B15 * IFERROR(VLOOKUP("industry|SO2|Work loss days", US_national_yearly!$D:$AM, 27, FALSE) / VLOOKUP("industry|SO2|Work loss days", US_national_yearly!$D:$AM, 10, FALSE), 1)</f>
        <v>0.63223632917293371</v>
      </c>
      <c r="T15" s="7">
        <f>$B15 * IFERROR(VLOOKUP("industry|SO2|Work loss days", US_national_yearly!$D:$AM, 28, FALSE) / VLOOKUP("industry|SO2|Work loss days", US_national_yearly!$D:$AM, 10, FALSE), 1)</f>
        <v>0.63719991829214417</v>
      </c>
      <c r="U15" s="7">
        <f>$B15 * IFERROR(VLOOKUP("industry|SO2|Work loss days", US_national_yearly!$D:$AM, 29, FALSE) / VLOOKUP("industry|SO2|Work loss days", US_national_yearly!$D:$AM, 10, FALSE), 1)</f>
        <v>0.64216350741135475</v>
      </c>
      <c r="V15" s="7">
        <f>$B15 * IFERROR(VLOOKUP("industry|SO2|Work loss days", US_national_yearly!$D:$AM, 30, FALSE) / VLOOKUP("industry|SO2|Work loss days", US_national_yearly!$D:$AM, 10, FALSE), 1)</f>
        <v>0.6471270965305651</v>
      </c>
      <c r="W15" s="7">
        <f>$B15 * IFERROR(VLOOKUP("industry|SO2|Work loss days", US_national_yearly!$D:$AM, 31, FALSE) / VLOOKUP("industry|SO2|Work loss days", US_national_yearly!$D:$AM, 10, FALSE), 1)</f>
        <v>0.65209068564977557</v>
      </c>
      <c r="X15" s="7">
        <f>$B15 * IFERROR(VLOOKUP("industry|SO2|Work loss days", US_national_yearly!$D:$AM, 32, FALSE) / VLOOKUP("industry|SO2|Work loss days", US_national_yearly!$D:$AM, 10, FALSE), 1)</f>
        <v>0.65654884685189085</v>
      </c>
      <c r="Y15" s="7">
        <f>$B15 * IFERROR(VLOOKUP("industry|SO2|Work loss days", US_national_yearly!$D:$AM, 33, FALSE) / VLOOKUP("industry|SO2|Work loss days", US_national_yearly!$D:$AM, 10, FALSE), 1)</f>
        <v>0.66100700805400625</v>
      </c>
      <c r="Z15" s="7">
        <f>$B15 * IFERROR(VLOOKUP("industry|SO2|Work loss days", US_national_yearly!$D:$AM, 34, FALSE) / VLOOKUP("industry|SO2|Work loss days", US_national_yearly!$D:$AM, 10, FALSE), 1)</f>
        <v>0.66546516925612142</v>
      </c>
      <c r="AA15" s="7">
        <f>$B15 * IFERROR(VLOOKUP("industry|SO2|Work loss days", US_national_yearly!$D:$AM, 35, FALSE) / VLOOKUP("industry|SO2|Work loss days", US_national_yearly!$D:$AM, 10, FALSE), 1)</f>
        <v>0.66992333045823682</v>
      </c>
      <c r="AB15" s="7">
        <f>$B15 * IFERROR(VLOOKUP("industry|SO2|Work loss days", US_national_yearly!$D:$AM, 36, FALSE) / VLOOKUP("industry|SO2|Work loss days", US_national_yearly!$D:$AM, 10, FALSE), 1)</f>
        <v>0.67438149166035211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1.1475534578757897E-3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1.1822522572936707E-3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1.2169510567115519E-3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1.251649856129433E-3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1.2863486555473142E-3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1.3196026209306914E-3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1.3528565863140688E-3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1.3813896530514413E-3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1.4099227197888139E-3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1.4384557865261868E-3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1.4669888532635594E-3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1.4955219200009321E-3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1.5146919809210255E-3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1.5338620418411189E-3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1.5530321027612121E-3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1.5722021636813057E-3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1.5913722246013991E-3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1.6015086096231855E-3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1.6116449946449723E-3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1.6217813796667586E-3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1.6319177646885456E-3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1.642054149710332E-3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1.6489090335189821E-3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1.6557639173276322E-3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1.6626188011362828E-3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1.6694736849449331E-3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1.676328568753583E-3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6.3941290340339767E-4</v>
      </c>
      <c r="C2" s="7">
        <f>$B2 * IFERROR(VLOOKUP("LULUCF|PM25|Premature mortality", US_national_yearly!$D:$AM, 11, FALSE) / VLOOKUP("LULUCF|PM25|Premature mortality", US_national_yearly!$D:$AM, 10, FALSE), 1)</f>
        <v>6.4734022214108812E-4</v>
      </c>
      <c r="D2" s="7">
        <f>$B2 * IFERROR(VLOOKUP("LULUCF|PM25|Premature mortality", US_national_yearly!$D:$AM, 12, FALSE) / VLOOKUP("LULUCF|PM25|Premature mortality", US_national_yearly!$D:$AM, 10, FALSE), 1)</f>
        <v>6.5526754087877846E-4</v>
      </c>
      <c r="E2" s="7">
        <f>$B2 * IFERROR(VLOOKUP("LULUCF|PM25|Premature mortality", US_national_yearly!$D:$AM, 13, FALSE) / VLOOKUP("LULUCF|PM25|Premature mortality", US_national_yearly!$D:$AM, 10, FALSE), 1)</f>
        <v>6.6319485961646881E-4</v>
      </c>
      <c r="F2" s="7">
        <f>$B2 * IFERROR(VLOOKUP("LULUCF|PM25|Premature mortality", US_national_yearly!$D:$AM, 14, FALSE) / VLOOKUP("LULUCF|PM25|Premature mortality", US_national_yearly!$D:$AM, 10, FALSE), 1)</f>
        <v>6.7112217835415915E-4</v>
      </c>
      <c r="G2" s="7">
        <f>$B2 * IFERROR(VLOOKUP("LULUCF|PM25|Premature mortality", US_national_yearly!$D:$AM, 15, FALSE) / VLOOKUP("LULUCF|PM25|Premature mortality", US_national_yearly!$D:$AM, 10, FALSE), 1)</f>
        <v>6.8656057180938848E-4</v>
      </c>
      <c r="H2" s="7">
        <f>$B2 * IFERROR(VLOOKUP("LULUCF|PM25|Premature mortality", US_national_yearly!$D:$AM, 16, FALSE) / VLOOKUP("LULUCF|PM25|Premature mortality", US_national_yearly!$D:$AM, 10, FALSE), 1)</f>
        <v>7.0199896526461781E-4</v>
      </c>
      <c r="I2" s="7">
        <f>$B2 * IFERROR(VLOOKUP("LULUCF|PM25|Premature mortality", US_national_yearly!$D:$AM, 17, FALSE) / VLOOKUP("LULUCF|PM25|Premature mortality", US_national_yearly!$D:$AM, 10, FALSE), 1)</f>
        <v>7.1213955196727568E-4</v>
      </c>
      <c r="J2" s="7">
        <f>$B2 * IFERROR(VLOOKUP("LULUCF|PM25|Premature mortality", US_national_yearly!$D:$AM, 18, FALSE) / VLOOKUP("LULUCF|PM25|Premature mortality", US_national_yearly!$D:$AM, 10, FALSE), 1)</f>
        <v>7.2228013866993399E-4</v>
      </c>
      <c r="K2" s="7">
        <f>$B2 * IFERROR(VLOOKUP("LULUCF|PM25|Premature mortality", US_national_yearly!$D:$AM, 19, FALSE) / VLOOKUP("LULUCF|PM25|Premature mortality", US_national_yearly!$D:$AM, 10, FALSE), 1)</f>
        <v>7.3242072537259208E-4</v>
      </c>
      <c r="L2" s="7">
        <f>$B2 * IFERROR(VLOOKUP("LULUCF|PM25|Premature mortality", US_national_yearly!$D:$AM, 20, FALSE) / VLOOKUP("LULUCF|PM25|Premature mortality", US_national_yearly!$D:$AM, 10, FALSE), 1)</f>
        <v>7.4256131207525028E-4</v>
      </c>
      <c r="M2" s="7">
        <f>$B2 * IFERROR(VLOOKUP("LULUCF|PM25|Premature mortality", US_national_yearly!$D:$AM, 21, FALSE) / VLOOKUP("LULUCF|PM25|Premature mortality", US_national_yearly!$D:$AM, 10, FALSE), 1)</f>
        <v>7.5270189877790837E-4</v>
      </c>
      <c r="N2" s="7">
        <f>$B2 * IFERROR(VLOOKUP("LULUCF|PM25|Premature mortality", US_national_yearly!$D:$AM, 22, FALSE) / VLOOKUP("LULUCF|PM25|Premature mortality", US_national_yearly!$D:$AM, 10, FALSE), 1)</f>
        <v>7.6057541896462264E-4</v>
      </c>
      <c r="O2" s="7">
        <f>$B2 * IFERROR(VLOOKUP("LULUCF|PM25|Premature mortality", US_national_yearly!$D:$AM, 23, FALSE) / VLOOKUP("LULUCF|PM25|Premature mortality", US_national_yearly!$D:$AM, 10, FALSE), 1)</f>
        <v>7.6844893915133702E-4</v>
      </c>
      <c r="P2" s="7">
        <f>$B2 * IFERROR(VLOOKUP("LULUCF|PM25|Premature mortality", US_national_yearly!$D:$AM, 24, FALSE) / VLOOKUP("LULUCF|PM25|Premature mortality", US_national_yearly!$D:$AM, 10, FALSE), 1)</f>
        <v>7.7632245933805129E-4</v>
      </c>
      <c r="Q2" s="7">
        <f>$B2 * IFERROR(VLOOKUP("LULUCF|PM25|Premature mortality", US_national_yearly!$D:$AM, 25, FALSE) / VLOOKUP("LULUCF|PM25|Premature mortality", US_national_yearly!$D:$AM, 10, FALSE), 1)</f>
        <v>7.8419597952476556E-4</v>
      </c>
      <c r="R2" s="7">
        <f>$B2 * IFERROR(VLOOKUP("LULUCF|PM25|Premature mortality", US_national_yearly!$D:$AM, 26, FALSE) / VLOOKUP("LULUCF|PM25|Premature mortality", US_national_yearly!$D:$AM, 10, FALSE), 1)</f>
        <v>7.9206949971147994E-4</v>
      </c>
      <c r="S2" s="7">
        <f>$B2 * IFERROR(VLOOKUP("LULUCF|PM25|Premature mortality", US_national_yearly!$D:$AM, 27, FALSE) / VLOOKUP("LULUCF|PM25|Premature mortality", US_national_yearly!$D:$AM, 10, FALSE), 1)</f>
        <v>7.9624065677631945E-4</v>
      </c>
      <c r="T2" s="7">
        <f>$B2 * IFERROR(VLOOKUP("LULUCF|PM25|Premature mortality", US_national_yearly!$D:$AM, 28, FALSE) / VLOOKUP("LULUCF|PM25|Premature mortality", US_national_yearly!$D:$AM, 10, FALSE), 1)</f>
        <v>8.0041181384115875E-4</v>
      </c>
      <c r="U2" s="7">
        <f>$B2 * IFERROR(VLOOKUP("LULUCF|PM25|Premature mortality", US_national_yearly!$D:$AM, 29, FALSE) / VLOOKUP("LULUCF|PM25|Premature mortality", US_national_yearly!$D:$AM, 10, FALSE), 1)</f>
        <v>8.0458297090599804E-4</v>
      </c>
      <c r="V2" s="7">
        <f>$B2 * IFERROR(VLOOKUP("LULUCF|PM25|Premature mortality", US_national_yearly!$D:$AM, 30, FALSE) / VLOOKUP("LULUCF|PM25|Premature mortality", US_national_yearly!$D:$AM, 10, FALSE), 1)</f>
        <v>8.0875412797083745E-4</v>
      </c>
      <c r="W2" s="7">
        <f>$B2 * IFERROR(VLOOKUP("LULUCF|PM25|Premature mortality", US_national_yearly!$D:$AM, 31, FALSE) / VLOOKUP("LULUCF|PM25|Premature mortality", US_national_yearly!$D:$AM, 10, FALSE), 1)</f>
        <v>8.1292528503567674E-4</v>
      </c>
      <c r="X2" s="7">
        <f>$B2 * IFERROR(VLOOKUP("LULUCF|PM25|Premature mortality", US_national_yearly!$D:$AM, 32, FALSE) / VLOOKUP("LULUCF|PM25|Premature mortality", US_national_yearly!$D:$AM, 10, FALSE), 1)</f>
        <v>8.1365464411459903E-4</v>
      </c>
      <c r="Y2" s="7">
        <f>$B2 * IFERROR(VLOOKUP("LULUCF|PM25|Premature mortality", US_national_yearly!$D:$AM, 33, FALSE) / VLOOKUP("LULUCF|PM25|Premature mortality", US_national_yearly!$D:$AM, 10, FALSE), 1)</f>
        <v>8.1438400319352143E-4</v>
      </c>
      <c r="Z2" s="7">
        <f>$B2 * IFERROR(VLOOKUP("LULUCF|PM25|Premature mortality", US_national_yearly!$D:$AM, 34, FALSE) / VLOOKUP("LULUCF|PM25|Premature mortality", US_national_yearly!$D:$AM, 10, FALSE), 1)</f>
        <v>8.1511336227244372E-4</v>
      </c>
      <c r="AA2" s="7">
        <f>$B2 * IFERROR(VLOOKUP("LULUCF|PM25|Premature mortality", US_national_yearly!$D:$AM, 35, FALSE) / VLOOKUP("LULUCF|PM25|Premature mortality", US_national_yearly!$D:$AM, 10, FALSE), 1)</f>
        <v>8.1584272135136612E-4</v>
      </c>
      <c r="AB2" s="7">
        <f>$B2 * IFERROR(VLOOKUP("LULUCF|PM25|Premature mortality", US_national_yearly!$D:$AM, 36, FALSE) / VLOOKUP("LULUCF|PM25|Premature mortality", US_national_yearly!$D:$AM, 10, FALSE), 1)</f>
        <v>8.1657208043028841E-4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1.1942948543258738E-6</v>
      </c>
      <c r="C3" s="7">
        <f>$B3 * IFERROR(VLOOKUP("LULUCF|PM25|Infant mortality", US_national_yearly!$D:$AM, 11, FALSE) / VLOOKUP("LULUCF|PM25|Infant mortality", US_national_yearly!$D:$AM, 10, FALSE), 1)</f>
        <v>1.1838816929979747E-6</v>
      </c>
      <c r="D3" s="7">
        <f>$B3 * IFERROR(VLOOKUP("LULUCF|PM25|Infant mortality", US_national_yearly!$D:$AM, 12, FALSE) / VLOOKUP("LULUCF|PM25|Infant mortality", US_national_yearly!$D:$AM, 10, FALSE), 1)</f>
        <v>1.1734685316700754E-6</v>
      </c>
      <c r="E3" s="7">
        <f>$B3 * IFERROR(VLOOKUP("LULUCF|PM25|Infant mortality", US_national_yearly!$D:$AM, 13, FALSE) / VLOOKUP("LULUCF|PM25|Infant mortality", US_national_yearly!$D:$AM, 10, FALSE), 1)</f>
        <v>1.1630553703421763E-6</v>
      </c>
      <c r="F3" s="7">
        <f>$B3 * IFERROR(VLOOKUP("LULUCF|PM25|Infant mortality", US_national_yearly!$D:$AM, 14, FALSE) / VLOOKUP("LULUCF|PM25|Infant mortality", US_national_yearly!$D:$AM, 10, FALSE), 1)</f>
        <v>1.1526422090142768E-6</v>
      </c>
      <c r="G3" s="7">
        <f>$B3 * IFERROR(VLOOKUP("LULUCF|PM25|Infant mortality", US_national_yearly!$D:$AM, 15, FALSE) / VLOOKUP("LULUCF|PM25|Infant mortality", US_national_yearly!$D:$AM, 10, FALSE), 1)</f>
        <v>7.6656872608091923E-7</v>
      </c>
      <c r="H3" s="7">
        <f>$B3 * IFERROR(VLOOKUP("LULUCF|PM25|Infant mortality", US_national_yearly!$D:$AM, 16, FALSE) / VLOOKUP("LULUCF|PM25|Infant mortality", US_national_yearly!$D:$AM, 10, FALSE), 1)</f>
        <v>3.8049524314756135E-7</v>
      </c>
      <c r="I3" s="7">
        <f>$B3 * IFERROR(VLOOKUP("LULUCF|PM25|Infant mortality", US_national_yearly!$D:$AM, 17, FALSE) / VLOOKUP("LULUCF|PM25|Infant mortality", US_national_yearly!$D:$AM, 10, FALSE), 1)</f>
        <v>3.7800807821150201E-7</v>
      </c>
      <c r="J3" s="7">
        <f>$B3 * IFERROR(VLOOKUP("LULUCF|PM25|Infant mortality", US_national_yearly!$D:$AM, 18, FALSE) / VLOOKUP("LULUCF|PM25|Infant mortality", US_national_yearly!$D:$AM, 10, FALSE), 1)</f>
        <v>3.7552091327544256E-7</v>
      </c>
      <c r="K3" s="7">
        <f>$B3 * IFERROR(VLOOKUP("LULUCF|PM25|Infant mortality", US_national_yearly!$D:$AM, 19, FALSE) / VLOOKUP("LULUCF|PM25|Infant mortality", US_national_yearly!$D:$AM, 10, FALSE), 1)</f>
        <v>3.7303374833938317E-7</v>
      </c>
      <c r="L3" s="7">
        <f>$B3 * IFERROR(VLOOKUP("LULUCF|PM25|Infant mortality", US_national_yearly!$D:$AM, 20, FALSE) / VLOOKUP("LULUCF|PM25|Infant mortality", US_national_yearly!$D:$AM, 10, FALSE), 1)</f>
        <v>3.7054658340332383E-7</v>
      </c>
      <c r="M3" s="7">
        <f>$B3 * IFERROR(VLOOKUP("LULUCF|PM25|Infant mortality", US_national_yearly!$D:$AM, 21, FALSE) / VLOOKUP("LULUCF|PM25|Infant mortality", US_national_yearly!$D:$AM, 10, FALSE), 1)</f>
        <v>3.6805941846726449E-7</v>
      </c>
      <c r="N3" s="7">
        <f>$B3 * IFERROR(VLOOKUP("LULUCF|PM25|Infant mortality", US_national_yearly!$D:$AM, 22, FALSE) / VLOOKUP("LULUCF|PM25|Infant mortality", US_national_yearly!$D:$AM, 10, FALSE), 1)</f>
        <v>3.6649720353136825E-7</v>
      </c>
      <c r="O3" s="7">
        <f>$B3 * IFERROR(VLOOKUP("LULUCF|PM25|Infant mortality", US_national_yearly!$D:$AM, 23, FALSE) / VLOOKUP("LULUCF|PM25|Infant mortality", US_national_yearly!$D:$AM, 10, FALSE), 1)</f>
        <v>3.6493498859547212E-7</v>
      </c>
      <c r="P3" s="7">
        <f>$B3 * IFERROR(VLOOKUP("LULUCF|PM25|Infant mortality", US_national_yearly!$D:$AM, 24, FALSE) / VLOOKUP("LULUCF|PM25|Infant mortality", US_national_yearly!$D:$AM, 10, FALSE), 1)</f>
        <v>3.6337277365957583E-7</v>
      </c>
      <c r="Q3" s="7">
        <f>$B3 * IFERROR(VLOOKUP("LULUCF|PM25|Infant mortality", US_national_yearly!$D:$AM, 25, FALSE) / VLOOKUP("LULUCF|PM25|Infant mortality", US_national_yearly!$D:$AM, 10, FALSE), 1)</f>
        <v>3.6181055872367964E-7</v>
      </c>
      <c r="R3" s="7">
        <f>$B3 * IFERROR(VLOOKUP("LULUCF|PM25|Infant mortality", US_national_yearly!$D:$AM, 26, FALSE) / VLOOKUP("LULUCF|PM25|Infant mortality", US_national_yearly!$D:$AM, 10, FALSE), 1)</f>
        <v>3.602483437877834E-7</v>
      </c>
      <c r="S3" s="7">
        <f>$B3 * IFERROR(VLOOKUP("LULUCF|PM25|Infant mortality", US_national_yearly!$D:$AM, 27, FALSE) / VLOOKUP("LULUCF|PM25|Infant mortality", US_national_yearly!$D:$AM, 10, FALSE), 1)</f>
        <v>3.5830101092820701E-7</v>
      </c>
      <c r="T3" s="7">
        <f>$B3 * IFERROR(VLOOKUP("LULUCF|PM25|Infant mortality", US_national_yearly!$D:$AM, 28, FALSE) / VLOOKUP("LULUCF|PM25|Infant mortality", US_national_yearly!$D:$AM, 10, FALSE), 1)</f>
        <v>3.5635367806863057E-7</v>
      </c>
      <c r="U3" s="7">
        <f>$B3 * IFERROR(VLOOKUP("LULUCF|PM25|Infant mortality", US_national_yearly!$D:$AM, 29, FALSE) / VLOOKUP("LULUCF|PM25|Infant mortality", US_national_yearly!$D:$AM, 10, FALSE), 1)</f>
        <v>3.5440634520905417E-7</v>
      </c>
      <c r="V3" s="7">
        <f>$B3 * IFERROR(VLOOKUP("LULUCF|PM25|Infant mortality", US_national_yearly!$D:$AM, 30, FALSE) / VLOOKUP("LULUCF|PM25|Infant mortality", US_national_yearly!$D:$AM, 10, FALSE), 1)</f>
        <v>3.5245901234947778E-7</v>
      </c>
      <c r="W3" s="7">
        <f>$B3 * IFERROR(VLOOKUP("LULUCF|PM25|Infant mortality", US_national_yearly!$D:$AM, 31, FALSE) / VLOOKUP("LULUCF|PM25|Infant mortality", US_national_yearly!$D:$AM, 10, FALSE), 1)</f>
        <v>3.5051167948990129E-7</v>
      </c>
      <c r="X3" s="7">
        <f>$B3 * IFERROR(VLOOKUP("LULUCF|PM25|Infant mortality", US_national_yearly!$D:$AM, 32, FALSE) / VLOOKUP("LULUCF|PM25|Infant mortality", US_national_yearly!$D:$AM, 10, FALSE), 1)</f>
        <v>3.4841220991321518E-7</v>
      </c>
      <c r="Y3" s="7">
        <f>$B3 * IFERROR(VLOOKUP("LULUCF|PM25|Infant mortality", US_national_yearly!$D:$AM, 33, FALSE) / VLOOKUP("LULUCF|PM25|Infant mortality", US_national_yearly!$D:$AM, 10, FALSE), 1)</f>
        <v>3.4631274033652886E-7</v>
      </c>
      <c r="Z3" s="7">
        <f>$B3 * IFERROR(VLOOKUP("LULUCF|PM25|Infant mortality", US_national_yearly!$D:$AM, 34, FALSE) / VLOOKUP("LULUCF|PM25|Infant mortality", US_national_yearly!$D:$AM, 10, FALSE), 1)</f>
        <v>3.442132707598427E-7</v>
      </c>
      <c r="AA3" s="7">
        <f>$B3 * IFERROR(VLOOKUP("LULUCF|PM25|Infant mortality", US_national_yearly!$D:$AM, 35, FALSE) / VLOOKUP("LULUCF|PM25|Infant mortality", US_national_yearly!$D:$AM, 10, FALSE), 1)</f>
        <v>3.4211380118315648E-7</v>
      </c>
      <c r="AB3" s="7">
        <f>$B3 * IFERROR(VLOOKUP("LULUCF|PM25|Infant mortality", US_national_yearly!$D:$AM, 36, FALSE) / VLOOKUP("LULUCF|PM25|Infant mortality", US_national_yearly!$D:$AM, 10, FALSE), 1)</f>
        <v>3.4001433160647032E-7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1.6687400154226243E-3</v>
      </c>
      <c r="C6" s="7">
        <f>$B6 * IFERROR(VLOOKUP("LULUCF|PM25|Asthma symptoms cough", US_national_yearly!$D:$AM, 11, FALSE) / VLOOKUP("LULUCF|PM25|Asthma symptoms cough", US_national_yearly!$D:$AM, 10, FALSE), 1)</f>
        <v>1.6687400154226243E-3</v>
      </c>
      <c r="D6" s="7">
        <f>$B6 * IFERROR(VLOOKUP("LULUCF|PM25|Asthma symptoms cough", US_national_yearly!$D:$AM, 12, FALSE) / VLOOKUP("LULUCF|PM25|Asthma symptoms cough", US_national_yearly!$D:$AM, 10, FALSE), 1)</f>
        <v>1.6687400154226243E-3</v>
      </c>
      <c r="E6" s="7">
        <f>$B6 * IFERROR(VLOOKUP("LULUCF|PM25|Asthma symptoms cough", US_national_yearly!$D:$AM, 13, FALSE) / VLOOKUP("LULUCF|PM25|Asthma symptoms cough", US_national_yearly!$D:$AM, 10, FALSE), 1)</f>
        <v>1.6687400154226243E-3</v>
      </c>
      <c r="F6" s="7">
        <f>$B6 * IFERROR(VLOOKUP("LULUCF|PM25|Asthma symptoms cough", US_national_yearly!$D:$AM, 14, FALSE) / VLOOKUP("LULUCF|PM25|Asthma symptoms cough", US_national_yearly!$D:$AM, 10, FALSE), 1)</f>
        <v>1.6687400154226243E-3</v>
      </c>
      <c r="G6" s="7">
        <f>$B6 * IFERROR(VLOOKUP("LULUCF|PM25|Asthma symptoms cough", US_national_yearly!$D:$AM, 15, FALSE) / VLOOKUP("LULUCF|PM25|Asthma symptoms cough", US_national_yearly!$D:$AM, 10, FALSE), 1)</f>
        <v>1.6687400154226243E-3</v>
      </c>
      <c r="H6" s="7">
        <f>$B6 * IFERROR(VLOOKUP("LULUCF|PM25|Asthma symptoms cough", US_national_yearly!$D:$AM, 16, FALSE) / VLOOKUP("LULUCF|PM25|Asthma symptoms cough", US_national_yearly!$D:$AM, 10, FALSE), 1)</f>
        <v>1.6687400154226243E-3</v>
      </c>
      <c r="I6" s="7">
        <f>$B6 * IFERROR(VLOOKUP("LULUCF|PM25|Asthma symptoms cough", US_national_yearly!$D:$AM, 17, FALSE) / VLOOKUP("LULUCF|PM25|Asthma symptoms cough", US_national_yearly!$D:$AM, 10, FALSE), 1)</f>
        <v>1.6687400154226243E-3</v>
      </c>
      <c r="J6" s="7">
        <f>$B6 * IFERROR(VLOOKUP("LULUCF|PM25|Asthma symptoms cough", US_national_yearly!$D:$AM, 18, FALSE) / VLOOKUP("LULUCF|PM25|Asthma symptoms cough", US_national_yearly!$D:$AM, 10, FALSE), 1)</f>
        <v>1.6687400154226243E-3</v>
      </c>
      <c r="K6" s="7">
        <f>$B6 * IFERROR(VLOOKUP("LULUCF|PM25|Asthma symptoms cough", US_national_yearly!$D:$AM, 19, FALSE) / VLOOKUP("LULUCF|PM25|Asthma symptoms cough", US_national_yearly!$D:$AM, 10, FALSE), 1)</f>
        <v>1.6687400154226243E-3</v>
      </c>
      <c r="L6" s="7">
        <f>$B6 * IFERROR(VLOOKUP("LULUCF|PM25|Asthma symptoms cough", US_national_yearly!$D:$AM, 20, FALSE) / VLOOKUP("LULUCF|PM25|Asthma symptoms cough", US_national_yearly!$D:$AM, 10, FALSE), 1)</f>
        <v>1.6687400154226243E-3</v>
      </c>
      <c r="M6" s="7">
        <f>$B6 * IFERROR(VLOOKUP("LULUCF|PM25|Asthma symptoms cough", US_national_yearly!$D:$AM, 21, FALSE) / VLOOKUP("LULUCF|PM25|Asthma symptoms cough", US_national_yearly!$D:$AM, 10, FALSE), 1)</f>
        <v>1.6687400154226243E-3</v>
      </c>
      <c r="N6" s="7">
        <f>$B6 * IFERROR(VLOOKUP("LULUCF|PM25|Asthma symptoms cough", US_national_yearly!$D:$AM, 22, FALSE) / VLOOKUP("LULUCF|PM25|Asthma symptoms cough", US_national_yearly!$D:$AM, 10, FALSE), 1)</f>
        <v>1.6687400154226243E-3</v>
      </c>
      <c r="O6" s="7">
        <f>$B6 * IFERROR(VLOOKUP("LULUCF|PM25|Asthma symptoms cough", US_national_yearly!$D:$AM, 23, FALSE) / VLOOKUP("LULUCF|PM25|Asthma symptoms cough", US_national_yearly!$D:$AM, 10, FALSE), 1)</f>
        <v>1.6687400154226243E-3</v>
      </c>
      <c r="P6" s="7">
        <f>$B6 * IFERROR(VLOOKUP("LULUCF|PM25|Asthma symptoms cough", US_national_yearly!$D:$AM, 24, FALSE) / VLOOKUP("LULUCF|PM25|Asthma symptoms cough", US_national_yearly!$D:$AM, 10, FALSE), 1)</f>
        <v>1.6687400154226243E-3</v>
      </c>
      <c r="Q6" s="7">
        <f>$B6 * IFERROR(VLOOKUP("LULUCF|PM25|Asthma symptoms cough", US_national_yearly!$D:$AM, 25, FALSE) / VLOOKUP("LULUCF|PM25|Asthma symptoms cough", US_national_yearly!$D:$AM, 10, FALSE), 1)</f>
        <v>1.6687400154226243E-3</v>
      </c>
      <c r="R6" s="7">
        <f>$B6 * IFERROR(VLOOKUP("LULUCF|PM25|Asthma symptoms cough", US_national_yearly!$D:$AM, 26, FALSE) / VLOOKUP("LULUCF|PM25|Asthma symptoms cough", US_national_yearly!$D:$AM, 10, FALSE), 1)</f>
        <v>1.6687400154226243E-3</v>
      </c>
      <c r="S6" s="7">
        <f>$B6 * IFERROR(VLOOKUP("LULUCF|PM25|Asthma symptoms cough", US_national_yearly!$D:$AM, 27, FALSE) / VLOOKUP("LULUCF|PM25|Asthma symptoms cough", US_national_yearly!$D:$AM, 10, FALSE), 1)</f>
        <v>1.6687400154226243E-3</v>
      </c>
      <c r="T6" s="7">
        <f>$B6 * IFERROR(VLOOKUP("LULUCF|PM25|Asthma symptoms cough", US_national_yearly!$D:$AM, 28, FALSE) / VLOOKUP("LULUCF|PM25|Asthma symptoms cough", US_national_yearly!$D:$AM, 10, FALSE), 1)</f>
        <v>1.6687400154226243E-3</v>
      </c>
      <c r="U6" s="7">
        <f>$B6 * IFERROR(VLOOKUP("LULUCF|PM25|Asthma symptoms cough", US_national_yearly!$D:$AM, 29, FALSE) / VLOOKUP("LULUCF|PM25|Asthma symptoms cough", US_national_yearly!$D:$AM, 10, FALSE), 1)</f>
        <v>1.6687400154226243E-3</v>
      </c>
      <c r="V6" s="7">
        <f>$B6 * IFERROR(VLOOKUP("LULUCF|PM25|Asthma symptoms cough", US_national_yearly!$D:$AM, 30, FALSE) / VLOOKUP("LULUCF|PM25|Asthma symptoms cough", US_national_yearly!$D:$AM, 10, FALSE), 1)</f>
        <v>1.6687400154226243E-3</v>
      </c>
      <c r="W6" s="7">
        <f>$B6 * IFERROR(VLOOKUP("LULUCF|PM25|Asthma symptoms cough", US_national_yearly!$D:$AM, 31, FALSE) / VLOOKUP("LULUCF|PM25|Asthma symptoms cough", US_national_yearly!$D:$AM, 10, FALSE), 1)</f>
        <v>1.6687400154226243E-3</v>
      </c>
      <c r="X6" s="7">
        <f>$B6 * IFERROR(VLOOKUP("LULUCF|PM25|Asthma symptoms cough", US_national_yearly!$D:$AM, 32, FALSE) / VLOOKUP("LULUCF|PM25|Asthma symptoms cough", US_national_yearly!$D:$AM, 10, FALSE), 1)</f>
        <v>1.6687400154226243E-3</v>
      </c>
      <c r="Y6" s="7">
        <f>$B6 * IFERROR(VLOOKUP("LULUCF|PM25|Asthma symptoms cough", US_national_yearly!$D:$AM, 33, FALSE) / VLOOKUP("LULUCF|PM25|Asthma symptoms cough", US_national_yearly!$D:$AM, 10, FALSE), 1)</f>
        <v>1.6687400154226243E-3</v>
      </c>
      <c r="Z6" s="7">
        <f>$B6 * IFERROR(VLOOKUP("LULUCF|PM25|Asthma symptoms cough", US_national_yearly!$D:$AM, 34, FALSE) / VLOOKUP("LULUCF|PM25|Asthma symptoms cough", US_national_yearly!$D:$AM, 10, FALSE), 1)</f>
        <v>1.6687400154226243E-3</v>
      </c>
      <c r="AA6" s="7">
        <f>$B6 * IFERROR(VLOOKUP("LULUCF|PM25|Asthma symptoms cough", US_national_yearly!$D:$AM, 35, FALSE) / VLOOKUP("LULUCF|PM25|Asthma symptoms cough", US_national_yearly!$D:$AM, 10, FALSE), 1)</f>
        <v>1.6687400154226243E-3</v>
      </c>
      <c r="AB6" s="7">
        <f>$B6 * IFERROR(VLOOKUP("LULUCF|PM25|Asthma symptoms cough", US_national_yearly!$D:$AM, 36, FALSE) / VLOOKUP("LULUCF|PM25|Asthma symptoms cough", US_national_yearly!$D:$AM, 10, FALSE), 1)</f>
        <v>1.6687400154226243E-3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2.2472008127685586E-3</v>
      </c>
      <c r="C7" s="7">
        <f>$B7 * IFERROR(VLOOKUP("LULUCF|PM25|Asthma symptoms shortness of breath", US_national_yearly!$D:$AM, 11, FALSE) / VLOOKUP("LULUCF|PM25|Asthma symptoms shortness of breath", US_national_yearly!$D:$AM, 10, FALSE), 1)</f>
        <v>2.2472008127685586E-3</v>
      </c>
      <c r="D7" s="7">
        <f>$B7 * IFERROR(VLOOKUP("LULUCF|PM25|Asthma symptoms shortness of breath", US_national_yearly!$D:$AM, 12, FALSE) / VLOOKUP("LULUCF|PM25|Asthma symptoms shortness of breath", US_national_yearly!$D:$AM, 10, FALSE), 1)</f>
        <v>2.2472008127685586E-3</v>
      </c>
      <c r="E7" s="7">
        <f>$B7 * IFERROR(VLOOKUP("LULUCF|PM25|Asthma symptoms shortness of breath", US_national_yearly!$D:$AM, 13, FALSE) / VLOOKUP("LULUCF|PM25|Asthma symptoms shortness of breath", US_national_yearly!$D:$AM, 10, FALSE), 1)</f>
        <v>2.2472008127685586E-3</v>
      </c>
      <c r="F7" s="7">
        <f>$B7 * IFERROR(VLOOKUP("LULUCF|PM25|Asthma symptoms shortness of breath", US_national_yearly!$D:$AM, 14, FALSE) / VLOOKUP("LULUCF|PM25|Asthma symptoms shortness of breath", US_national_yearly!$D:$AM, 10, FALSE), 1)</f>
        <v>2.2472008127685586E-3</v>
      </c>
      <c r="G7" s="7">
        <f>$B7 * IFERROR(VLOOKUP("LULUCF|PM25|Asthma symptoms shortness of breath", US_national_yearly!$D:$AM, 15, FALSE) / VLOOKUP("LULUCF|PM25|Asthma symptoms shortness of breath", US_national_yearly!$D:$AM, 10, FALSE), 1)</f>
        <v>2.2472008127685586E-3</v>
      </c>
      <c r="H7" s="7">
        <f>$B7 * IFERROR(VLOOKUP("LULUCF|PM25|Asthma symptoms shortness of breath", US_national_yearly!$D:$AM, 16, FALSE) / VLOOKUP("LULUCF|PM25|Asthma symptoms shortness of breath", US_national_yearly!$D:$AM, 10, FALSE), 1)</f>
        <v>2.2472008127685586E-3</v>
      </c>
      <c r="I7" s="7">
        <f>$B7 * IFERROR(VLOOKUP("LULUCF|PM25|Asthma symptoms shortness of breath", US_national_yearly!$D:$AM, 17, FALSE) / VLOOKUP("LULUCF|PM25|Asthma symptoms shortness of breath", US_national_yearly!$D:$AM, 10, FALSE), 1)</f>
        <v>2.2472008127685586E-3</v>
      </c>
      <c r="J7" s="7">
        <f>$B7 * IFERROR(VLOOKUP("LULUCF|PM25|Asthma symptoms shortness of breath", US_national_yearly!$D:$AM, 18, FALSE) / VLOOKUP("LULUCF|PM25|Asthma symptoms shortness of breath", US_national_yearly!$D:$AM, 10, FALSE), 1)</f>
        <v>2.2472008127685586E-3</v>
      </c>
      <c r="K7" s="7">
        <f>$B7 * IFERROR(VLOOKUP("LULUCF|PM25|Asthma symptoms shortness of breath", US_national_yearly!$D:$AM, 19, FALSE) / VLOOKUP("LULUCF|PM25|Asthma symptoms shortness of breath", US_national_yearly!$D:$AM, 10, FALSE), 1)</f>
        <v>2.2472008127685586E-3</v>
      </c>
      <c r="L7" s="7">
        <f>$B7 * IFERROR(VLOOKUP("LULUCF|PM25|Asthma symptoms shortness of breath", US_national_yearly!$D:$AM, 20, FALSE) / VLOOKUP("LULUCF|PM25|Asthma symptoms shortness of breath", US_national_yearly!$D:$AM, 10, FALSE), 1)</f>
        <v>2.2472008127685586E-3</v>
      </c>
      <c r="M7" s="7">
        <f>$B7 * IFERROR(VLOOKUP("LULUCF|PM25|Asthma symptoms shortness of breath", US_national_yearly!$D:$AM, 21, FALSE) / VLOOKUP("LULUCF|PM25|Asthma symptoms shortness of breath", US_national_yearly!$D:$AM, 10, FALSE), 1)</f>
        <v>2.2472008127685586E-3</v>
      </c>
      <c r="N7" s="7">
        <f>$B7 * IFERROR(VLOOKUP("LULUCF|PM25|Asthma symptoms shortness of breath", US_national_yearly!$D:$AM, 22, FALSE) / VLOOKUP("LULUCF|PM25|Asthma symptoms shortness of breath", US_national_yearly!$D:$AM, 10, FALSE), 1)</f>
        <v>2.2472008127685586E-3</v>
      </c>
      <c r="O7" s="7">
        <f>$B7 * IFERROR(VLOOKUP("LULUCF|PM25|Asthma symptoms shortness of breath", US_national_yearly!$D:$AM, 23, FALSE) / VLOOKUP("LULUCF|PM25|Asthma symptoms shortness of breath", US_national_yearly!$D:$AM, 10, FALSE), 1)</f>
        <v>2.2472008127685586E-3</v>
      </c>
      <c r="P7" s="7">
        <f>$B7 * IFERROR(VLOOKUP("LULUCF|PM25|Asthma symptoms shortness of breath", US_national_yearly!$D:$AM, 24, FALSE) / VLOOKUP("LULUCF|PM25|Asthma symptoms shortness of breath", US_national_yearly!$D:$AM, 10, FALSE), 1)</f>
        <v>2.2472008127685586E-3</v>
      </c>
      <c r="Q7" s="7">
        <f>$B7 * IFERROR(VLOOKUP("LULUCF|PM25|Asthma symptoms shortness of breath", US_national_yearly!$D:$AM, 25, FALSE) / VLOOKUP("LULUCF|PM25|Asthma symptoms shortness of breath", US_national_yearly!$D:$AM, 10, FALSE), 1)</f>
        <v>2.2472008127685586E-3</v>
      </c>
      <c r="R7" s="7">
        <f>$B7 * IFERROR(VLOOKUP("LULUCF|PM25|Asthma symptoms shortness of breath", US_national_yearly!$D:$AM, 26, FALSE) / VLOOKUP("LULUCF|PM25|Asthma symptoms shortness of breath", US_national_yearly!$D:$AM, 10, FALSE), 1)</f>
        <v>2.2472008127685586E-3</v>
      </c>
      <c r="S7" s="7">
        <f>$B7 * IFERROR(VLOOKUP("LULUCF|PM25|Asthma symptoms shortness of breath", US_national_yearly!$D:$AM, 27, FALSE) / VLOOKUP("LULUCF|PM25|Asthma symptoms shortness of breath", US_national_yearly!$D:$AM, 10, FALSE), 1)</f>
        <v>2.2472008127685586E-3</v>
      </c>
      <c r="T7" s="7">
        <f>$B7 * IFERROR(VLOOKUP("LULUCF|PM25|Asthma symptoms shortness of breath", US_national_yearly!$D:$AM, 28, FALSE) / VLOOKUP("LULUCF|PM25|Asthma symptoms shortness of breath", US_national_yearly!$D:$AM, 10, FALSE), 1)</f>
        <v>2.2472008127685586E-3</v>
      </c>
      <c r="U7" s="7">
        <f>$B7 * IFERROR(VLOOKUP("LULUCF|PM25|Asthma symptoms shortness of breath", US_national_yearly!$D:$AM, 29, FALSE) / VLOOKUP("LULUCF|PM25|Asthma symptoms shortness of breath", US_national_yearly!$D:$AM, 10, FALSE), 1)</f>
        <v>2.2472008127685586E-3</v>
      </c>
      <c r="V7" s="7">
        <f>$B7 * IFERROR(VLOOKUP("LULUCF|PM25|Asthma symptoms shortness of breath", US_national_yearly!$D:$AM, 30, FALSE) / VLOOKUP("LULUCF|PM25|Asthma symptoms shortness of breath", US_national_yearly!$D:$AM, 10, FALSE), 1)</f>
        <v>2.2472008127685586E-3</v>
      </c>
      <c r="W7" s="7">
        <f>$B7 * IFERROR(VLOOKUP("LULUCF|PM25|Asthma symptoms shortness of breath", US_national_yearly!$D:$AM, 31, FALSE) / VLOOKUP("LULUCF|PM25|Asthma symptoms shortness of breath", US_national_yearly!$D:$AM, 10, FALSE), 1)</f>
        <v>2.2472008127685586E-3</v>
      </c>
      <c r="X7" s="7">
        <f>$B7 * IFERROR(VLOOKUP("LULUCF|PM25|Asthma symptoms shortness of breath", US_national_yearly!$D:$AM, 32, FALSE) / VLOOKUP("LULUCF|PM25|Asthma symptoms shortness of breath", US_national_yearly!$D:$AM, 10, FALSE), 1)</f>
        <v>2.2472008127685586E-3</v>
      </c>
      <c r="Y7" s="7">
        <f>$B7 * IFERROR(VLOOKUP("LULUCF|PM25|Asthma symptoms shortness of breath", US_national_yearly!$D:$AM, 33, FALSE) / VLOOKUP("LULUCF|PM25|Asthma symptoms shortness of breath", US_national_yearly!$D:$AM, 10, FALSE), 1)</f>
        <v>2.2472008127685586E-3</v>
      </c>
      <c r="Z7" s="7">
        <f>$B7 * IFERROR(VLOOKUP("LULUCF|PM25|Asthma symptoms shortness of breath", US_national_yearly!$D:$AM, 34, FALSE) / VLOOKUP("LULUCF|PM25|Asthma symptoms shortness of breath", US_national_yearly!$D:$AM, 10, FALSE), 1)</f>
        <v>2.2472008127685586E-3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2.2472008127685586E-3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2.2472008127685586E-3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3.4333411396449518E-3</v>
      </c>
      <c r="C8" s="7">
        <f>$B8 * IFERROR(VLOOKUP("LULUCF|PM25|Asthma symptoms wheeze", US_national_yearly!$D:$AM, 11, FALSE) / VLOOKUP("LULUCF|PM25|Asthma symptoms wheeze", US_national_yearly!$D:$AM, 10, FALSE), 1)</f>
        <v>3.4333411396449518E-3</v>
      </c>
      <c r="D8" s="7">
        <f>$B8 * IFERROR(VLOOKUP("LULUCF|PM25|Asthma symptoms wheeze", US_national_yearly!$D:$AM, 12, FALSE) / VLOOKUP("LULUCF|PM25|Asthma symptoms wheeze", US_national_yearly!$D:$AM, 10, FALSE), 1)</f>
        <v>3.4333411396449518E-3</v>
      </c>
      <c r="E8" s="7">
        <f>$B8 * IFERROR(VLOOKUP("LULUCF|PM25|Asthma symptoms wheeze", US_national_yearly!$D:$AM, 13, FALSE) / VLOOKUP("LULUCF|PM25|Asthma symptoms wheeze", US_national_yearly!$D:$AM, 10, FALSE), 1)</f>
        <v>3.4333411396449518E-3</v>
      </c>
      <c r="F8" s="7">
        <f>$B8 * IFERROR(VLOOKUP("LULUCF|PM25|Asthma symptoms wheeze", US_national_yearly!$D:$AM, 14, FALSE) / VLOOKUP("LULUCF|PM25|Asthma symptoms wheeze", US_national_yearly!$D:$AM, 10, FALSE), 1)</f>
        <v>3.4333411396449518E-3</v>
      </c>
      <c r="G8" s="7">
        <f>$B8 * IFERROR(VLOOKUP("LULUCF|PM25|Asthma symptoms wheeze", US_national_yearly!$D:$AM, 15, FALSE) / VLOOKUP("LULUCF|PM25|Asthma symptoms wheeze", US_national_yearly!$D:$AM, 10, FALSE), 1)</f>
        <v>3.4333411396449518E-3</v>
      </c>
      <c r="H8" s="7">
        <f>$B8 * IFERROR(VLOOKUP("LULUCF|PM25|Asthma symptoms wheeze", US_national_yearly!$D:$AM, 16, FALSE) / VLOOKUP("LULUCF|PM25|Asthma symptoms wheeze", US_national_yearly!$D:$AM, 10, FALSE), 1)</f>
        <v>3.4333411396449518E-3</v>
      </c>
      <c r="I8" s="7">
        <f>$B8 * IFERROR(VLOOKUP("LULUCF|PM25|Asthma symptoms wheeze", US_national_yearly!$D:$AM, 17, FALSE) / VLOOKUP("LULUCF|PM25|Asthma symptoms wheeze", US_national_yearly!$D:$AM, 10, FALSE), 1)</f>
        <v>3.4333411396449518E-3</v>
      </c>
      <c r="J8" s="7">
        <f>$B8 * IFERROR(VLOOKUP("LULUCF|PM25|Asthma symptoms wheeze", US_national_yearly!$D:$AM, 18, FALSE) / VLOOKUP("LULUCF|PM25|Asthma symptoms wheeze", US_national_yearly!$D:$AM, 10, FALSE), 1)</f>
        <v>3.4333411396449518E-3</v>
      </c>
      <c r="K8" s="7">
        <f>$B8 * IFERROR(VLOOKUP("LULUCF|PM25|Asthma symptoms wheeze", US_national_yearly!$D:$AM, 19, FALSE) / VLOOKUP("LULUCF|PM25|Asthma symptoms wheeze", US_national_yearly!$D:$AM, 10, FALSE), 1)</f>
        <v>3.4333411396449518E-3</v>
      </c>
      <c r="L8" s="7">
        <f>$B8 * IFERROR(VLOOKUP("LULUCF|PM25|Asthma symptoms wheeze", US_national_yearly!$D:$AM, 20, FALSE) / VLOOKUP("LULUCF|PM25|Asthma symptoms wheeze", US_national_yearly!$D:$AM, 10, FALSE), 1)</f>
        <v>3.4333411396449518E-3</v>
      </c>
      <c r="M8" s="7">
        <f>$B8 * IFERROR(VLOOKUP("LULUCF|PM25|Asthma symptoms wheeze", US_national_yearly!$D:$AM, 21, FALSE) / VLOOKUP("LULUCF|PM25|Asthma symptoms wheeze", US_national_yearly!$D:$AM, 10, FALSE), 1)</f>
        <v>3.4333411396449518E-3</v>
      </c>
      <c r="N8" s="7">
        <f>$B8 * IFERROR(VLOOKUP("LULUCF|PM25|Asthma symptoms wheeze", US_national_yearly!$D:$AM, 22, FALSE) / VLOOKUP("LULUCF|PM25|Asthma symptoms wheeze", US_national_yearly!$D:$AM, 10, FALSE), 1)</f>
        <v>3.4333411396449518E-3</v>
      </c>
      <c r="O8" s="7">
        <f>$B8 * IFERROR(VLOOKUP("LULUCF|PM25|Asthma symptoms wheeze", US_national_yearly!$D:$AM, 23, FALSE) / VLOOKUP("LULUCF|PM25|Asthma symptoms wheeze", US_national_yearly!$D:$AM, 10, FALSE), 1)</f>
        <v>3.4333411396449518E-3</v>
      </c>
      <c r="P8" s="7">
        <f>$B8 * IFERROR(VLOOKUP("LULUCF|PM25|Asthma symptoms wheeze", US_national_yearly!$D:$AM, 24, FALSE) / VLOOKUP("LULUCF|PM25|Asthma symptoms wheeze", US_national_yearly!$D:$AM, 10, FALSE), 1)</f>
        <v>3.4333411396449518E-3</v>
      </c>
      <c r="Q8" s="7">
        <f>$B8 * IFERROR(VLOOKUP("LULUCF|PM25|Asthma symptoms wheeze", US_national_yearly!$D:$AM, 25, FALSE) / VLOOKUP("LULUCF|PM25|Asthma symptoms wheeze", US_national_yearly!$D:$AM, 10, FALSE), 1)</f>
        <v>3.4333411396449518E-3</v>
      </c>
      <c r="R8" s="7">
        <f>$B8 * IFERROR(VLOOKUP("LULUCF|PM25|Asthma symptoms wheeze", US_national_yearly!$D:$AM, 26, FALSE) / VLOOKUP("LULUCF|PM25|Asthma symptoms wheeze", US_national_yearly!$D:$AM, 10, FALSE), 1)</f>
        <v>3.4333411396449518E-3</v>
      </c>
      <c r="S8" s="7">
        <f>$B8 * IFERROR(VLOOKUP("LULUCF|PM25|Asthma symptoms wheeze", US_national_yearly!$D:$AM, 27, FALSE) / VLOOKUP("LULUCF|PM25|Asthma symptoms wheeze", US_national_yearly!$D:$AM, 10, FALSE), 1)</f>
        <v>3.4333411396449518E-3</v>
      </c>
      <c r="T8" s="7">
        <f>$B8 * IFERROR(VLOOKUP("LULUCF|PM25|Asthma symptoms wheeze", US_national_yearly!$D:$AM, 28, FALSE) / VLOOKUP("LULUCF|PM25|Asthma symptoms wheeze", US_national_yearly!$D:$AM, 10, FALSE), 1)</f>
        <v>3.4333411396449518E-3</v>
      </c>
      <c r="U8" s="7">
        <f>$B8 * IFERROR(VLOOKUP("LULUCF|PM25|Asthma symptoms wheeze", US_national_yearly!$D:$AM, 29, FALSE) / VLOOKUP("LULUCF|PM25|Asthma symptoms wheeze", US_national_yearly!$D:$AM, 10, FALSE), 1)</f>
        <v>3.4333411396449518E-3</v>
      </c>
      <c r="V8" s="7">
        <f>$B8 * IFERROR(VLOOKUP("LULUCF|PM25|Asthma symptoms wheeze", US_national_yearly!$D:$AM, 30, FALSE) / VLOOKUP("LULUCF|PM25|Asthma symptoms wheeze", US_national_yearly!$D:$AM, 10, FALSE), 1)</f>
        <v>3.4333411396449518E-3</v>
      </c>
      <c r="W8" s="7">
        <f>$B8 * IFERROR(VLOOKUP("LULUCF|PM25|Asthma symptoms wheeze", US_national_yearly!$D:$AM, 31, FALSE) / VLOOKUP("LULUCF|PM25|Asthma symptoms wheeze", US_national_yearly!$D:$AM, 10, FALSE), 1)</f>
        <v>3.4333411396449518E-3</v>
      </c>
      <c r="X8" s="7">
        <f>$B8 * IFERROR(VLOOKUP("LULUCF|PM25|Asthma symptoms wheeze", US_national_yearly!$D:$AM, 32, FALSE) / VLOOKUP("LULUCF|PM25|Asthma symptoms wheeze", US_national_yearly!$D:$AM, 10, FALSE), 1)</f>
        <v>3.4333411396449518E-3</v>
      </c>
      <c r="Y8" s="7">
        <f>$B8 * IFERROR(VLOOKUP("LULUCF|PM25|Asthma symptoms wheeze", US_national_yearly!$D:$AM, 33, FALSE) / VLOOKUP("LULUCF|PM25|Asthma symptoms wheeze", US_national_yearly!$D:$AM, 10, FALSE), 1)</f>
        <v>3.4333411396449518E-3</v>
      </c>
      <c r="Z8" s="7">
        <f>$B8 * IFERROR(VLOOKUP("LULUCF|PM25|Asthma symptoms wheeze", US_national_yearly!$D:$AM, 34, FALSE) / VLOOKUP("LULUCF|PM25|Asthma symptoms wheeze", US_national_yearly!$D:$AM, 10, FALSE), 1)</f>
        <v>3.4333411396449518E-3</v>
      </c>
      <c r="AA8" s="7">
        <f>$B8 * IFERROR(VLOOKUP("LULUCF|PM25|Asthma symptoms wheeze", US_national_yearly!$D:$AM, 35, FALSE) / VLOOKUP("LULUCF|PM25|Asthma symptoms wheeze", US_national_yearly!$D:$AM, 10, FALSE), 1)</f>
        <v>3.4333411396449518E-3</v>
      </c>
      <c r="AB8" s="7">
        <f>$B8 * IFERROR(VLOOKUP("LULUCF|PM25|Asthma symptoms wheeze", US_national_yearly!$D:$AM, 36, FALSE) / VLOOKUP("LULUCF|PM25|Asthma symptoms wheeze", US_national_yearly!$D:$AM, 10, FALSE), 1)</f>
        <v>3.4333411396449518E-3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4.3159760412944076E-5</v>
      </c>
      <c r="C12" s="7">
        <f>$B12 * IFERROR(VLOOKUP("LULUCF|PM25|Respiratory hospital admissions", US_national_yearly!$D:$AM, 11, FALSE) / VLOOKUP("LULUCF|PM25|Respiratory hospital admissions", US_national_yearly!$D:$AM, 10, FALSE), 1)</f>
        <v>4.3407134763789571E-5</v>
      </c>
      <c r="D12" s="7">
        <f>$B12 * IFERROR(VLOOKUP("LULUCF|PM25|Respiratory hospital admissions", US_national_yearly!$D:$AM, 12, FALSE) / VLOOKUP("LULUCF|PM25|Respiratory hospital admissions", US_national_yearly!$D:$AM, 10, FALSE), 1)</f>
        <v>4.3654509114635059E-5</v>
      </c>
      <c r="E12" s="7">
        <f>$B12 * IFERROR(VLOOKUP("LULUCF|PM25|Respiratory hospital admissions", US_national_yearly!$D:$AM, 13, FALSE) / VLOOKUP("LULUCF|PM25|Respiratory hospital admissions", US_national_yearly!$D:$AM, 10, FALSE), 1)</f>
        <v>4.3901883465480553E-5</v>
      </c>
      <c r="F12" s="7">
        <f>$B12 * IFERROR(VLOOKUP("LULUCF|PM25|Respiratory hospital admissions", US_national_yearly!$D:$AM, 14, FALSE) / VLOOKUP("LULUCF|PM25|Respiratory hospital admissions", US_national_yearly!$D:$AM, 10, FALSE), 1)</f>
        <v>4.4149257816326041E-5</v>
      </c>
      <c r="G12" s="7">
        <f>$B12 * IFERROR(VLOOKUP("LULUCF|PM25|Respiratory hospital admissions", US_national_yearly!$D:$AM, 15, FALSE) / VLOOKUP("LULUCF|PM25|Respiratory hospital admissions", US_national_yearly!$D:$AM, 10, FALSE), 1)</f>
        <v>4.4416432667060304E-5</v>
      </c>
      <c r="H12" s="7">
        <f>$B12 * IFERROR(VLOOKUP("LULUCF|PM25|Respiratory hospital admissions", US_national_yearly!$D:$AM, 16, FALSE) / VLOOKUP("LULUCF|PM25|Respiratory hospital admissions", US_national_yearly!$D:$AM, 10, FALSE), 1)</f>
        <v>4.4683607517794567E-5</v>
      </c>
      <c r="I12" s="7">
        <f>$B12 * IFERROR(VLOOKUP("LULUCF|PM25|Respiratory hospital admissions", US_national_yearly!$D:$AM, 17, FALSE) / VLOOKUP("LULUCF|PM25|Respiratory hospital admissions", US_national_yearly!$D:$AM, 10, FALSE), 1)</f>
        <v>4.4938882936760267E-5</v>
      </c>
      <c r="J12" s="7">
        <f>$B12 * IFERROR(VLOOKUP("LULUCF|PM25|Respiratory hospital admissions", US_national_yearly!$D:$AM, 18, FALSE) / VLOOKUP("LULUCF|PM25|Respiratory hospital admissions", US_national_yearly!$D:$AM, 10, FALSE), 1)</f>
        <v>4.5194158355725981E-5</v>
      </c>
      <c r="K12" s="7">
        <f>$B12 * IFERROR(VLOOKUP("LULUCF|PM25|Respiratory hospital admissions", US_national_yearly!$D:$AM, 19, FALSE) / VLOOKUP("LULUCF|PM25|Respiratory hospital admissions", US_national_yearly!$D:$AM, 10, FALSE), 1)</f>
        <v>4.5449433774691681E-5</v>
      </c>
      <c r="L12" s="7">
        <f>$B12 * IFERROR(VLOOKUP("LULUCF|PM25|Respiratory hospital admissions", US_national_yearly!$D:$AM, 20, FALSE) / VLOOKUP("LULUCF|PM25|Respiratory hospital admissions", US_national_yearly!$D:$AM, 10, FALSE), 1)</f>
        <v>4.5704709193657394E-5</v>
      </c>
      <c r="M12" s="7">
        <f>$B12 * IFERROR(VLOOKUP("LULUCF|PM25|Respiratory hospital admissions", US_national_yearly!$D:$AM, 21, FALSE) / VLOOKUP("LULUCF|PM25|Respiratory hospital admissions", US_national_yearly!$D:$AM, 10, FALSE), 1)</f>
        <v>4.5959984612623094E-5</v>
      </c>
      <c r="N12" s="7">
        <f>$B12 * IFERROR(VLOOKUP("LULUCF|PM25|Respiratory hospital admissions", US_national_yearly!$D:$AM, 22, FALSE) / VLOOKUP("LULUCF|PM25|Respiratory hospital admissions", US_national_yearly!$D:$AM, 10, FALSE), 1)</f>
        <v>4.6143203230218409E-5</v>
      </c>
      <c r="O12" s="7">
        <f>$B12 * IFERROR(VLOOKUP("LULUCF|PM25|Respiratory hospital admissions", US_national_yearly!$D:$AM, 23, FALSE) / VLOOKUP("LULUCF|PM25|Respiratory hospital admissions", US_national_yearly!$D:$AM, 10, FALSE), 1)</f>
        <v>4.6326421847813717E-5</v>
      </c>
      <c r="P12" s="7">
        <f>$B12 * IFERROR(VLOOKUP("LULUCF|PM25|Respiratory hospital admissions", US_national_yearly!$D:$AM, 24, FALSE) / VLOOKUP("LULUCF|PM25|Respiratory hospital admissions", US_national_yearly!$D:$AM, 10, FALSE), 1)</f>
        <v>4.6509640465409018E-5</v>
      </c>
      <c r="Q12" s="7">
        <f>$B12 * IFERROR(VLOOKUP("LULUCF|PM25|Respiratory hospital admissions", US_national_yearly!$D:$AM, 25, FALSE) / VLOOKUP("LULUCF|PM25|Respiratory hospital admissions", US_national_yearly!$D:$AM, 10, FALSE), 1)</f>
        <v>4.6692859083004325E-5</v>
      </c>
      <c r="R12" s="7">
        <f>$B12 * IFERROR(VLOOKUP("LULUCF|PM25|Respiratory hospital admissions", US_national_yearly!$D:$AM, 26, FALSE) / VLOOKUP("LULUCF|PM25|Respiratory hospital admissions", US_national_yearly!$D:$AM, 10, FALSE), 1)</f>
        <v>4.687607770059964E-5</v>
      </c>
      <c r="S12" s="7">
        <f>$B12 * IFERROR(VLOOKUP("LULUCF|PM25|Respiratory hospital admissions", US_national_yearly!$D:$AM, 27, FALSE) / VLOOKUP("LULUCF|PM25|Respiratory hospital admissions", US_national_yearly!$D:$AM, 10, FALSE), 1)</f>
        <v>4.7050525966877377E-5</v>
      </c>
      <c r="T12" s="7">
        <f>$B12 * IFERROR(VLOOKUP("LULUCF|PM25|Respiratory hospital admissions", US_national_yearly!$D:$AM, 28, FALSE) / VLOOKUP("LULUCF|PM25|Respiratory hospital admissions", US_national_yearly!$D:$AM, 10, FALSE), 1)</f>
        <v>4.7224974233155127E-5</v>
      </c>
      <c r="U12" s="7">
        <f>$B12 * IFERROR(VLOOKUP("LULUCF|PM25|Respiratory hospital admissions", US_national_yearly!$D:$AM, 29, FALSE) / VLOOKUP("LULUCF|PM25|Respiratory hospital admissions", US_national_yearly!$D:$AM, 10, FALSE), 1)</f>
        <v>4.7399422499432864E-5</v>
      </c>
      <c r="V12" s="7">
        <f>$B12 * IFERROR(VLOOKUP("LULUCF|PM25|Respiratory hospital admissions", US_national_yearly!$D:$AM, 30, FALSE) / VLOOKUP("LULUCF|PM25|Respiratory hospital admissions", US_national_yearly!$D:$AM, 10, FALSE), 1)</f>
        <v>4.7573870765710601E-5</v>
      </c>
      <c r="W12" s="7">
        <f>$B12 * IFERROR(VLOOKUP("LULUCF|PM25|Respiratory hospital admissions", US_national_yearly!$D:$AM, 31, FALSE) / VLOOKUP("LULUCF|PM25|Respiratory hospital admissions", US_national_yearly!$D:$AM, 10, FALSE), 1)</f>
        <v>4.7748319031988338E-5</v>
      </c>
      <c r="X12" s="7">
        <f>$B12 * IFERROR(VLOOKUP("LULUCF|PM25|Respiratory hospital admissions", US_national_yearly!$D:$AM, 32, FALSE) / VLOOKUP("LULUCF|PM25|Respiratory hospital admissions", US_national_yearly!$D:$AM, 10, FALSE), 1)</f>
        <v>4.7916140489439296E-5</v>
      </c>
      <c r="Y12" s="7">
        <f>$B12 * IFERROR(VLOOKUP("LULUCF|PM25|Respiratory hospital admissions", US_national_yearly!$D:$AM, 33, FALSE) / VLOOKUP("LULUCF|PM25|Respiratory hospital admissions", US_national_yearly!$D:$AM, 10, FALSE), 1)</f>
        <v>4.8083961946890233E-5</v>
      </c>
      <c r="Z12" s="7">
        <f>$B12 * IFERROR(VLOOKUP("LULUCF|PM25|Respiratory hospital admissions", US_national_yearly!$D:$AM, 34, FALSE) / VLOOKUP("LULUCF|PM25|Respiratory hospital admissions", US_national_yearly!$D:$AM, 10, FALSE), 1)</f>
        <v>4.8251783404341184E-5</v>
      </c>
      <c r="AA12" s="7">
        <f>$B12 * IFERROR(VLOOKUP("LULUCF|PM25|Respiratory hospital admissions", US_national_yearly!$D:$AM, 35, FALSE) / VLOOKUP("LULUCF|PM25|Respiratory hospital admissions", US_national_yearly!$D:$AM, 10, FALSE), 1)</f>
        <v>4.8419604861792121E-5</v>
      </c>
      <c r="AB12" s="7">
        <f>$B12 * IFERROR(VLOOKUP("LULUCF|PM25|Respiratory hospital admissions", US_national_yearly!$D:$AM, 36, FALSE) / VLOOKUP("LULUCF|PM25|Respiratory hospital admissions", US_national_yearly!$D:$AM, 10, FALSE), 1)</f>
        <v>4.8587426319243072E-5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3.0150299793395405E-4</v>
      </c>
      <c r="C13" s="7">
        <f>$B13 * IFERROR(VLOOKUP("LULUCF|PM25|Non-fatal heart attacks", US_national_yearly!$D:$AM, 11, FALSE) / VLOOKUP("LULUCF|PM25|Non-fatal heart attacks", US_national_yearly!$D:$AM, 10, FALSE), 1)</f>
        <v>3.1026849018127951E-4</v>
      </c>
      <c r="D13" s="7">
        <f>$B13 * IFERROR(VLOOKUP("LULUCF|PM25|Non-fatal heart attacks", US_national_yearly!$D:$AM, 12, FALSE) / VLOOKUP("LULUCF|PM25|Non-fatal heart attacks", US_national_yearly!$D:$AM, 10, FALSE), 1)</f>
        <v>3.1903398242860497E-4</v>
      </c>
      <c r="E13" s="7">
        <f>$B13 * IFERROR(VLOOKUP("LULUCF|PM25|Non-fatal heart attacks", US_national_yearly!$D:$AM, 13, FALSE) / VLOOKUP("LULUCF|PM25|Non-fatal heart attacks", US_national_yearly!$D:$AM, 10, FALSE), 1)</f>
        <v>3.2779947467593038E-4</v>
      </c>
      <c r="F13" s="7">
        <f>$B13 * IFERROR(VLOOKUP("LULUCF|PM25|Non-fatal heart attacks", US_national_yearly!$D:$AM, 14, FALSE) / VLOOKUP("LULUCF|PM25|Non-fatal heart attacks", US_national_yearly!$D:$AM, 10, FALSE), 1)</f>
        <v>3.3656496692325595E-4</v>
      </c>
      <c r="G13" s="7">
        <f>$B13 * IFERROR(VLOOKUP("LULUCF|PM25|Non-fatal heart attacks", US_national_yearly!$D:$AM, 15, FALSE) / VLOOKUP("LULUCF|PM25|Non-fatal heart attacks", US_national_yearly!$D:$AM, 10, FALSE), 1)</f>
        <v>3.4483138025616047E-4</v>
      </c>
      <c r="H13" s="7">
        <f>$B13 * IFERROR(VLOOKUP("LULUCF|PM25|Non-fatal heart attacks", US_national_yearly!$D:$AM, 16, FALSE) / VLOOKUP("LULUCF|PM25|Non-fatal heart attacks", US_national_yearly!$D:$AM, 10, FALSE), 1)</f>
        <v>3.5309779358906493E-4</v>
      </c>
      <c r="I13" s="7">
        <f>$B13 * IFERROR(VLOOKUP("LULUCF|PM25|Non-fatal heart attacks", US_national_yearly!$D:$AM, 17, FALSE) / VLOOKUP("LULUCF|PM25|Non-fatal heart attacks", US_national_yearly!$D:$AM, 10, FALSE), 1)</f>
        <v>3.5974123921830533E-4</v>
      </c>
      <c r="J13" s="7">
        <f>$B13 * IFERROR(VLOOKUP("LULUCF|PM25|Non-fatal heart attacks", US_national_yearly!$D:$AM, 18, FALSE) / VLOOKUP("LULUCF|PM25|Non-fatal heart attacks", US_national_yearly!$D:$AM, 10, FALSE), 1)</f>
        <v>3.6638468484754573E-4</v>
      </c>
      <c r="K13" s="7">
        <f>$B13 * IFERROR(VLOOKUP("LULUCF|PM25|Non-fatal heart attacks", US_national_yearly!$D:$AM, 19, FALSE) / VLOOKUP("LULUCF|PM25|Non-fatal heart attacks", US_national_yearly!$D:$AM, 10, FALSE), 1)</f>
        <v>3.7302813047678624E-4</v>
      </c>
      <c r="L13" s="7">
        <f>$B13 * IFERROR(VLOOKUP("LULUCF|PM25|Non-fatal heart attacks", US_national_yearly!$D:$AM, 20, FALSE) / VLOOKUP("LULUCF|PM25|Non-fatal heart attacks", US_national_yearly!$D:$AM, 10, FALSE), 1)</f>
        <v>3.7967157610602664E-4</v>
      </c>
      <c r="M13" s="7">
        <f>$B13 * IFERROR(VLOOKUP("LULUCF|PM25|Non-fatal heart attacks", US_national_yearly!$D:$AM, 21, FALSE) / VLOOKUP("LULUCF|PM25|Non-fatal heart attacks", US_national_yearly!$D:$AM, 10, FALSE), 1)</f>
        <v>3.863150217352671E-4</v>
      </c>
      <c r="N13" s="7">
        <f>$B13 * IFERROR(VLOOKUP("LULUCF|PM25|Non-fatal heart attacks", US_national_yearly!$D:$AM, 22, FALSE) / VLOOKUP("LULUCF|PM25|Non-fatal heart attacks", US_national_yearly!$D:$AM, 10, FALSE), 1)</f>
        <v>3.9059938815590183E-4</v>
      </c>
      <c r="O13" s="7">
        <f>$B13 * IFERROR(VLOOKUP("LULUCF|PM25|Non-fatal heart attacks", US_national_yearly!$D:$AM, 23, FALSE) / VLOOKUP("LULUCF|PM25|Non-fatal heart attacks", US_national_yearly!$D:$AM, 10, FALSE), 1)</f>
        <v>3.9488375457653657E-4</v>
      </c>
      <c r="P13" s="7">
        <f>$B13 * IFERROR(VLOOKUP("LULUCF|PM25|Non-fatal heart attacks", US_national_yearly!$D:$AM, 24, FALSE) / VLOOKUP("LULUCF|PM25|Non-fatal heart attacks", US_national_yearly!$D:$AM, 10, FALSE), 1)</f>
        <v>3.9916812099717136E-4</v>
      </c>
      <c r="Q13" s="7">
        <f>$B13 * IFERROR(VLOOKUP("LULUCF|PM25|Non-fatal heart attacks", US_national_yearly!$D:$AM, 25, FALSE) / VLOOKUP("LULUCF|PM25|Non-fatal heart attacks", US_national_yearly!$D:$AM, 10, FALSE), 1)</f>
        <v>4.0345248741780609E-4</v>
      </c>
      <c r="R13" s="7">
        <f>$B13 * IFERROR(VLOOKUP("LULUCF|PM25|Non-fatal heart attacks", US_national_yearly!$D:$AM, 26, FALSE) / VLOOKUP("LULUCF|PM25|Non-fatal heart attacks", US_national_yearly!$D:$AM, 10, FALSE), 1)</f>
        <v>4.0773685383844083E-4</v>
      </c>
      <c r="S13" s="7">
        <f>$B13 * IFERROR(VLOOKUP("LULUCF|PM25|Non-fatal heart attacks", US_national_yearly!$D:$AM, 27, FALSE) / VLOOKUP("LULUCF|PM25|Non-fatal heart attacks", US_national_yearly!$D:$AM, 10, FALSE), 1)</f>
        <v>4.0999312359896157E-4</v>
      </c>
      <c r="T13" s="7">
        <f>$B13 * IFERROR(VLOOKUP("LULUCF|PM25|Non-fatal heart attacks", US_national_yearly!$D:$AM, 28, FALSE) / VLOOKUP("LULUCF|PM25|Non-fatal heart attacks", US_national_yearly!$D:$AM, 10, FALSE), 1)</f>
        <v>4.1224939335948241E-4</v>
      </c>
      <c r="U13" s="7">
        <f>$B13 * IFERROR(VLOOKUP("LULUCF|PM25|Non-fatal heart attacks", US_national_yearly!$D:$AM, 29, FALSE) / VLOOKUP("LULUCF|PM25|Non-fatal heart attacks", US_national_yearly!$D:$AM, 10, FALSE), 1)</f>
        <v>4.1450566312000326E-4</v>
      </c>
      <c r="V13" s="7">
        <f>$B13 * IFERROR(VLOOKUP("LULUCF|PM25|Non-fatal heart attacks", US_national_yearly!$D:$AM, 30, FALSE) / VLOOKUP("LULUCF|PM25|Non-fatal heart attacks", US_national_yearly!$D:$AM, 10, FALSE), 1)</f>
        <v>4.1676193288052405E-4</v>
      </c>
      <c r="W13" s="7">
        <f>$B13 * IFERROR(VLOOKUP("LULUCF|PM25|Non-fatal heart attacks", US_national_yearly!$D:$AM, 31, FALSE) / VLOOKUP("LULUCF|PM25|Non-fatal heart attacks", US_national_yearly!$D:$AM, 10, FALSE), 1)</f>
        <v>4.1901820264104485E-4</v>
      </c>
      <c r="X13" s="7">
        <f>$B13 * IFERROR(VLOOKUP("LULUCF|PM25|Non-fatal heart attacks", US_national_yearly!$D:$AM, 32, FALSE) / VLOOKUP("LULUCF|PM25|Non-fatal heart attacks", US_national_yearly!$D:$AM, 10, FALSE), 1)</f>
        <v>4.2073103763918244E-4</v>
      </c>
      <c r="Y13" s="7">
        <f>$B13 * IFERROR(VLOOKUP("LULUCF|PM25|Non-fatal heart attacks", US_national_yearly!$D:$AM, 33, FALSE) / VLOOKUP("LULUCF|PM25|Non-fatal heart attacks", US_national_yearly!$D:$AM, 10, FALSE), 1)</f>
        <v>4.2244387263732004E-4</v>
      </c>
      <c r="Z13" s="7">
        <f>$B13 * IFERROR(VLOOKUP("LULUCF|PM25|Non-fatal heart attacks", US_national_yearly!$D:$AM, 34, FALSE) / VLOOKUP("LULUCF|PM25|Non-fatal heart attacks", US_national_yearly!$D:$AM, 10, FALSE), 1)</f>
        <v>4.2415670763545763E-4</v>
      </c>
      <c r="AA13" s="7">
        <f>$B13 * IFERROR(VLOOKUP("LULUCF|PM25|Non-fatal heart attacks", US_national_yearly!$D:$AM, 35, FALSE) / VLOOKUP("LULUCF|PM25|Non-fatal heart attacks", US_national_yearly!$D:$AM, 10, FALSE), 1)</f>
        <v>4.2586954263359528E-4</v>
      </c>
      <c r="AB13" s="7">
        <f>$B13 * IFERROR(VLOOKUP("LULUCF|PM25|Non-fatal heart attacks", US_national_yearly!$D:$AM, 36, FALSE) / VLOOKUP("LULUCF|PM25|Non-fatal heart attacks", US_national_yearly!$D:$AM, 10, FALSE), 1)</f>
        <v>4.2758237763173282E-4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0.21660981256501424</v>
      </c>
      <c r="C14" s="7">
        <f>$B14 * IFERROR(VLOOKUP("LULUCF|PM25|Minor restricted activity days", US_national_yearly!$D:$AM, 11, FALSE) / VLOOKUP("LULUCF|PM25|Minor restricted activity days", US_national_yearly!$D:$AM, 10, FALSE), 1)</f>
        <v>0.21713879941524714</v>
      </c>
      <c r="D14" s="7">
        <f>$B14 * IFERROR(VLOOKUP("LULUCF|PM25|Minor restricted activity days", US_national_yearly!$D:$AM, 12, FALSE) / VLOOKUP("LULUCF|PM25|Minor restricted activity days", US_national_yearly!$D:$AM, 10, FALSE), 1)</f>
        <v>0.21766778626548</v>
      </c>
      <c r="E14" s="7">
        <f>$B14 * IFERROR(VLOOKUP("LULUCF|PM25|Minor restricted activity days", US_national_yearly!$D:$AM, 13, FALSE) / VLOOKUP("LULUCF|PM25|Minor restricted activity days", US_national_yearly!$D:$AM, 10, FALSE), 1)</f>
        <v>0.21819677311571295</v>
      </c>
      <c r="F14" s="7">
        <f>$B14 * IFERROR(VLOOKUP("LULUCF|PM25|Minor restricted activity days", US_national_yearly!$D:$AM, 14, FALSE) / VLOOKUP("LULUCF|PM25|Minor restricted activity days", US_national_yearly!$D:$AM, 10, FALSE), 1)</f>
        <v>0.21872575996594579</v>
      </c>
      <c r="G14" s="7">
        <f>$B14 * IFERROR(VLOOKUP("LULUCF|PM25|Minor restricted activity days", US_national_yearly!$D:$AM, 15, FALSE) / VLOOKUP("LULUCF|PM25|Minor restricted activity days", US_national_yearly!$D:$AM, 10, FALSE), 1)</f>
        <v>0.21950626423225988</v>
      </c>
      <c r="H14" s="7">
        <f>$B14 * IFERROR(VLOOKUP("LULUCF|PM25|Minor restricted activity days", US_national_yearly!$D:$AM, 16, FALSE) / VLOOKUP("LULUCF|PM25|Minor restricted activity days", US_national_yearly!$D:$AM, 10, FALSE), 1)</f>
        <v>0.22028676849857395</v>
      </c>
      <c r="I14" s="7">
        <f>$B14 * IFERROR(VLOOKUP("LULUCF|PM25|Minor restricted activity days", US_national_yearly!$D:$AM, 17, FALSE) / VLOOKUP("LULUCF|PM25|Minor restricted activity days", US_national_yearly!$D:$AM, 10, FALSE), 1)</f>
        <v>0.22162107337830081</v>
      </c>
      <c r="J14" s="7">
        <f>$B14 * IFERROR(VLOOKUP("LULUCF|PM25|Minor restricted activity days", US_national_yearly!$D:$AM, 18, FALSE) / VLOOKUP("LULUCF|PM25|Minor restricted activity days", US_national_yearly!$D:$AM, 10, FALSE), 1)</f>
        <v>0.22295537825802755</v>
      </c>
      <c r="K14" s="7">
        <f>$B14 * IFERROR(VLOOKUP("LULUCF|PM25|Minor restricted activity days", US_national_yearly!$D:$AM, 19, FALSE) / VLOOKUP("LULUCF|PM25|Minor restricted activity days", US_national_yearly!$D:$AM, 10, FALSE), 1)</f>
        <v>0.22428968313775438</v>
      </c>
      <c r="L14" s="7">
        <f>$B14 * IFERROR(VLOOKUP("LULUCF|PM25|Minor restricted activity days", US_national_yearly!$D:$AM, 20, FALSE) / VLOOKUP("LULUCF|PM25|Minor restricted activity days", US_national_yearly!$D:$AM, 10, FALSE), 1)</f>
        <v>0.22562398801748118</v>
      </c>
      <c r="M14" s="7">
        <f>$B14 * IFERROR(VLOOKUP("LULUCF|PM25|Minor restricted activity days", US_national_yearly!$D:$AM, 21, FALSE) / VLOOKUP("LULUCF|PM25|Minor restricted activity days", US_national_yearly!$D:$AM, 10, FALSE), 1)</f>
        <v>0.22695829289720795</v>
      </c>
      <c r="N14" s="7">
        <f>$B14 * IFERROR(VLOOKUP("LULUCF|PM25|Minor restricted activity days", US_national_yearly!$D:$AM, 22, FALSE) / VLOOKUP("LULUCF|PM25|Minor restricted activity days", US_national_yearly!$D:$AM, 10, FALSE), 1)</f>
        <v>0.22877588180302497</v>
      </c>
      <c r="O14" s="7">
        <f>$B14 * IFERROR(VLOOKUP("LULUCF|PM25|Minor restricted activity days", US_national_yearly!$D:$AM, 23, FALSE) / VLOOKUP("LULUCF|PM25|Minor restricted activity days", US_national_yearly!$D:$AM, 10, FALSE), 1)</f>
        <v>0.23059347070884192</v>
      </c>
      <c r="P14" s="7">
        <f>$B14 * IFERROR(VLOOKUP("LULUCF|PM25|Minor restricted activity days", US_national_yearly!$D:$AM, 24, FALSE) / VLOOKUP("LULUCF|PM25|Minor restricted activity days", US_national_yearly!$D:$AM, 10, FALSE), 1)</f>
        <v>0.23241105961465891</v>
      </c>
      <c r="Q14" s="7">
        <f>$B14 * IFERROR(VLOOKUP("LULUCF|PM25|Minor restricted activity days", US_national_yearly!$D:$AM, 25, FALSE) / VLOOKUP("LULUCF|PM25|Minor restricted activity days", US_national_yearly!$D:$AM, 10, FALSE), 1)</f>
        <v>0.23422864852047587</v>
      </c>
      <c r="R14" s="7">
        <f>$B14 * IFERROR(VLOOKUP("LULUCF|PM25|Minor restricted activity days", US_national_yearly!$D:$AM, 26, FALSE) / VLOOKUP("LULUCF|PM25|Minor restricted activity days", US_national_yearly!$D:$AM, 10, FALSE), 1)</f>
        <v>0.23604623742629283</v>
      </c>
      <c r="S14" s="7">
        <f>$B14 * IFERROR(VLOOKUP("LULUCF|PM25|Minor restricted activity days", US_national_yearly!$D:$AM, 27, FALSE) / VLOOKUP("LULUCF|PM25|Minor restricted activity days", US_national_yearly!$D:$AM, 10, FALSE), 1)</f>
        <v>0.23787634347131772</v>
      </c>
      <c r="T14" s="7">
        <f>$B14 * IFERROR(VLOOKUP("LULUCF|PM25|Minor restricted activity days", US_national_yearly!$D:$AM, 28, FALSE) / VLOOKUP("LULUCF|PM25|Minor restricted activity days", US_national_yearly!$D:$AM, 10, FALSE), 1)</f>
        <v>0.23970644951634262</v>
      </c>
      <c r="U14" s="7">
        <f>$B14 * IFERROR(VLOOKUP("LULUCF|PM25|Minor restricted activity days", US_national_yearly!$D:$AM, 29, FALSE) / VLOOKUP("LULUCF|PM25|Minor restricted activity days", US_national_yearly!$D:$AM, 10, FALSE), 1)</f>
        <v>0.24153655556136752</v>
      </c>
      <c r="V14" s="7">
        <f>$B14 * IFERROR(VLOOKUP("LULUCF|PM25|Minor restricted activity days", US_national_yearly!$D:$AM, 30, FALSE) / VLOOKUP("LULUCF|PM25|Minor restricted activity days", US_national_yearly!$D:$AM, 10, FALSE), 1)</f>
        <v>0.24336666160639245</v>
      </c>
      <c r="W14" s="7">
        <f>$B14 * IFERROR(VLOOKUP("LULUCF|PM25|Minor restricted activity days", US_national_yearly!$D:$AM, 31, FALSE) / VLOOKUP("LULUCF|PM25|Minor restricted activity days", US_national_yearly!$D:$AM, 10, FALSE), 1)</f>
        <v>0.24519676765141735</v>
      </c>
      <c r="X14" s="7">
        <f>$B14 * IFERROR(VLOOKUP("LULUCF|PM25|Minor restricted activity days", US_national_yearly!$D:$AM, 32, FALSE) / VLOOKUP("LULUCF|PM25|Minor restricted activity days", US_national_yearly!$D:$AM, 10, FALSE), 1)</f>
        <v>0.24678548381067003</v>
      </c>
      <c r="Y14" s="7">
        <f>$B14 * IFERROR(VLOOKUP("LULUCF|PM25|Minor restricted activity days", US_national_yearly!$D:$AM, 33, FALSE) / VLOOKUP("LULUCF|PM25|Minor restricted activity days", US_national_yearly!$D:$AM, 10, FALSE), 1)</f>
        <v>0.24837419996992272</v>
      </c>
      <c r="Z14" s="7">
        <f>$B14 * IFERROR(VLOOKUP("LULUCF|PM25|Minor restricted activity days", US_national_yearly!$D:$AM, 34, FALSE) / VLOOKUP("LULUCF|PM25|Minor restricted activity days", US_national_yearly!$D:$AM, 10, FALSE), 1)</f>
        <v>0.24996291612917543</v>
      </c>
      <c r="AA14" s="7">
        <f>$B14 * IFERROR(VLOOKUP("LULUCF|PM25|Minor restricted activity days", US_national_yearly!$D:$AM, 35, FALSE) / VLOOKUP("LULUCF|PM25|Minor restricted activity days", US_national_yearly!$D:$AM, 10, FALSE), 1)</f>
        <v>0.25155163228842808</v>
      </c>
      <c r="AB14" s="7">
        <f>$B14 * IFERROR(VLOOKUP("LULUCF|PM25|Minor restricted activity days", US_national_yearly!$D:$AM, 36, FALSE) / VLOOKUP("LULUCF|PM25|Minor restricted activity days", US_national_yearly!$D:$AM, 10, FALSE), 1)</f>
        <v>0.25314034844768074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3.655824952762253E-2</v>
      </c>
      <c r="C15" s="7">
        <f>$B15 * IFERROR(VLOOKUP("LULUCF|PM25|Work loss days", US_national_yearly!$D:$AM, 11, FALSE) / VLOOKUP("LULUCF|PM25|Work loss days", US_national_yearly!$D:$AM, 10, FALSE), 1)</f>
        <v>3.6671566933944355E-2</v>
      </c>
      <c r="D15" s="7">
        <f>$B15 * IFERROR(VLOOKUP("LULUCF|PM25|Work loss days", US_national_yearly!$D:$AM, 12, FALSE) / VLOOKUP("LULUCF|PM25|Work loss days", US_national_yearly!$D:$AM, 10, FALSE), 1)</f>
        <v>3.678488434026618E-2</v>
      </c>
      <c r="E15" s="7">
        <f>$B15 * IFERROR(VLOOKUP("LULUCF|PM25|Work loss days", US_national_yearly!$D:$AM, 13, FALSE) / VLOOKUP("LULUCF|PM25|Work loss days", US_national_yearly!$D:$AM, 10, FALSE), 1)</f>
        <v>3.6898201746588005E-2</v>
      </c>
      <c r="F15" s="7">
        <f>$B15 * IFERROR(VLOOKUP("LULUCF|PM25|Work loss days", US_national_yearly!$D:$AM, 14, FALSE) / VLOOKUP("LULUCF|PM25|Work loss days", US_national_yearly!$D:$AM, 10, FALSE), 1)</f>
        <v>3.701151915290983E-2</v>
      </c>
      <c r="G15" s="7">
        <f>$B15 * IFERROR(VLOOKUP("LULUCF|PM25|Work loss days", US_national_yearly!$D:$AM, 15, FALSE) / VLOOKUP("LULUCF|PM25|Work loss days", US_national_yearly!$D:$AM, 10, FALSE), 1)</f>
        <v>3.716008550349012E-2</v>
      </c>
      <c r="H15" s="7">
        <f>$B15 * IFERROR(VLOOKUP("LULUCF|PM25|Work loss days", US_national_yearly!$D:$AM, 16, FALSE) / VLOOKUP("LULUCF|PM25|Work loss days", US_national_yearly!$D:$AM, 10, FALSE), 1)</f>
        <v>3.7308651854070417E-2</v>
      </c>
      <c r="I15" s="7">
        <f>$B15 * IFERROR(VLOOKUP("LULUCF|PM25|Work loss days", US_national_yearly!$D:$AM, 17, FALSE) / VLOOKUP("LULUCF|PM25|Work loss days", US_national_yearly!$D:$AM, 10, FALSE), 1)</f>
        <v>3.7527432145356282E-2</v>
      </c>
      <c r="J15" s="7">
        <f>$B15 * IFERROR(VLOOKUP("LULUCF|PM25|Work loss days", US_national_yearly!$D:$AM, 18, FALSE) / VLOOKUP("LULUCF|PM25|Work loss days", US_national_yearly!$D:$AM, 10, FALSE), 1)</f>
        <v>3.774621243664214E-2</v>
      </c>
      <c r="K15" s="7">
        <f>$B15 * IFERROR(VLOOKUP("LULUCF|PM25|Work loss days", US_national_yearly!$D:$AM, 19, FALSE) / VLOOKUP("LULUCF|PM25|Work loss days", US_national_yearly!$D:$AM, 10, FALSE), 1)</f>
        <v>3.7964992727928006E-2</v>
      </c>
      <c r="L15" s="7">
        <f>$B15 * IFERROR(VLOOKUP("LULUCF|PM25|Work loss days", US_national_yearly!$D:$AM, 20, FALSE) / VLOOKUP("LULUCF|PM25|Work loss days", US_national_yearly!$D:$AM, 10, FALSE), 1)</f>
        <v>3.8183773019213871E-2</v>
      </c>
      <c r="M15" s="7">
        <f>$B15 * IFERROR(VLOOKUP("LULUCF|PM25|Work loss days", US_national_yearly!$D:$AM, 21, FALSE) / VLOOKUP("LULUCF|PM25|Work loss days", US_national_yearly!$D:$AM, 10, FALSE), 1)</f>
        <v>3.8402553310499736E-2</v>
      </c>
      <c r="N15" s="7">
        <f>$B15 * IFERROR(VLOOKUP("LULUCF|PM25|Work loss days", US_national_yearly!$D:$AM, 22, FALSE) / VLOOKUP("LULUCF|PM25|Work loss days", US_national_yearly!$D:$AM, 10, FALSE), 1)</f>
        <v>3.867790486630094E-2</v>
      </c>
      <c r="O15" s="7">
        <f>$B15 * IFERROR(VLOOKUP("LULUCF|PM25|Work loss days", US_national_yearly!$D:$AM, 23, FALSE) / VLOOKUP("LULUCF|PM25|Work loss days", US_national_yearly!$D:$AM, 10, FALSE), 1)</f>
        <v>3.8953256422102144E-2</v>
      </c>
      <c r="P15" s="7">
        <f>$B15 * IFERROR(VLOOKUP("LULUCF|PM25|Work loss days", US_national_yearly!$D:$AM, 24, FALSE) / VLOOKUP("LULUCF|PM25|Work loss days", US_national_yearly!$D:$AM, 10, FALSE), 1)</f>
        <v>3.9228607977903347E-2</v>
      </c>
      <c r="Q15" s="7">
        <f>$B15 * IFERROR(VLOOKUP("LULUCF|PM25|Work loss days", US_national_yearly!$D:$AM, 25, FALSE) / VLOOKUP("LULUCF|PM25|Work loss days", US_national_yearly!$D:$AM, 10, FALSE), 1)</f>
        <v>3.9503959533704544E-2</v>
      </c>
      <c r="R15" s="7">
        <f>$B15 * IFERROR(VLOOKUP("LULUCF|PM25|Work loss days", US_national_yearly!$D:$AM, 26, FALSE) / VLOOKUP("LULUCF|PM25|Work loss days", US_national_yearly!$D:$AM, 10, FALSE), 1)</f>
        <v>3.9779311089505755E-2</v>
      </c>
      <c r="S15" s="7">
        <f>$B15 * IFERROR(VLOOKUP("LULUCF|PM25|Work loss days", US_national_yearly!$D:$AM, 27, FALSE) / VLOOKUP("LULUCF|PM25|Work loss days", US_national_yearly!$D:$AM, 10, FALSE), 1)</f>
        <v>4.0083861665930615E-2</v>
      </c>
      <c r="T15" s="7">
        <f>$B15 * IFERROR(VLOOKUP("LULUCF|PM25|Work loss days", US_national_yearly!$D:$AM, 28, FALSE) / VLOOKUP("LULUCF|PM25|Work loss days", US_national_yearly!$D:$AM, 10, FALSE), 1)</f>
        <v>4.0388412242355488E-2</v>
      </c>
      <c r="U15" s="7">
        <f>$B15 * IFERROR(VLOOKUP("LULUCF|PM25|Work loss days", US_national_yearly!$D:$AM, 29, FALSE) / VLOOKUP("LULUCF|PM25|Work loss days", US_national_yearly!$D:$AM, 10, FALSE), 1)</f>
        <v>4.0692962818780341E-2</v>
      </c>
      <c r="V15" s="7">
        <f>$B15 * IFERROR(VLOOKUP("LULUCF|PM25|Work loss days", US_national_yearly!$D:$AM, 30, FALSE) / VLOOKUP("LULUCF|PM25|Work loss days", US_national_yearly!$D:$AM, 10, FALSE), 1)</f>
        <v>4.0997513395205215E-2</v>
      </c>
      <c r="W15" s="7">
        <f>$B15 * IFERROR(VLOOKUP("LULUCF|PM25|Work loss days", US_national_yearly!$D:$AM, 31, FALSE) / VLOOKUP("LULUCF|PM25|Work loss days", US_national_yearly!$D:$AM, 10, FALSE), 1)</f>
        <v>4.1302063971630075E-2</v>
      </c>
      <c r="X15" s="7">
        <f>$B15 * IFERROR(VLOOKUP("LULUCF|PM25|Work loss days", US_national_yearly!$D:$AM, 32, FALSE) / VLOOKUP("LULUCF|PM25|Work loss days", US_national_yearly!$D:$AM, 10, FALSE), 1)</f>
        <v>4.1572282471312595E-2</v>
      </c>
      <c r="Y15" s="7">
        <f>$B15 * IFERROR(VLOOKUP("LULUCF|PM25|Work loss days", US_national_yearly!$D:$AM, 33, FALSE) / VLOOKUP("LULUCF|PM25|Work loss days", US_national_yearly!$D:$AM, 10, FALSE), 1)</f>
        <v>4.1842500970995108E-2</v>
      </c>
      <c r="Z15" s="7">
        <f>$B15 * IFERROR(VLOOKUP("LULUCF|PM25|Work loss days", US_national_yearly!$D:$AM, 34, FALSE) / VLOOKUP("LULUCF|PM25|Work loss days", US_national_yearly!$D:$AM, 10, FALSE), 1)</f>
        <v>4.2112719470677629E-2</v>
      </c>
      <c r="AA15" s="7">
        <f>$B15 * IFERROR(VLOOKUP("LULUCF|PM25|Work loss days", US_national_yearly!$D:$AM, 35, FALSE) / VLOOKUP("LULUCF|PM25|Work loss days", US_national_yearly!$D:$AM, 10, FALSE), 1)</f>
        <v>4.2382937970360156E-2</v>
      </c>
      <c r="AB15" s="7">
        <f>$B15 * IFERROR(VLOOKUP("LULUCF|PM25|Work loss days", US_national_yearly!$D:$AM, 36, FALSE) / VLOOKUP("LULUCF|PM25|Work loss days", US_national_yearly!$D:$AM, 10, FALSE), 1)</f>
        <v>4.2653156470042669E-2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7.335432208138934E-5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7.5546200376386515E-5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7.7738078671383705E-5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7.9929956966380894E-5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8.2121835261378084E-5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8.4221263139888018E-5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8.6320691018397993E-5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8.8116237003310797E-5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8.9911782988223588E-5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9.1707328973136365E-5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9.3502874958049183E-5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9.529842094296196E-5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9.6495552445811851E-5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9.7692683948661757E-5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9.8889815451511635E-5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1.0008694695436154E-4</v>
      </c>
      <c r="R17" s="7">
        <f>$B17 * IFERROR(VLOOKUP("LULUCF|PM25|Cardiovascular hospital admissions", US_national_yearly!$D:$AM, 26, FALSE) / VLOOKUP("LULUCF|PM25|Cardiovascular hospital admissions", US_national_yearly!$D:$AM, 10, FALSE), 1)</f>
        <v>1.0128407845721142E-4</v>
      </c>
      <c r="S17" s="7">
        <f>$B17 * IFERROR(VLOOKUP("LULUCF|PM25|Cardiovascular hospital admissions", US_national_yearly!$D:$AM, 27, FALSE) / VLOOKUP("LULUCF|PM25|Cardiovascular hospital admissions", US_national_yearly!$D:$AM, 10, FALSE), 1)</f>
        <v>1.0191747278769556E-4</v>
      </c>
      <c r="T17" s="7">
        <f>$B17 * IFERROR(VLOOKUP("LULUCF|PM25|Cardiovascular hospital admissions", US_national_yearly!$D:$AM, 28, FALSE) / VLOOKUP("LULUCF|PM25|Cardiovascular hospital admissions", US_national_yearly!$D:$AM, 10, FALSE), 1)</f>
        <v>1.0255086711817967E-4</v>
      </c>
      <c r="U17" s="7">
        <f>$B17 * IFERROR(VLOOKUP("LULUCF|PM25|Cardiovascular hospital admissions", US_national_yearly!$D:$AM, 29, FALSE) / VLOOKUP("LULUCF|PM25|Cardiovascular hospital admissions", US_national_yearly!$D:$AM, 10, FALSE), 1)</f>
        <v>1.0318426144866376E-4</v>
      </c>
      <c r="V17" s="7">
        <f>$B17 * IFERROR(VLOOKUP("LULUCF|PM25|Cardiovascular hospital admissions", US_national_yearly!$D:$AM, 30, FALSE) / VLOOKUP("LULUCF|PM25|Cardiovascular hospital admissions", US_national_yearly!$D:$AM, 10, FALSE), 1)</f>
        <v>1.0381765577914789E-4</v>
      </c>
      <c r="W17" s="7">
        <f>$B17 * IFERROR(VLOOKUP("LULUCF|PM25|Cardiovascular hospital admissions", US_national_yearly!$D:$AM, 31, FALSE) / VLOOKUP("LULUCF|PM25|Cardiovascular hospital admissions", US_national_yearly!$D:$AM, 10, FALSE), 1)</f>
        <v>1.04451050109632E-4</v>
      </c>
      <c r="X17" s="7">
        <f>$B17 * IFERROR(VLOOKUP("LULUCF|PM25|Cardiovascular hospital admissions", US_national_yearly!$D:$AM, 32, FALSE) / VLOOKUP("LULUCF|PM25|Cardiovascular hospital admissions", US_national_yearly!$D:$AM, 10, FALSE), 1)</f>
        <v>1.04877459504564E-4</v>
      </c>
      <c r="Y17" s="7">
        <f>$B17 * IFERROR(VLOOKUP("LULUCF|PM25|Cardiovascular hospital admissions", US_national_yearly!$D:$AM, 33, FALSE) / VLOOKUP("LULUCF|PM25|Cardiovascular hospital admissions", US_national_yearly!$D:$AM, 10, FALSE), 1)</f>
        <v>1.0530386889949601E-4</v>
      </c>
      <c r="Z17" s="7">
        <f>$B17 * IFERROR(VLOOKUP("LULUCF|PM25|Cardiovascular hospital admissions", US_national_yearly!$D:$AM, 34, FALSE) / VLOOKUP("LULUCF|PM25|Cardiovascular hospital admissions", US_national_yearly!$D:$AM, 10, FALSE), 1)</f>
        <v>1.0573027829442802E-4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1.0615668768936002E-4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1.0658309708429203E-4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6.3941290340339767E-4</v>
      </c>
      <c r="C2" s="7">
        <f>$B2 * IFERROR(VLOOKUP("LULUCF|NOx|Premature mortality", US_national_yearly!$D:$AM, 11, FALSE) / VLOOKUP("LULUCF|NOx|Premature mortality", US_national_yearly!$D:$AM, 10, FALSE), 1)</f>
        <v>6.4880479818464089E-4</v>
      </c>
      <c r="D2" s="7">
        <f>$B2 * IFERROR(VLOOKUP("LULUCF|NOx|Premature mortality", US_national_yearly!$D:$AM, 12, FALSE) / VLOOKUP("LULUCF|NOx|Premature mortality", US_national_yearly!$D:$AM, 10, FALSE), 1)</f>
        <v>6.58196692965884E-4</v>
      </c>
      <c r="E2" s="7">
        <f>$B2 * IFERROR(VLOOKUP("LULUCF|NOx|Premature mortality", US_national_yearly!$D:$AM, 13, FALSE) / VLOOKUP("LULUCF|NOx|Premature mortality", US_national_yearly!$D:$AM, 10, FALSE), 1)</f>
        <v>6.6758858774712733E-4</v>
      </c>
      <c r="F2" s="7">
        <f>$B2 * IFERROR(VLOOKUP("LULUCF|NOx|Premature mortality", US_national_yearly!$D:$AM, 14, FALSE) / VLOOKUP("LULUCF|NOx|Premature mortality", US_national_yearly!$D:$AM, 10, FALSE), 1)</f>
        <v>6.7698048252837054E-4</v>
      </c>
      <c r="G2" s="7">
        <f>$B2 * IFERROR(VLOOKUP("LULUCF|NOx|Premature mortality", US_national_yearly!$D:$AM, 15, FALSE) / VLOOKUP("LULUCF|NOx|Premature mortality", US_national_yearly!$D:$AM, 10, FALSE), 1)</f>
        <v>6.9385054602673411E-4</v>
      </c>
      <c r="H2" s="7">
        <f>$B2 * IFERROR(VLOOKUP("LULUCF|NOx|Premature mortality", US_national_yearly!$D:$AM, 16, FALSE) / VLOOKUP("LULUCF|NOx|Premature mortality", US_national_yearly!$D:$AM, 10, FALSE), 1)</f>
        <v>7.1072060952509801E-4</v>
      </c>
      <c r="I2" s="7">
        <f>$B2 * IFERROR(VLOOKUP("LULUCF|NOx|Premature mortality", US_national_yearly!$D:$AM, 17, FALSE) / VLOOKUP("LULUCF|NOx|Premature mortality", US_national_yearly!$D:$AM, 10, FALSE), 1)</f>
        <v>7.2161055551536854E-4</v>
      </c>
      <c r="J2" s="7">
        <f>$B2 * IFERROR(VLOOKUP("LULUCF|NOx|Premature mortality", US_national_yearly!$D:$AM, 18, FALSE) / VLOOKUP("LULUCF|NOx|Premature mortality", US_national_yearly!$D:$AM, 10, FALSE), 1)</f>
        <v>7.3250050150563929E-4</v>
      </c>
      <c r="K2" s="7">
        <f>$B2 * IFERROR(VLOOKUP("LULUCF|NOx|Premature mortality", US_national_yearly!$D:$AM, 19, FALSE) / VLOOKUP("LULUCF|NOx|Premature mortality", US_national_yearly!$D:$AM, 10, FALSE), 1)</f>
        <v>7.4339044749590982E-4</v>
      </c>
      <c r="L2" s="7">
        <f>$B2 * IFERROR(VLOOKUP("LULUCF|NOx|Premature mortality", US_national_yearly!$D:$AM, 20, FALSE) / VLOOKUP("LULUCF|NOx|Premature mortality", US_national_yearly!$D:$AM, 10, FALSE), 1)</f>
        <v>7.5428039348618035E-4</v>
      </c>
      <c r="M2" s="7">
        <f>$B2 * IFERROR(VLOOKUP("LULUCF|NOx|Premature mortality", US_national_yearly!$D:$AM, 21, FALSE) / VLOOKUP("LULUCF|NOx|Premature mortality", US_national_yearly!$D:$AM, 10, FALSE), 1)</f>
        <v>7.6517033947645109E-4</v>
      </c>
      <c r="N2" s="7">
        <f>$B2 * IFERROR(VLOOKUP("LULUCF|NOx|Premature mortality", US_national_yearly!$D:$AM, 22, FALSE) / VLOOKUP("LULUCF|NOx|Premature mortality", US_national_yearly!$D:$AM, 10, FALSE), 1)</f>
        <v>7.7323756913090264E-4</v>
      </c>
      <c r="O2" s="7">
        <f>$B2 * IFERROR(VLOOKUP("LULUCF|NOx|Premature mortality", US_national_yearly!$D:$AM, 23, FALSE) / VLOOKUP("LULUCF|NOx|Premature mortality", US_national_yearly!$D:$AM, 10, FALSE), 1)</f>
        <v>7.8130479878535419E-4</v>
      </c>
      <c r="P2" s="7">
        <f>$B2 * IFERROR(VLOOKUP("LULUCF|NOx|Premature mortality", US_national_yearly!$D:$AM, 24, FALSE) / VLOOKUP("LULUCF|NOx|Premature mortality", US_national_yearly!$D:$AM, 10, FALSE), 1)</f>
        <v>7.8937202843980573E-4</v>
      </c>
      <c r="Q2" s="7">
        <f>$B2 * IFERROR(VLOOKUP("LULUCF|NOx|Premature mortality", US_national_yearly!$D:$AM, 25, FALSE) / VLOOKUP("LULUCF|NOx|Premature mortality", US_national_yearly!$D:$AM, 10, FALSE), 1)</f>
        <v>7.9743925809425738E-4</v>
      </c>
      <c r="R2" s="7">
        <f>$B2 * IFERROR(VLOOKUP("LULUCF|NOx|Premature mortality", US_national_yearly!$D:$AM, 26, FALSE) / VLOOKUP("LULUCF|NOx|Premature mortality", US_national_yearly!$D:$AM, 10, FALSE), 1)</f>
        <v>8.0550648774870893E-4</v>
      </c>
      <c r="S2" s="7">
        <f>$B2 * IFERROR(VLOOKUP("LULUCF|NOx|Premature mortality", US_national_yearly!$D:$AM, 27, FALSE) / VLOOKUP("LULUCF|NOx|Premature mortality", US_national_yearly!$D:$AM, 10, FALSE), 1)</f>
        <v>8.0917312486258029E-4</v>
      </c>
      <c r="T2" s="7">
        <f>$B2 * IFERROR(VLOOKUP("LULUCF|NOx|Premature mortality", US_national_yearly!$D:$AM, 28, FALSE) / VLOOKUP("LULUCF|NOx|Premature mortality", US_national_yearly!$D:$AM, 10, FALSE), 1)</f>
        <v>8.1283976197645165E-4</v>
      </c>
      <c r="U2" s="7">
        <f>$B2 * IFERROR(VLOOKUP("LULUCF|NOx|Premature mortality", US_national_yearly!$D:$AM, 29, FALSE) / VLOOKUP("LULUCF|NOx|Premature mortality", US_national_yearly!$D:$AM, 10, FALSE), 1)</f>
        <v>8.165063990903229E-4</v>
      </c>
      <c r="V2" s="7">
        <f>$B2 * IFERROR(VLOOKUP("LULUCF|NOx|Premature mortality", US_national_yearly!$D:$AM, 30, FALSE) / VLOOKUP("LULUCF|NOx|Premature mortality", US_national_yearly!$D:$AM, 10, FALSE), 1)</f>
        <v>8.2017303620419426E-4</v>
      </c>
      <c r="W2" s="7">
        <f>$B2 * IFERROR(VLOOKUP("LULUCF|NOx|Premature mortality", US_national_yearly!$D:$AM, 31, FALSE) / VLOOKUP("LULUCF|NOx|Premature mortality", US_national_yearly!$D:$AM, 10, FALSE), 1)</f>
        <v>8.2383967331806562E-4</v>
      </c>
      <c r="X2" s="7">
        <f>$B2 * IFERROR(VLOOKUP("LULUCF|NOx|Premature mortality", US_national_yearly!$D:$AM, 32, FALSE) / VLOOKUP("LULUCF|NOx|Premature mortality", US_national_yearly!$D:$AM, 10, FALSE), 1)</f>
        <v>8.2396668352302364E-4</v>
      </c>
      <c r="Y2" s="7">
        <f>$B2 * IFERROR(VLOOKUP("LULUCF|NOx|Premature mortality", US_national_yearly!$D:$AM, 33, FALSE) / VLOOKUP("LULUCF|NOx|Premature mortality", US_national_yearly!$D:$AM, 10, FALSE), 1)</f>
        <v>8.2409369372798155E-4</v>
      </c>
      <c r="Z2" s="7">
        <f>$B2 * IFERROR(VLOOKUP("LULUCF|NOx|Premature mortality", US_national_yearly!$D:$AM, 34, FALSE) / VLOOKUP("LULUCF|NOx|Premature mortality", US_national_yearly!$D:$AM, 10, FALSE), 1)</f>
        <v>8.2422070393293947E-4</v>
      </c>
      <c r="AA2" s="7">
        <f>$B2 * IFERROR(VLOOKUP("LULUCF|NOx|Premature mortality", US_national_yearly!$D:$AM, 35, FALSE) / VLOOKUP("LULUCF|NOx|Premature mortality", US_national_yearly!$D:$AM, 10, FALSE), 1)</f>
        <v>8.2434771413789759E-4</v>
      </c>
      <c r="AB2" s="7">
        <f>$B2 * IFERROR(VLOOKUP("LULUCF|NOx|Premature mortality", US_national_yearly!$D:$AM, 36, FALSE) / VLOOKUP("LULUCF|NOx|Premature mortality", US_national_yearly!$D:$AM, 10, FALSE), 1)</f>
        <v>8.2447472434285551E-4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1.1942948543258738E-6</v>
      </c>
      <c r="C3" s="7">
        <f>$B3 * IFERROR(VLOOKUP("LULUCF|NOx|Infant mortality", US_national_yearly!$D:$AM, 11, FALSE) / VLOOKUP("LULUCF|NOx|Infant mortality", US_national_yearly!$D:$AM, 10, FALSE), 1)</f>
        <v>1.1829161525810545E-6</v>
      </c>
      <c r="D3" s="7">
        <f>$B3 * IFERROR(VLOOKUP("LULUCF|NOx|Infant mortality", US_national_yearly!$D:$AM, 12, FALSE) / VLOOKUP("LULUCF|NOx|Infant mortality", US_national_yearly!$D:$AM, 10, FALSE), 1)</f>
        <v>1.1715374508362352E-6</v>
      </c>
      <c r="E3" s="7">
        <f>$B3 * IFERROR(VLOOKUP("LULUCF|NOx|Infant mortality", US_national_yearly!$D:$AM, 13, FALSE) / VLOOKUP("LULUCF|NOx|Infant mortality", US_national_yearly!$D:$AM, 10, FALSE), 1)</f>
        <v>1.1601587490914159E-6</v>
      </c>
      <c r="F3" s="7">
        <f>$B3 * IFERROR(VLOOKUP("LULUCF|NOx|Infant mortality", US_national_yearly!$D:$AM, 14, FALSE) / VLOOKUP("LULUCF|NOx|Infant mortality", US_national_yearly!$D:$AM, 10, FALSE), 1)</f>
        <v>1.1487800473465966E-6</v>
      </c>
      <c r="G3" s="7">
        <f>$B3 * IFERROR(VLOOKUP("LULUCF|NOx|Infant mortality", US_national_yearly!$D:$AM, 15, FALSE) / VLOOKUP("LULUCF|NOx|Infant mortality", US_national_yearly!$D:$AM, 10, FALSE), 1)</f>
        <v>7.6261692331625065E-7</v>
      </c>
      <c r="H3" s="7">
        <f>$B3 * IFERROR(VLOOKUP("LULUCF|NOx|Infant mortality", US_national_yearly!$D:$AM, 16, FALSE) / VLOOKUP("LULUCF|NOx|Infant mortality", US_national_yearly!$D:$AM, 10, FALSE), 1)</f>
        <v>3.7645379928590478E-7</v>
      </c>
      <c r="I3" s="7">
        <f>$B3 * IFERROR(VLOOKUP("LULUCF|NOx|Infant mortality", US_national_yearly!$D:$AM, 17, FALSE) / VLOOKUP("LULUCF|NOx|Infant mortality", US_national_yearly!$D:$AM, 10, FALSE), 1)</f>
        <v>3.7379191148540119E-7</v>
      </c>
      <c r="J3" s="7">
        <f>$B3 * IFERROR(VLOOKUP("LULUCF|NOx|Infant mortality", US_national_yearly!$D:$AM, 18, FALSE) / VLOOKUP("LULUCF|NOx|Infant mortality", US_national_yearly!$D:$AM, 10, FALSE), 1)</f>
        <v>3.7113002368489749E-7</v>
      </c>
      <c r="K3" s="7">
        <f>$B3 * IFERROR(VLOOKUP("LULUCF|NOx|Infant mortality", US_national_yearly!$D:$AM, 19, FALSE) / VLOOKUP("LULUCF|NOx|Infant mortality", US_national_yearly!$D:$AM, 10, FALSE), 1)</f>
        <v>3.684681358843939E-7</v>
      </c>
      <c r="L3" s="7">
        <f>$B3 * IFERROR(VLOOKUP("LULUCF|NOx|Infant mortality", US_national_yearly!$D:$AM, 20, FALSE) / VLOOKUP("LULUCF|NOx|Infant mortality", US_national_yearly!$D:$AM, 10, FALSE), 1)</f>
        <v>3.6580624808389031E-7</v>
      </c>
      <c r="M3" s="7">
        <f>$B3 * IFERROR(VLOOKUP("LULUCF|NOx|Infant mortality", US_national_yearly!$D:$AM, 21, FALSE) / VLOOKUP("LULUCF|NOx|Infant mortality", US_national_yearly!$D:$AM, 10, FALSE), 1)</f>
        <v>3.6314436028338662E-7</v>
      </c>
      <c r="N3" s="7">
        <f>$B3 * IFERROR(VLOOKUP("LULUCF|NOx|Infant mortality", US_national_yearly!$D:$AM, 22, FALSE) / VLOOKUP("LULUCF|NOx|Infant mortality", US_national_yearly!$D:$AM, 10, FALSE), 1)</f>
        <v>3.6137751046155507E-7</v>
      </c>
      <c r="O3" s="7">
        <f>$B3 * IFERROR(VLOOKUP("LULUCF|NOx|Infant mortality", US_national_yearly!$D:$AM, 23, FALSE) / VLOOKUP("LULUCF|NOx|Infant mortality", US_national_yearly!$D:$AM, 10, FALSE), 1)</f>
        <v>3.5961066063972347E-7</v>
      </c>
      <c r="P3" s="7">
        <f>$B3 * IFERROR(VLOOKUP("LULUCF|NOx|Infant mortality", US_national_yearly!$D:$AM, 24, FALSE) / VLOOKUP("LULUCF|NOx|Infant mortality", US_national_yearly!$D:$AM, 10, FALSE), 1)</f>
        <v>3.5784381081789193E-7</v>
      </c>
      <c r="Q3" s="7">
        <f>$B3 * IFERROR(VLOOKUP("LULUCF|NOx|Infant mortality", US_national_yearly!$D:$AM, 25, FALSE) / VLOOKUP("LULUCF|NOx|Infant mortality", US_national_yearly!$D:$AM, 10, FALSE), 1)</f>
        <v>3.5607696099606033E-7</v>
      </c>
      <c r="R3" s="7">
        <f>$B3 * IFERROR(VLOOKUP("LULUCF|NOx|Infant mortality", US_national_yearly!$D:$AM, 26, FALSE) / VLOOKUP("LULUCF|NOx|Infant mortality", US_national_yearly!$D:$AM, 10, FALSE), 1)</f>
        <v>3.5431011117422878E-7</v>
      </c>
      <c r="S3" s="7">
        <f>$B3 * IFERROR(VLOOKUP("LULUCF|NOx|Infant mortality", US_national_yearly!$D:$AM, 27, FALSE) / VLOOKUP("LULUCF|NOx|Infant mortality", US_national_yearly!$D:$AM, 10, FALSE), 1)</f>
        <v>3.5218607671716902E-7</v>
      </c>
      <c r="T3" s="7">
        <f>$B3 * IFERROR(VLOOKUP("LULUCF|NOx|Infant mortality", US_national_yearly!$D:$AM, 28, FALSE) / VLOOKUP("LULUCF|NOx|Infant mortality", US_national_yearly!$D:$AM, 10, FALSE), 1)</f>
        <v>3.5006204226010925E-7</v>
      </c>
      <c r="U3" s="7">
        <f>$B3 * IFERROR(VLOOKUP("LULUCF|NOx|Infant mortality", US_national_yearly!$D:$AM, 29, FALSE) / VLOOKUP("LULUCF|NOx|Infant mortality", US_national_yearly!$D:$AM, 10, FALSE), 1)</f>
        <v>3.4793800780304954E-7</v>
      </c>
      <c r="V3" s="7">
        <f>$B3 * IFERROR(VLOOKUP("LULUCF|NOx|Infant mortality", US_national_yearly!$D:$AM, 30, FALSE) / VLOOKUP("LULUCF|NOx|Infant mortality", US_national_yearly!$D:$AM, 10, FALSE), 1)</f>
        <v>3.4581397334598978E-7</v>
      </c>
      <c r="W3" s="7">
        <f>$B3 * IFERROR(VLOOKUP("LULUCF|NOx|Infant mortality", US_national_yearly!$D:$AM, 31, FALSE) / VLOOKUP("LULUCF|NOx|Infant mortality", US_national_yearly!$D:$AM, 10, FALSE), 1)</f>
        <v>3.4368993888893007E-7</v>
      </c>
      <c r="X3" s="7">
        <f>$B3 * IFERROR(VLOOKUP("LULUCF|NOx|Infant mortality", US_national_yearly!$D:$AM, 32, FALSE) / VLOOKUP("LULUCF|NOx|Infant mortality", US_national_yearly!$D:$AM, 10, FALSE), 1)</f>
        <v>3.4144048368478969E-7</v>
      </c>
      <c r="Y3" s="7">
        <f>$B3 * IFERROR(VLOOKUP("LULUCF|NOx|Infant mortality", US_national_yearly!$D:$AM, 33, FALSE) / VLOOKUP("LULUCF|NOx|Infant mortality", US_national_yearly!$D:$AM, 10, FALSE), 1)</f>
        <v>3.3919102848064925E-7</v>
      </c>
      <c r="Z3" s="7">
        <f>$B3 * IFERROR(VLOOKUP("LULUCF|NOx|Infant mortality", US_national_yearly!$D:$AM, 34, FALSE) / VLOOKUP("LULUCF|NOx|Infant mortality", US_national_yearly!$D:$AM, 10, FALSE), 1)</f>
        <v>3.3694157327650886E-7</v>
      </c>
      <c r="AA3" s="7">
        <f>$B3 * IFERROR(VLOOKUP("LULUCF|NOx|Infant mortality", US_national_yearly!$D:$AM, 35, FALSE) / VLOOKUP("LULUCF|NOx|Infant mortality", US_national_yearly!$D:$AM, 10, FALSE), 1)</f>
        <v>3.3469211807236843E-7</v>
      </c>
      <c r="AB3" s="7">
        <f>$B3 * IFERROR(VLOOKUP("LULUCF|NOx|Infant mortality", US_national_yearly!$D:$AM, 36, FALSE) / VLOOKUP("LULUCF|NOx|Infant mortality", US_national_yearly!$D:$AM, 10, FALSE), 1)</f>
        <v>3.3244266286822799E-7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1.6687400154226243E-3</v>
      </c>
      <c r="C6" s="7">
        <f>$B6 * IFERROR(VLOOKUP("LULUCF|NOx|Asthma symptoms cough", US_national_yearly!$D:$AM, 11, FALSE) / VLOOKUP("LULUCF|NOx|Asthma symptoms cough", US_national_yearly!$D:$AM, 10, FALSE), 1)</f>
        <v>1.6915544197153786E-3</v>
      </c>
      <c r="D6" s="7">
        <f>$B6 * IFERROR(VLOOKUP("LULUCF|NOx|Asthma symptoms cough", US_national_yearly!$D:$AM, 12, FALSE) / VLOOKUP("LULUCF|NOx|Asthma symptoms cough", US_national_yearly!$D:$AM, 10, FALSE), 1)</f>
        <v>1.7143688240081332E-3</v>
      </c>
      <c r="E6" s="7">
        <f>$B6 * IFERROR(VLOOKUP("LULUCF|NOx|Asthma symptoms cough", US_national_yearly!$D:$AM, 13, FALSE) / VLOOKUP("LULUCF|NOx|Asthma symptoms cough", US_national_yearly!$D:$AM, 10, FALSE), 1)</f>
        <v>1.7371832283008875E-3</v>
      </c>
      <c r="F6" s="7">
        <f>$B6 * IFERROR(VLOOKUP("LULUCF|NOx|Asthma symptoms cough", US_national_yearly!$D:$AM, 14, FALSE) / VLOOKUP("LULUCF|NOx|Asthma symptoms cough", US_national_yearly!$D:$AM, 10, FALSE), 1)</f>
        <v>1.7599976325936421E-3</v>
      </c>
      <c r="G6" s="7">
        <f>$B6 * IFERROR(VLOOKUP("LULUCF|NOx|Asthma symptoms cough", US_national_yearly!$D:$AM, 15, FALSE) / VLOOKUP("LULUCF|NOx|Asthma symptoms cough", US_national_yearly!$D:$AM, 10, FALSE), 1)</f>
        <v>1.7782117463237929E-3</v>
      </c>
      <c r="H6" s="7">
        <f>$B6 * IFERROR(VLOOKUP("LULUCF|NOx|Asthma symptoms cough", US_national_yearly!$D:$AM, 16, FALSE) / VLOOKUP("LULUCF|NOx|Asthma symptoms cough", US_national_yearly!$D:$AM, 10, FALSE), 1)</f>
        <v>1.7964258600539444E-3</v>
      </c>
      <c r="I6" s="7">
        <f>$B6 * IFERROR(VLOOKUP("LULUCF|NOx|Asthma symptoms cough", US_national_yearly!$D:$AM, 17, FALSE) / VLOOKUP("LULUCF|NOx|Asthma symptoms cough", US_national_yearly!$D:$AM, 10, FALSE), 1)</f>
        <v>1.8026948976154222E-3</v>
      </c>
      <c r="J6" s="7">
        <f>$B6 * IFERROR(VLOOKUP("LULUCF|NOx|Asthma symptoms cough", US_national_yearly!$D:$AM, 18, FALSE) / VLOOKUP("LULUCF|NOx|Asthma symptoms cough", US_national_yearly!$D:$AM, 10, FALSE), 1)</f>
        <v>1.8089639351769001E-3</v>
      </c>
      <c r="K6" s="7">
        <f>$B6 * IFERROR(VLOOKUP("LULUCF|NOx|Asthma symptoms cough", US_national_yearly!$D:$AM, 19, FALSE) / VLOOKUP("LULUCF|NOx|Asthma symptoms cough", US_national_yearly!$D:$AM, 10, FALSE), 1)</f>
        <v>1.8152329727383781E-3</v>
      </c>
      <c r="L6" s="7">
        <f>$B6 * IFERROR(VLOOKUP("LULUCF|NOx|Asthma symptoms cough", US_national_yearly!$D:$AM, 20, FALSE) / VLOOKUP("LULUCF|NOx|Asthma symptoms cough", US_national_yearly!$D:$AM, 10, FALSE), 1)</f>
        <v>1.8215020102998558E-3</v>
      </c>
      <c r="M6" s="7">
        <f>$B6 * IFERROR(VLOOKUP("LULUCF|NOx|Asthma symptoms cough", US_national_yearly!$D:$AM, 21, FALSE) / VLOOKUP("LULUCF|NOx|Asthma symptoms cough", US_national_yearly!$D:$AM, 10, FALSE), 1)</f>
        <v>1.8277710478613338E-3</v>
      </c>
      <c r="N6" s="7">
        <f>$B6 * IFERROR(VLOOKUP("LULUCF|NOx|Asthma symptoms cough", US_national_yearly!$D:$AM, 22, FALSE) / VLOOKUP("LULUCF|NOx|Asthma symptoms cough", US_national_yearly!$D:$AM, 10, FALSE), 1)</f>
        <v>1.8350404637519778E-3</v>
      </c>
      <c r="O6" s="7">
        <f>$B6 * IFERROR(VLOOKUP("LULUCF|NOx|Asthma symptoms cough", US_national_yearly!$D:$AM, 23, FALSE) / VLOOKUP("LULUCF|NOx|Asthma symptoms cough", US_national_yearly!$D:$AM, 10, FALSE), 1)</f>
        <v>1.8423098796426216E-3</v>
      </c>
      <c r="P6" s="7">
        <f>$B6 * IFERROR(VLOOKUP("LULUCF|NOx|Asthma symptoms cough", US_national_yearly!$D:$AM, 24, FALSE) / VLOOKUP("LULUCF|NOx|Asthma symptoms cough", US_national_yearly!$D:$AM, 10, FALSE), 1)</f>
        <v>1.8495792955332655E-3</v>
      </c>
      <c r="Q6" s="7">
        <f>$B6 * IFERROR(VLOOKUP("LULUCF|NOx|Asthma symptoms cough", US_national_yearly!$D:$AM, 25, FALSE) / VLOOKUP("LULUCF|NOx|Asthma symptoms cough", US_national_yearly!$D:$AM, 10, FALSE), 1)</f>
        <v>1.8568487114239097E-3</v>
      </c>
      <c r="R6" s="7">
        <f>$B6 * IFERROR(VLOOKUP("LULUCF|NOx|Asthma symptoms cough", US_national_yearly!$D:$AM, 26, FALSE) / VLOOKUP("LULUCF|NOx|Asthma symptoms cough", US_national_yearly!$D:$AM, 10, FALSE), 1)</f>
        <v>1.8641181273145535E-3</v>
      </c>
      <c r="S6" s="7">
        <f>$B6 * IFERROR(VLOOKUP("LULUCF|NOx|Asthma symptoms cough", US_national_yearly!$D:$AM, 27, FALSE) / VLOOKUP("LULUCF|NOx|Asthma symptoms cough", US_national_yearly!$D:$AM, 10, FALSE), 1)</f>
        <v>1.8736142997595397E-3</v>
      </c>
      <c r="T6" s="7">
        <f>$B6 * IFERROR(VLOOKUP("LULUCF|NOx|Asthma symptoms cough", US_national_yearly!$D:$AM, 28, FALSE) / VLOOKUP("LULUCF|NOx|Asthma symptoms cough", US_national_yearly!$D:$AM, 10, FALSE), 1)</f>
        <v>1.8831104722045252E-3</v>
      </c>
      <c r="U6" s="7">
        <f>$B6 * IFERROR(VLOOKUP("LULUCF|NOx|Asthma symptoms cough", US_national_yearly!$D:$AM, 29, FALSE) / VLOOKUP("LULUCF|NOx|Asthma symptoms cough", US_national_yearly!$D:$AM, 10, FALSE), 1)</f>
        <v>1.8926066446495104E-3</v>
      </c>
      <c r="V6" s="7">
        <f>$B6 * IFERROR(VLOOKUP("LULUCF|NOx|Asthma symptoms cough", US_national_yearly!$D:$AM, 30, FALSE) / VLOOKUP("LULUCF|NOx|Asthma symptoms cough", US_national_yearly!$D:$AM, 10, FALSE), 1)</f>
        <v>1.9021028170944966E-3</v>
      </c>
      <c r="W6" s="7">
        <f>$B6 * IFERROR(VLOOKUP("LULUCF|NOx|Asthma symptoms cough", US_national_yearly!$D:$AM, 31, FALSE) / VLOOKUP("LULUCF|NOx|Asthma symptoms cough", US_national_yearly!$D:$AM, 10, FALSE), 1)</f>
        <v>1.9115989895394821E-3</v>
      </c>
      <c r="X6" s="7">
        <f>$B6 * IFERROR(VLOOKUP("LULUCF|NOx|Asthma symptoms cough", US_national_yearly!$D:$AM, 32, FALSE) / VLOOKUP("LULUCF|NOx|Asthma symptoms cough", US_national_yearly!$D:$AM, 10, FALSE), 1)</f>
        <v>1.9204222982036126E-3</v>
      </c>
      <c r="Y6" s="7">
        <f>$B6 * IFERROR(VLOOKUP("LULUCF|NOx|Asthma symptoms cough", US_national_yearly!$D:$AM, 33, FALSE) / VLOOKUP("LULUCF|NOx|Asthma symptoms cough", US_national_yearly!$D:$AM, 10, FALSE), 1)</f>
        <v>1.9292456068677429E-3</v>
      </c>
      <c r="Z6" s="7">
        <f>$B6 * IFERROR(VLOOKUP("LULUCF|NOx|Asthma symptoms cough", US_national_yearly!$D:$AM, 34, FALSE) / VLOOKUP("LULUCF|NOx|Asthma symptoms cough", US_national_yearly!$D:$AM, 10, FALSE), 1)</f>
        <v>1.9380689155318734E-3</v>
      </c>
      <c r="AA6" s="7">
        <f>$B6 * IFERROR(VLOOKUP("LULUCF|NOx|Asthma symptoms cough", US_national_yearly!$D:$AM, 35, FALSE) / VLOOKUP("LULUCF|NOx|Asthma symptoms cough", US_national_yearly!$D:$AM, 10, FALSE), 1)</f>
        <v>1.946892224196004E-3</v>
      </c>
      <c r="AB6" s="7">
        <f>$B6 * IFERROR(VLOOKUP("LULUCF|NOx|Asthma symptoms cough", US_national_yearly!$D:$AM, 36, FALSE) / VLOOKUP("LULUCF|NOx|Asthma symptoms cough", US_national_yearly!$D:$AM, 10, FALSE), 1)</f>
        <v>1.9557155328601347E-3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2.2472008127685586E-3</v>
      </c>
      <c r="C7" s="7">
        <f>$B7 * IFERROR(VLOOKUP("LULUCF|NOx|Asthma symptoms shortness of breath", US_national_yearly!$D:$AM, 11, FALSE) / VLOOKUP("LULUCF|NOx|Asthma symptoms shortness of breath", US_national_yearly!$D:$AM, 10, FALSE), 1)</f>
        <v>2.2779237218829638E-3</v>
      </c>
      <c r="D7" s="7">
        <f>$B7 * IFERROR(VLOOKUP("LULUCF|NOx|Asthma symptoms shortness of breath", US_national_yearly!$D:$AM, 12, FALSE) / VLOOKUP("LULUCF|NOx|Asthma symptoms shortness of breath", US_national_yearly!$D:$AM, 10, FALSE), 1)</f>
        <v>2.3086466309973686E-3</v>
      </c>
      <c r="E7" s="7">
        <f>$B7 * IFERROR(VLOOKUP("LULUCF|NOx|Asthma symptoms shortness of breath", US_national_yearly!$D:$AM, 13, FALSE) / VLOOKUP("LULUCF|NOx|Asthma symptoms shortness of breath", US_national_yearly!$D:$AM, 10, FALSE), 1)</f>
        <v>2.3393695401117734E-3</v>
      </c>
      <c r="F7" s="7">
        <f>$B7 * IFERROR(VLOOKUP("LULUCF|NOx|Asthma symptoms shortness of breath", US_national_yearly!$D:$AM, 14, FALSE) / VLOOKUP("LULUCF|NOx|Asthma symptoms shortness of breath", US_national_yearly!$D:$AM, 10, FALSE), 1)</f>
        <v>2.3700924492261787E-3</v>
      </c>
      <c r="G7" s="7">
        <f>$B7 * IFERROR(VLOOKUP("LULUCF|NOx|Asthma symptoms shortness of breath", US_national_yearly!$D:$AM, 15, FALSE) / VLOOKUP("LULUCF|NOx|Asthma symptoms shortness of breath", US_national_yearly!$D:$AM, 10, FALSE), 1)</f>
        <v>2.3946203988962226E-3</v>
      </c>
      <c r="H7" s="7">
        <f>$B7 * IFERROR(VLOOKUP("LULUCF|NOx|Asthma symptoms shortness of breath", US_national_yearly!$D:$AM, 16, FALSE) / VLOOKUP("LULUCF|NOx|Asthma symptoms shortness of breath", US_national_yearly!$D:$AM, 10, FALSE), 1)</f>
        <v>2.4191483485662664E-3</v>
      </c>
      <c r="I7" s="7">
        <f>$B7 * IFERROR(VLOOKUP("LULUCF|NOx|Asthma symptoms shortness of breath", US_national_yearly!$D:$AM, 17, FALSE) / VLOOKUP("LULUCF|NOx|Asthma symptoms shortness of breath", US_national_yearly!$D:$AM, 10, FALSE), 1)</f>
        <v>2.4275905181551948E-3</v>
      </c>
      <c r="J7" s="7">
        <f>$B7 * IFERROR(VLOOKUP("LULUCF|NOx|Asthma symptoms shortness of breath", US_national_yearly!$D:$AM, 18, FALSE) / VLOOKUP("LULUCF|NOx|Asthma symptoms shortness of breath", US_national_yearly!$D:$AM, 10, FALSE), 1)</f>
        <v>2.4360326877441228E-3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2.4444748573330512E-3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2.4529170269219792E-3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2.4613591965109076E-3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2.4711485208477268E-3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2.4809378451845459E-3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2.4907271695213651E-3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2.5005164938581843E-3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2.5103058181950035E-3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2.5230937936914243E-3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2.5358817691878456E-3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2.5486697446842664E-3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2.5614577201806864E-3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2.5742456956771072E-3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2.5861275623527162E-3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2.5980094290283251E-3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2.6098912957039345E-3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2.6217731623795434E-3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2.6336550290551523E-3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3.4333411396449518E-3</v>
      </c>
      <c r="C8" s="7">
        <f>$B8 * IFERROR(VLOOKUP("LULUCF|NOx|Asthma symptoms wheeze", US_national_yearly!$D:$AM, 11, FALSE) / VLOOKUP("LULUCF|NOx|Asthma symptoms wheeze", US_national_yearly!$D:$AM, 10, FALSE), 1)</f>
        <v>3.4802805263791886E-3</v>
      </c>
      <c r="D8" s="7">
        <f>$B8 * IFERROR(VLOOKUP("LULUCF|NOx|Asthma symptoms wheeze", US_national_yearly!$D:$AM, 12, FALSE) / VLOOKUP("LULUCF|NOx|Asthma symptoms wheeze", US_national_yearly!$D:$AM, 10, FALSE), 1)</f>
        <v>3.5272199131134267E-3</v>
      </c>
      <c r="E8" s="7">
        <f>$B8 * IFERROR(VLOOKUP("LULUCF|NOx|Asthma symptoms wheeze", US_national_yearly!$D:$AM, 13, FALSE) / VLOOKUP("LULUCF|NOx|Asthma symptoms wheeze", US_national_yearly!$D:$AM, 10, FALSE), 1)</f>
        <v>3.5741592998476636E-3</v>
      </c>
      <c r="F8" s="7">
        <f>$B8 * IFERROR(VLOOKUP("LULUCF|NOx|Asthma symptoms wheeze", US_national_yearly!$D:$AM, 14, FALSE) / VLOOKUP("LULUCF|NOx|Asthma symptoms wheeze", US_national_yearly!$D:$AM, 10, FALSE), 1)</f>
        <v>3.6210986865819E-3</v>
      </c>
      <c r="G8" s="7">
        <f>$B8 * IFERROR(VLOOKUP("LULUCF|NOx|Asthma symptoms wheeze", US_national_yearly!$D:$AM, 15, FALSE) / VLOOKUP("LULUCF|NOx|Asthma symptoms wheeze", US_national_yearly!$D:$AM, 10, FALSE), 1)</f>
        <v>3.6585732275809563E-3</v>
      </c>
      <c r="H8" s="7">
        <f>$B8 * IFERROR(VLOOKUP("LULUCF|NOx|Asthma symptoms wheeze", US_national_yearly!$D:$AM, 16, FALSE) / VLOOKUP("LULUCF|NOx|Asthma symptoms wheeze", US_national_yearly!$D:$AM, 10, FALSE), 1)</f>
        <v>3.6960477685800122E-3</v>
      </c>
      <c r="I8" s="7">
        <f>$B8 * IFERROR(VLOOKUP("LULUCF|NOx|Asthma symptoms wheeze", US_national_yearly!$D:$AM, 17, FALSE) / VLOOKUP("LULUCF|NOx|Asthma symptoms wheeze", US_national_yearly!$D:$AM, 10, FALSE), 1)</f>
        <v>3.7089459699128054E-3</v>
      </c>
      <c r="J8" s="7">
        <f>$B8 * IFERROR(VLOOKUP("LULUCF|NOx|Asthma symptoms wheeze", US_national_yearly!$D:$AM, 18, FALSE) / VLOOKUP("LULUCF|NOx|Asthma symptoms wheeze", US_national_yearly!$D:$AM, 10, FALSE), 1)</f>
        <v>3.7218441712455995E-3</v>
      </c>
      <c r="K8" s="7">
        <f>$B8 * IFERROR(VLOOKUP("LULUCF|NOx|Asthma symptoms wheeze", US_national_yearly!$D:$AM, 19, FALSE) / VLOOKUP("LULUCF|NOx|Asthma symptoms wheeze", US_national_yearly!$D:$AM, 10, FALSE), 1)</f>
        <v>3.7347423725783918E-3</v>
      </c>
      <c r="L8" s="7">
        <f>$B8 * IFERROR(VLOOKUP("LULUCF|NOx|Asthma symptoms wheeze", US_national_yearly!$D:$AM, 20, FALSE) / VLOOKUP("LULUCF|NOx|Asthma symptoms wheeze", US_national_yearly!$D:$AM, 10, FALSE), 1)</f>
        <v>3.7476405739111859E-3</v>
      </c>
      <c r="M8" s="7">
        <f>$B8 * IFERROR(VLOOKUP("LULUCF|NOx|Asthma symptoms wheeze", US_national_yearly!$D:$AM, 21, FALSE) / VLOOKUP("LULUCF|NOx|Asthma symptoms wheeze", US_national_yearly!$D:$AM, 10, FALSE), 1)</f>
        <v>3.7605387752439792E-3</v>
      </c>
      <c r="N8" s="7">
        <f>$B8 * IFERROR(VLOOKUP("LULUCF|NOx|Asthma symptoms wheeze", US_national_yearly!$D:$AM, 22, FALSE) / VLOOKUP("LULUCF|NOx|Asthma symptoms wheeze", US_national_yearly!$D:$AM, 10, FALSE), 1)</f>
        <v>3.7754952001891567E-3</v>
      </c>
      <c r="O8" s="7">
        <f>$B8 * IFERROR(VLOOKUP("LULUCF|NOx|Asthma symptoms wheeze", US_national_yearly!$D:$AM, 23, FALSE) / VLOOKUP("LULUCF|NOx|Asthma symptoms wheeze", US_national_yearly!$D:$AM, 10, FALSE), 1)</f>
        <v>3.7904516251343347E-3</v>
      </c>
      <c r="P8" s="7">
        <f>$B8 * IFERROR(VLOOKUP("LULUCF|NOx|Asthma symptoms wheeze", US_national_yearly!$D:$AM, 24, FALSE) / VLOOKUP("LULUCF|NOx|Asthma symptoms wheeze", US_national_yearly!$D:$AM, 10, FALSE), 1)</f>
        <v>3.8054080500795123E-3</v>
      </c>
      <c r="Q8" s="7">
        <f>$B8 * IFERROR(VLOOKUP("LULUCF|NOx|Asthma symptoms wheeze", US_national_yearly!$D:$AM, 25, FALSE) / VLOOKUP("LULUCF|NOx|Asthma symptoms wheeze", US_national_yearly!$D:$AM, 10, FALSE), 1)</f>
        <v>3.8203644750246907E-3</v>
      </c>
      <c r="R8" s="7">
        <f>$B8 * IFERROR(VLOOKUP("LULUCF|NOx|Asthma symptoms wheeze", US_national_yearly!$D:$AM, 26, FALSE) / VLOOKUP("LULUCF|NOx|Asthma symptoms wheeze", US_national_yearly!$D:$AM, 10, FALSE), 1)</f>
        <v>3.8353208999698683E-3</v>
      </c>
      <c r="S8" s="7">
        <f>$B8 * IFERROR(VLOOKUP("LULUCF|NOx|Asthma symptoms wheeze", US_national_yearly!$D:$AM, 27, FALSE) / VLOOKUP("LULUCF|NOx|Asthma symptoms wheeze", US_national_yearly!$D:$AM, 10, FALSE), 1)</f>
        <v>3.8548587545227434E-3</v>
      </c>
      <c r="T8" s="7">
        <f>$B8 * IFERROR(VLOOKUP("LULUCF|NOx|Asthma symptoms wheeze", US_national_yearly!$D:$AM, 28, FALSE) / VLOOKUP("LULUCF|NOx|Asthma symptoms wheeze", US_national_yearly!$D:$AM, 10, FALSE), 1)</f>
        <v>3.8743966090756189E-3</v>
      </c>
      <c r="U8" s="7">
        <f>$B8 * IFERROR(VLOOKUP("LULUCF|NOx|Asthma symptoms wheeze", US_national_yearly!$D:$AM, 29, FALSE) / VLOOKUP("LULUCF|NOx|Asthma symptoms wheeze", US_national_yearly!$D:$AM, 10, FALSE), 1)</f>
        <v>3.893934463628494E-3</v>
      </c>
      <c r="V8" s="7">
        <f>$B8 * IFERROR(VLOOKUP("LULUCF|NOx|Asthma symptoms wheeze", US_national_yearly!$D:$AM, 30, FALSE) / VLOOKUP("LULUCF|NOx|Asthma symptoms wheeze", US_national_yearly!$D:$AM, 10, FALSE), 1)</f>
        <v>3.9134723181813704E-3</v>
      </c>
      <c r="W8" s="7">
        <f>$B8 * IFERROR(VLOOKUP("LULUCF|NOx|Asthma symptoms wheeze", US_national_yearly!$D:$AM, 31, FALSE) / VLOOKUP("LULUCF|NOx|Asthma symptoms wheeze", US_national_yearly!$D:$AM, 10, FALSE), 1)</f>
        <v>3.9330101727342442E-3</v>
      </c>
      <c r="X8" s="7">
        <f>$B8 * IFERROR(VLOOKUP("LULUCF|NOx|Asthma symptoms wheeze", US_national_yearly!$D:$AM, 32, FALSE) / VLOOKUP("LULUCF|NOx|Asthma symptoms wheeze", US_national_yearly!$D:$AM, 10, FALSE), 1)</f>
        <v>3.9511636469150299E-3</v>
      </c>
      <c r="Y8" s="7">
        <f>$B8 * IFERROR(VLOOKUP("LULUCF|NOx|Asthma symptoms wheeze", US_national_yearly!$D:$AM, 33, FALSE) / VLOOKUP("LULUCF|NOx|Asthma symptoms wheeze", US_national_yearly!$D:$AM, 10, FALSE), 1)</f>
        <v>3.9693171210958148E-3</v>
      </c>
      <c r="Z8" s="7">
        <f>$B8 * IFERROR(VLOOKUP("LULUCF|NOx|Asthma symptoms wheeze", US_national_yearly!$D:$AM, 34, FALSE) / VLOOKUP("LULUCF|NOx|Asthma symptoms wheeze", US_national_yearly!$D:$AM, 10, FALSE), 1)</f>
        <v>3.9874705952766005E-3</v>
      </c>
      <c r="AA8" s="7">
        <f>$B8 * IFERROR(VLOOKUP("LULUCF|NOx|Asthma symptoms wheeze", US_national_yearly!$D:$AM, 35, FALSE) / VLOOKUP("LULUCF|NOx|Asthma symptoms wheeze", US_national_yearly!$D:$AM, 10, FALSE), 1)</f>
        <v>4.0056240694573853E-3</v>
      </c>
      <c r="AB8" s="7">
        <f>$B8 * IFERROR(VLOOKUP("LULUCF|NOx|Asthma symptoms wheeze", US_national_yearly!$D:$AM, 36, FALSE) / VLOOKUP("LULUCF|NOx|Asthma symptoms wheeze", US_national_yearly!$D:$AM, 10, FALSE), 1)</f>
        <v>4.023777543638171E-3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4.3159760412944076E-5</v>
      </c>
      <c r="C12" s="7">
        <f>$B12 * IFERROR(VLOOKUP("LULUCF|NOx|Respiratory hospital admissions", US_national_yearly!$D:$AM, 11, FALSE) / VLOOKUP("LULUCF|NOx|Respiratory hospital admissions", US_national_yearly!$D:$AM, 10, FALSE), 1)</f>
        <v>4.4236366165089184E-5</v>
      </c>
      <c r="D12" s="7">
        <f>$B12 * IFERROR(VLOOKUP("LULUCF|NOx|Respiratory hospital admissions", US_national_yearly!$D:$AM, 12, FALSE) / VLOOKUP("LULUCF|NOx|Respiratory hospital admissions", US_national_yearly!$D:$AM, 10, FALSE), 1)</f>
        <v>4.5312971917234305E-5</v>
      </c>
      <c r="E12" s="7">
        <f>$B12 * IFERROR(VLOOKUP("LULUCF|NOx|Respiratory hospital admissions", US_national_yearly!$D:$AM, 13, FALSE) / VLOOKUP("LULUCF|NOx|Respiratory hospital admissions", US_national_yearly!$D:$AM, 10, FALSE), 1)</f>
        <v>4.6389577669379426E-5</v>
      </c>
      <c r="F12" s="7">
        <f>$B12 * IFERROR(VLOOKUP("LULUCF|NOx|Respiratory hospital admissions", US_national_yearly!$D:$AM, 14, FALSE) / VLOOKUP("LULUCF|NOx|Respiratory hospital admissions", US_national_yearly!$D:$AM, 10, FALSE), 1)</f>
        <v>4.7466183421524547E-5</v>
      </c>
      <c r="G12" s="7">
        <f>$B12 * IFERROR(VLOOKUP("LULUCF|NOx|Respiratory hospital admissions", US_national_yearly!$D:$AM, 15, FALSE) / VLOOKUP("LULUCF|NOx|Respiratory hospital admissions", US_national_yearly!$D:$AM, 10, FALSE), 1)</f>
        <v>4.8495455163873235E-5</v>
      </c>
      <c r="H12" s="7">
        <f>$B12 * IFERROR(VLOOKUP("LULUCF|NOx|Respiratory hospital admissions", US_national_yearly!$D:$AM, 16, FALSE) / VLOOKUP("LULUCF|NOx|Respiratory hospital admissions", US_national_yearly!$D:$AM, 10, FALSE), 1)</f>
        <v>4.9524726906221924E-5</v>
      </c>
      <c r="I12" s="7">
        <f>$B12 * IFERROR(VLOOKUP("LULUCF|NOx|Respiratory hospital admissions", US_national_yearly!$D:$AM, 17, FALSE) / VLOOKUP("LULUCF|NOx|Respiratory hospital admissions", US_national_yearly!$D:$AM, 10, FALSE), 1)</f>
        <v>5.0398599775161605E-5</v>
      </c>
      <c r="J12" s="7">
        <f>$B12 * IFERROR(VLOOKUP("LULUCF|NOx|Respiratory hospital admissions", US_national_yearly!$D:$AM, 18, FALSE) / VLOOKUP("LULUCF|NOx|Respiratory hospital admissions", US_national_yearly!$D:$AM, 10, FALSE), 1)</f>
        <v>5.1272472644101279E-5</v>
      </c>
      <c r="K12" s="7">
        <f>$B12 * IFERROR(VLOOKUP("LULUCF|NOx|Respiratory hospital admissions", US_national_yearly!$D:$AM, 19, FALSE) / VLOOKUP("LULUCF|NOx|Respiratory hospital admissions", US_national_yearly!$D:$AM, 10, FALSE), 1)</f>
        <v>5.214634551304096E-5</v>
      </c>
      <c r="L12" s="7">
        <f>$B12 * IFERROR(VLOOKUP("LULUCF|NOx|Respiratory hospital admissions", US_national_yearly!$D:$AM, 20, FALSE) / VLOOKUP("LULUCF|NOx|Respiratory hospital admissions", US_national_yearly!$D:$AM, 10, FALSE), 1)</f>
        <v>5.3020218381980641E-5</v>
      </c>
      <c r="M12" s="7">
        <f>$B12 * IFERROR(VLOOKUP("LULUCF|NOx|Respiratory hospital admissions", US_national_yearly!$D:$AM, 21, FALSE) / VLOOKUP("LULUCF|NOx|Respiratory hospital admissions", US_national_yearly!$D:$AM, 10, FALSE), 1)</f>
        <v>5.3894091250920322E-5</v>
      </c>
      <c r="N12" s="7">
        <f>$B12 * IFERROR(VLOOKUP("LULUCF|NOx|Respiratory hospital admissions", US_national_yearly!$D:$AM, 22, FALSE) / VLOOKUP("LULUCF|NOx|Respiratory hospital admissions", US_national_yearly!$D:$AM, 10, FALSE), 1)</f>
        <v>5.447829099750243E-5</v>
      </c>
      <c r="O12" s="7">
        <f>$B12 * IFERROR(VLOOKUP("LULUCF|NOx|Respiratory hospital admissions", US_national_yearly!$D:$AM, 23, FALSE) / VLOOKUP("LULUCF|NOx|Respiratory hospital admissions", US_national_yearly!$D:$AM, 10, FALSE), 1)</f>
        <v>5.5062490744084559E-5</v>
      </c>
      <c r="P12" s="7">
        <f>$B12 * IFERROR(VLOOKUP("LULUCF|NOx|Respiratory hospital admissions", US_national_yearly!$D:$AM, 24, FALSE) / VLOOKUP("LULUCF|NOx|Respiratory hospital admissions", US_national_yearly!$D:$AM, 10, FALSE), 1)</f>
        <v>5.5646690490666674E-5</v>
      </c>
      <c r="Q12" s="7">
        <f>$B12 * IFERROR(VLOOKUP("LULUCF|NOx|Respiratory hospital admissions", US_national_yearly!$D:$AM, 25, FALSE) / VLOOKUP("LULUCF|NOx|Respiratory hospital admissions", US_national_yearly!$D:$AM, 10, FALSE), 1)</f>
        <v>5.6230890237248802E-5</v>
      </c>
      <c r="R12" s="7">
        <f>$B12 * IFERROR(VLOOKUP("LULUCF|NOx|Respiratory hospital admissions", US_national_yearly!$D:$AM, 26, FALSE) / VLOOKUP("LULUCF|NOx|Respiratory hospital admissions", US_national_yearly!$D:$AM, 10, FALSE), 1)</f>
        <v>5.6815089983830924E-5</v>
      </c>
      <c r="S12" s="7">
        <f>$B12 * IFERROR(VLOOKUP("LULUCF|NOx|Respiratory hospital admissions", US_national_yearly!$D:$AM, 27, FALSE) / VLOOKUP("LULUCF|NOx|Respiratory hospital admissions", US_national_yearly!$D:$AM, 10, FALSE), 1)</f>
        <v>5.7128088378070127E-5</v>
      </c>
      <c r="T12" s="7">
        <f>$B12 * IFERROR(VLOOKUP("LULUCF|NOx|Respiratory hospital admissions", US_national_yearly!$D:$AM, 28, FALSE) / VLOOKUP("LULUCF|NOx|Respiratory hospital admissions", US_national_yearly!$D:$AM, 10, FALSE), 1)</f>
        <v>5.7441086772309337E-5</v>
      </c>
      <c r="U12" s="7">
        <f>$B12 * IFERROR(VLOOKUP("LULUCF|NOx|Respiratory hospital admissions", US_national_yearly!$D:$AM, 29, FALSE) / VLOOKUP("LULUCF|NOx|Respiratory hospital admissions", US_national_yearly!$D:$AM, 10, FALSE), 1)</f>
        <v>5.775408516654854E-5</v>
      </c>
      <c r="V12" s="7">
        <f>$B12 * IFERROR(VLOOKUP("LULUCF|NOx|Respiratory hospital admissions", US_national_yearly!$D:$AM, 30, FALSE) / VLOOKUP("LULUCF|NOx|Respiratory hospital admissions", US_national_yearly!$D:$AM, 10, FALSE), 1)</f>
        <v>5.8067083560787736E-5</v>
      </c>
      <c r="W12" s="7">
        <f>$B12 * IFERROR(VLOOKUP("LULUCF|NOx|Respiratory hospital admissions", US_national_yearly!$D:$AM, 31, FALSE) / VLOOKUP("LULUCF|NOx|Respiratory hospital admissions", US_national_yearly!$D:$AM, 10, FALSE), 1)</f>
        <v>5.8380081955026953E-5</v>
      </c>
      <c r="X12" s="7">
        <f>$B12 * IFERROR(VLOOKUP("LULUCF|NOx|Respiratory hospital admissions", US_national_yearly!$D:$AM, 32, FALSE) / VLOOKUP("LULUCF|NOx|Respiratory hospital admissions", US_national_yearly!$D:$AM, 10, FALSE), 1)</f>
        <v>5.8593975693838264E-5</v>
      </c>
      <c r="Y12" s="7">
        <f>$B12 * IFERROR(VLOOKUP("LULUCF|NOx|Respiratory hospital admissions", US_national_yearly!$D:$AM, 33, FALSE) / VLOOKUP("LULUCF|NOx|Respiratory hospital admissions", US_national_yearly!$D:$AM, 10, FALSE), 1)</f>
        <v>5.8807869432649588E-5</v>
      </c>
      <c r="Z12" s="7">
        <f>$B12 * IFERROR(VLOOKUP("LULUCF|NOx|Respiratory hospital admissions", US_national_yearly!$D:$AM, 34, FALSE) / VLOOKUP("LULUCF|NOx|Respiratory hospital admissions", US_national_yearly!$D:$AM, 10, FALSE), 1)</f>
        <v>5.9021763171460912E-5</v>
      </c>
      <c r="AA12" s="7">
        <f>$B12 * IFERROR(VLOOKUP("LULUCF|NOx|Respiratory hospital admissions", US_national_yearly!$D:$AM, 35, FALSE) / VLOOKUP("LULUCF|NOx|Respiratory hospital admissions", US_national_yearly!$D:$AM, 10, FALSE), 1)</f>
        <v>5.923565691027223E-5</v>
      </c>
      <c r="AB12" s="7">
        <f>$B12 * IFERROR(VLOOKUP("LULUCF|NOx|Respiratory hospital admissions", US_national_yearly!$D:$AM, 36, FALSE) / VLOOKUP("LULUCF|NOx|Respiratory hospital admissions", US_national_yearly!$D:$AM, 10, FALSE), 1)</f>
        <v>5.944955064908354E-5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3.0150299793395405E-4</v>
      </c>
      <c r="C13" s="7">
        <f>$B13 * IFERROR(VLOOKUP("LULUCF|NOx|Non-fatal heart attacks", US_national_yearly!$D:$AM, 11, FALSE) / VLOOKUP("LULUCF|NOx|Non-fatal heart attacks", US_national_yearly!$D:$AM, 10, FALSE), 1)</f>
        <v>3.101227030037961E-4</v>
      </c>
      <c r="D13" s="7">
        <f>$B13 * IFERROR(VLOOKUP("LULUCF|NOx|Non-fatal heart attacks", US_national_yearly!$D:$AM, 12, FALSE) / VLOOKUP("LULUCF|NOx|Non-fatal heart attacks", US_national_yearly!$D:$AM, 10, FALSE), 1)</f>
        <v>3.1874240807363815E-4</v>
      </c>
      <c r="E13" s="7">
        <f>$B13 * IFERROR(VLOOKUP("LULUCF|NOx|Non-fatal heart attacks", US_national_yearly!$D:$AM, 13, FALSE) / VLOOKUP("LULUCF|NOx|Non-fatal heart attacks", US_national_yearly!$D:$AM, 10, FALSE), 1)</f>
        <v>3.2736211314348014E-4</v>
      </c>
      <c r="F13" s="7">
        <f>$B13 * IFERROR(VLOOKUP("LULUCF|NOx|Non-fatal heart attacks", US_national_yearly!$D:$AM, 14, FALSE) / VLOOKUP("LULUCF|NOx|Non-fatal heart attacks", US_national_yearly!$D:$AM, 10, FALSE), 1)</f>
        <v>3.3598181821332219E-4</v>
      </c>
      <c r="G13" s="7">
        <f>$B13 * IFERROR(VLOOKUP("LULUCF|NOx|Non-fatal heart attacks", US_national_yearly!$D:$AM, 15, FALSE) / VLOOKUP("LULUCF|NOx|Non-fatal heart attacks", US_national_yearly!$D:$AM, 10, FALSE), 1)</f>
        <v>3.4403691468635041E-4</v>
      </c>
      <c r="H13" s="7">
        <f>$B13 * IFERROR(VLOOKUP("LULUCF|NOx|Non-fatal heart attacks", US_national_yearly!$D:$AM, 16, FALSE) / VLOOKUP("LULUCF|NOx|Non-fatal heart attacks", US_national_yearly!$D:$AM, 10, FALSE), 1)</f>
        <v>3.5209201115937863E-4</v>
      </c>
      <c r="I13" s="7">
        <f>$B13 * IFERROR(VLOOKUP("LULUCF|NOx|Non-fatal heart attacks", US_national_yearly!$D:$AM, 17, FALSE) / VLOOKUP("LULUCF|NOx|Non-fatal heart attacks", US_national_yearly!$D:$AM, 10, FALSE), 1)</f>
        <v>3.5844253394291668E-4</v>
      </c>
      <c r="J13" s="7">
        <f>$B13 * IFERROR(VLOOKUP("LULUCF|NOx|Non-fatal heart attacks", US_national_yearly!$D:$AM, 18, FALSE) / VLOOKUP("LULUCF|NOx|Non-fatal heart attacks", US_national_yearly!$D:$AM, 10, FALSE), 1)</f>
        <v>3.6479305672645478E-4</v>
      </c>
      <c r="K13" s="7">
        <f>$B13 * IFERROR(VLOOKUP("LULUCF|NOx|Non-fatal heart attacks", US_national_yearly!$D:$AM, 19, FALSE) / VLOOKUP("LULUCF|NOx|Non-fatal heart attacks", US_national_yearly!$D:$AM, 10, FALSE), 1)</f>
        <v>3.7114357950999261E-4</v>
      </c>
      <c r="L13" s="7">
        <f>$B13 * IFERROR(VLOOKUP("LULUCF|NOx|Non-fatal heart attacks", US_national_yearly!$D:$AM, 20, FALSE) / VLOOKUP("LULUCF|NOx|Non-fatal heart attacks", US_national_yearly!$D:$AM, 10, FALSE), 1)</f>
        <v>3.7749410229353093E-4</v>
      </c>
      <c r="M13" s="7">
        <f>$B13 * IFERROR(VLOOKUP("LULUCF|NOx|Non-fatal heart attacks", US_national_yearly!$D:$AM, 21, FALSE) / VLOOKUP("LULUCF|NOx|Non-fatal heart attacks", US_national_yearly!$D:$AM, 10, FALSE), 1)</f>
        <v>3.8384462507706893E-4</v>
      </c>
      <c r="N13" s="7">
        <f>$B13 * IFERROR(VLOOKUP("LULUCF|NOx|Non-fatal heart attacks", US_national_yearly!$D:$AM, 22, FALSE) / VLOOKUP("LULUCF|NOx|Non-fatal heart attacks", US_national_yearly!$D:$AM, 10, FALSE), 1)</f>
        <v>3.8766529217326831E-4</v>
      </c>
      <c r="O13" s="7">
        <f>$B13 * IFERROR(VLOOKUP("LULUCF|NOx|Non-fatal heart attacks", US_national_yearly!$D:$AM, 23, FALSE) / VLOOKUP("LULUCF|NOx|Non-fatal heart attacks", US_national_yearly!$D:$AM, 10, FALSE), 1)</f>
        <v>3.9148595926946763E-4</v>
      </c>
      <c r="P13" s="7">
        <f>$B13 * IFERROR(VLOOKUP("LULUCF|NOx|Non-fatal heart attacks", US_national_yearly!$D:$AM, 24, FALSE) / VLOOKUP("LULUCF|NOx|Non-fatal heart attacks", US_national_yearly!$D:$AM, 10, FALSE), 1)</f>
        <v>3.9530662636566696E-4</v>
      </c>
      <c r="Q13" s="7">
        <f>$B13 * IFERROR(VLOOKUP("LULUCF|NOx|Non-fatal heart attacks", US_national_yearly!$D:$AM, 25, FALSE) / VLOOKUP("LULUCF|NOx|Non-fatal heart attacks", US_national_yearly!$D:$AM, 10, FALSE), 1)</f>
        <v>3.991272934618664E-4</v>
      </c>
      <c r="R13" s="7">
        <f>$B13 * IFERROR(VLOOKUP("LULUCF|NOx|Non-fatal heart attacks", US_national_yearly!$D:$AM, 26, FALSE) / VLOOKUP("LULUCF|NOx|Non-fatal heart attacks", US_national_yearly!$D:$AM, 10, FALSE), 1)</f>
        <v>4.0294796055806578E-4</v>
      </c>
      <c r="S13" s="7">
        <f>$B13 * IFERROR(VLOOKUP("LULUCF|NOx|Non-fatal heart attacks", US_national_yearly!$D:$AM, 27, FALSE) / VLOOKUP("LULUCF|NOx|Non-fatal heart attacks", US_national_yearly!$D:$AM, 10, FALSE), 1)</f>
        <v>4.0468104157805675E-4</v>
      </c>
      <c r="T13" s="7">
        <f>$B13 * IFERROR(VLOOKUP("LULUCF|NOx|Non-fatal heart attacks", US_national_yearly!$D:$AM, 28, FALSE) / VLOOKUP("LULUCF|NOx|Non-fatal heart attacks", US_national_yearly!$D:$AM, 10, FALSE), 1)</f>
        <v>4.0641412259804778E-4</v>
      </c>
      <c r="U13" s="7">
        <f>$B13 * IFERROR(VLOOKUP("LULUCF|NOx|Non-fatal heart attacks", US_national_yearly!$D:$AM, 29, FALSE) / VLOOKUP("LULUCF|NOx|Non-fatal heart attacks", US_national_yearly!$D:$AM, 10, FALSE), 1)</f>
        <v>4.0814720361803875E-4</v>
      </c>
      <c r="V13" s="7">
        <f>$B13 * IFERROR(VLOOKUP("LULUCF|NOx|Non-fatal heart attacks", US_national_yearly!$D:$AM, 30, FALSE) / VLOOKUP("LULUCF|NOx|Non-fatal heart attacks", US_national_yearly!$D:$AM, 10, FALSE), 1)</f>
        <v>4.0988028463802978E-4</v>
      </c>
      <c r="W13" s="7">
        <f>$B13 * IFERROR(VLOOKUP("LULUCF|NOx|Non-fatal heart attacks", US_national_yearly!$D:$AM, 31, FALSE) / VLOOKUP("LULUCF|NOx|Non-fatal heart attacks", US_national_yearly!$D:$AM, 10, FALSE), 1)</f>
        <v>4.1161336565802075E-4</v>
      </c>
      <c r="X13" s="7">
        <f>$B13 * IFERROR(VLOOKUP("LULUCF|NOx|Non-fatal heart attacks", US_national_yearly!$D:$AM, 32, FALSE) / VLOOKUP("LULUCF|NOx|Non-fatal heart attacks", US_national_yearly!$D:$AM, 10, FALSE), 1)</f>
        <v>4.1277150158720068E-4</v>
      </c>
      <c r="Y13" s="7">
        <f>$B13 * IFERROR(VLOOKUP("LULUCF|NOx|Non-fatal heart attacks", US_national_yearly!$D:$AM, 33, FALSE) / VLOOKUP("LULUCF|NOx|Non-fatal heart attacks", US_national_yearly!$D:$AM, 10, FALSE), 1)</f>
        <v>4.1392963751638067E-4</v>
      </c>
      <c r="Z13" s="7">
        <f>$B13 * IFERROR(VLOOKUP("LULUCF|NOx|Non-fatal heart attacks", US_national_yearly!$D:$AM, 34, FALSE) / VLOOKUP("LULUCF|NOx|Non-fatal heart attacks", US_national_yearly!$D:$AM, 10, FALSE), 1)</f>
        <v>4.1508777344556055E-4</v>
      </c>
      <c r="AA13" s="7">
        <f>$B13 * IFERROR(VLOOKUP("LULUCF|NOx|Non-fatal heart attacks", US_national_yearly!$D:$AM, 35, FALSE) / VLOOKUP("LULUCF|NOx|Non-fatal heart attacks", US_national_yearly!$D:$AM, 10, FALSE), 1)</f>
        <v>4.1624590937474042E-4</v>
      </c>
      <c r="AB13" s="7">
        <f>$B13 * IFERROR(VLOOKUP("LULUCF|NOx|Non-fatal heart attacks", US_national_yearly!$D:$AM, 36, FALSE) / VLOOKUP("LULUCF|NOx|Non-fatal heart attacks", US_national_yearly!$D:$AM, 10, FALSE), 1)</f>
        <v>4.1740404530392041E-4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0.21660981256501424</v>
      </c>
      <c r="C14" s="7">
        <f>$B14 * IFERROR(VLOOKUP("LULUCF|NOx|Minor restricted activity days", US_national_yearly!$D:$AM, 11, FALSE) / VLOOKUP("LULUCF|NOx|Minor restricted activity days", US_national_yearly!$D:$AM, 10, FALSE), 1)</f>
        <v>0.21694191175883673</v>
      </c>
      <c r="D14" s="7">
        <f>$B14 * IFERROR(VLOOKUP("LULUCF|NOx|Minor restricted activity days", US_national_yearly!$D:$AM, 12, FALSE) / VLOOKUP("LULUCF|NOx|Minor restricted activity days", US_national_yearly!$D:$AM, 10, FALSE), 1)</f>
        <v>0.21727401095265927</v>
      </c>
      <c r="E14" s="7">
        <f>$B14 * IFERROR(VLOOKUP("LULUCF|NOx|Minor restricted activity days", US_national_yearly!$D:$AM, 13, FALSE) / VLOOKUP("LULUCF|NOx|Minor restricted activity days", US_national_yearly!$D:$AM, 10, FALSE), 1)</f>
        <v>0.21760611014648182</v>
      </c>
      <c r="F14" s="7">
        <f>$B14 * IFERROR(VLOOKUP("LULUCF|NOx|Minor restricted activity days", US_national_yearly!$D:$AM, 14, FALSE) / VLOOKUP("LULUCF|NOx|Minor restricted activity days", US_national_yearly!$D:$AM, 10, FALSE), 1)</f>
        <v>0.21793820934030433</v>
      </c>
      <c r="G14" s="7">
        <f>$B14 * IFERROR(VLOOKUP("LULUCF|NOx|Minor restricted activity days", US_national_yearly!$D:$AM, 15, FALSE) / VLOOKUP("LULUCF|NOx|Minor restricted activity days", US_national_yearly!$D:$AM, 10, FALSE), 1)</f>
        <v>0.2185379014379473</v>
      </c>
      <c r="H14" s="7">
        <f>$B14 * IFERROR(VLOOKUP("LULUCF|NOx|Minor restricted activity days", US_national_yearly!$D:$AM, 16, FALSE) / VLOOKUP("LULUCF|NOx|Minor restricted activity days", US_national_yearly!$D:$AM, 10, FALSE), 1)</f>
        <v>0.21913759353559023</v>
      </c>
      <c r="I14" s="7">
        <f>$B14 * IFERROR(VLOOKUP("LULUCF|NOx|Minor restricted activity days", US_national_yearly!$D:$AM, 17, FALSE) / VLOOKUP("LULUCF|NOx|Minor restricted activity days", US_national_yearly!$D:$AM, 10, FALSE), 1)</f>
        <v>0.22031056756430051</v>
      </c>
      <c r="J14" s="7">
        <f>$B14 * IFERROR(VLOOKUP("LULUCF|NOx|Minor restricted activity days", US_national_yearly!$D:$AM, 18, FALSE) / VLOOKUP("LULUCF|NOx|Minor restricted activity days", US_national_yearly!$D:$AM, 10, FALSE), 1)</f>
        <v>0.22148354159301076</v>
      </c>
      <c r="K14" s="7">
        <f>$B14 * IFERROR(VLOOKUP("LULUCF|NOx|Minor restricted activity days", US_national_yearly!$D:$AM, 19, FALSE) / VLOOKUP("LULUCF|NOx|Minor restricted activity days", US_national_yearly!$D:$AM, 10, FALSE), 1)</f>
        <v>0.22265651562172104</v>
      </c>
      <c r="L14" s="7">
        <f>$B14 * IFERROR(VLOOKUP("LULUCF|NOx|Minor restricted activity days", US_national_yearly!$D:$AM, 20, FALSE) / VLOOKUP("LULUCF|NOx|Minor restricted activity days", US_national_yearly!$D:$AM, 10, FALSE), 1)</f>
        <v>0.22382948965043126</v>
      </c>
      <c r="M14" s="7">
        <f>$B14 * IFERROR(VLOOKUP("LULUCF|NOx|Minor restricted activity days", US_national_yearly!$D:$AM, 21, FALSE) / VLOOKUP("LULUCF|NOx|Minor restricted activity days", US_national_yearly!$D:$AM, 10, FALSE), 1)</f>
        <v>0.22500246367914153</v>
      </c>
      <c r="N14" s="7">
        <f>$B14 * IFERROR(VLOOKUP("LULUCF|NOx|Minor restricted activity days", US_national_yearly!$D:$AM, 22, FALSE) / VLOOKUP("LULUCF|NOx|Minor restricted activity days", US_national_yearly!$D:$AM, 10, FALSE), 1)</f>
        <v>0.22668189652215429</v>
      </c>
      <c r="O14" s="7">
        <f>$B14 * IFERROR(VLOOKUP("LULUCF|NOx|Minor restricted activity days", US_national_yearly!$D:$AM, 23, FALSE) / VLOOKUP("LULUCF|NOx|Minor restricted activity days", US_national_yearly!$D:$AM, 10, FALSE), 1)</f>
        <v>0.22836132936516707</v>
      </c>
      <c r="P14" s="7">
        <f>$B14 * IFERROR(VLOOKUP("LULUCF|NOx|Minor restricted activity days", US_national_yearly!$D:$AM, 24, FALSE) / VLOOKUP("LULUCF|NOx|Minor restricted activity days", US_national_yearly!$D:$AM, 10, FALSE), 1)</f>
        <v>0.23004076220817982</v>
      </c>
      <c r="Q14" s="7">
        <f>$B14 * IFERROR(VLOOKUP("LULUCF|NOx|Minor restricted activity days", US_national_yearly!$D:$AM, 25, FALSE) / VLOOKUP("LULUCF|NOx|Minor restricted activity days", US_national_yearly!$D:$AM, 10, FALSE), 1)</f>
        <v>0.2317201950511926</v>
      </c>
      <c r="R14" s="7">
        <f>$B14 * IFERROR(VLOOKUP("LULUCF|NOx|Minor restricted activity days", US_national_yearly!$D:$AM, 26, FALSE) / VLOOKUP("LULUCF|NOx|Minor restricted activity days", US_national_yearly!$D:$AM, 10, FALSE), 1)</f>
        <v>0.23339962789420537</v>
      </c>
      <c r="S14" s="7">
        <f>$B14 * IFERROR(VLOOKUP("LULUCF|NOx|Minor restricted activity days", US_national_yearly!$D:$AM, 27, FALSE) / VLOOKUP("LULUCF|NOx|Minor restricted activity days", US_national_yearly!$D:$AM, 10, FALSE), 1)</f>
        <v>0.23507870764005745</v>
      </c>
      <c r="T14" s="7">
        <f>$B14 * IFERROR(VLOOKUP("LULUCF|NOx|Minor restricted activity days", US_national_yearly!$D:$AM, 28, FALSE) / VLOOKUP("LULUCF|NOx|Minor restricted activity days", US_national_yearly!$D:$AM, 10, FALSE), 1)</f>
        <v>0.2367577873859095</v>
      </c>
      <c r="U14" s="7">
        <f>$B14 * IFERROR(VLOOKUP("LULUCF|NOx|Minor restricted activity days", US_national_yearly!$D:$AM, 29, FALSE) / VLOOKUP("LULUCF|NOx|Minor restricted activity days", US_national_yearly!$D:$AM, 10, FALSE), 1)</f>
        <v>0.23843686713176157</v>
      </c>
      <c r="V14" s="7">
        <f>$B14 * IFERROR(VLOOKUP("LULUCF|NOx|Minor restricted activity days", US_national_yearly!$D:$AM, 30, FALSE) / VLOOKUP("LULUCF|NOx|Minor restricted activity days", US_national_yearly!$D:$AM, 10, FALSE), 1)</f>
        <v>0.24011594687761367</v>
      </c>
      <c r="W14" s="7">
        <f>$B14 * IFERROR(VLOOKUP("LULUCF|NOx|Minor restricted activity days", US_national_yearly!$D:$AM, 31, FALSE) / VLOOKUP("LULUCF|NOx|Minor restricted activity days", US_national_yearly!$D:$AM, 10, FALSE), 1)</f>
        <v>0.24179502662346569</v>
      </c>
      <c r="X14" s="7">
        <f>$B14 * IFERROR(VLOOKUP("LULUCF|NOx|Minor restricted activity days", US_national_yearly!$D:$AM, 32, FALSE) / VLOOKUP("LULUCF|NOx|Minor restricted activity days", US_national_yearly!$D:$AM, 10, FALSE), 1)</f>
        <v>0.24321462458264731</v>
      </c>
      <c r="Y14" s="7">
        <f>$B14 * IFERROR(VLOOKUP("LULUCF|NOx|Minor restricted activity days", US_national_yearly!$D:$AM, 33, FALSE) / VLOOKUP("LULUCF|NOx|Minor restricted activity days", US_national_yearly!$D:$AM, 10, FALSE), 1)</f>
        <v>0.2446342225418289</v>
      </c>
      <c r="Z14" s="7">
        <f>$B14 * IFERROR(VLOOKUP("LULUCF|NOx|Minor restricted activity days", US_national_yearly!$D:$AM, 34, FALSE) / VLOOKUP("LULUCF|NOx|Minor restricted activity days", US_national_yearly!$D:$AM, 10, FALSE), 1)</f>
        <v>0.24605382050101049</v>
      </c>
      <c r="AA14" s="7">
        <f>$B14 * IFERROR(VLOOKUP("LULUCF|NOx|Minor restricted activity days", US_national_yearly!$D:$AM, 35, FALSE) / VLOOKUP("LULUCF|NOx|Minor restricted activity days", US_national_yearly!$D:$AM, 10, FALSE), 1)</f>
        <v>0.24747341846019208</v>
      </c>
      <c r="AB14" s="7">
        <f>$B14 * IFERROR(VLOOKUP("LULUCF|NOx|Minor restricted activity days", US_national_yearly!$D:$AM, 36, FALSE) / VLOOKUP("LULUCF|NOx|Minor restricted activity days", US_national_yearly!$D:$AM, 10, FALSE), 1)</f>
        <v>0.2488930164193737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3.655824952762253E-2</v>
      </c>
      <c r="C15" s="7">
        <f>$B15 * IFERROR(VLOOKUP("LULUCF|NOx|Work loss days", US_national_yearly!$D:$AM, 11, FALSE) / VLOOKUP("LULUCF|NOx|Work loss days", US_national_yearly!$D:$AM, 10, FALSE), 1)</f>
        <v>3.6639571386987133E-2</v>
      </c>
      <c r="D15" s="7">
        <f>$B15 * IFERROR(VLOOKUP("LULUCF|NOx|Work loss days", US_national_yearly!$D:$AM, 12, FALSE) / VLOOKUP("LULUCF|NOx|Work loss days", US_national_yearly!$D:$AM, 10, FALSE), 1)</f>
        <v>3.6720893246351749E-2</v>
      </c>
      <c r="E15" s="7">
        <f>$B15 * IFERROR(VLOOKUP("LULUCF|NOx|Work loss days", US_national_yearly!$D:$AM, 13, FALSE) / VLOOKUP("LULUCF|NOx|Work loss days", US_national_yearly!$D:$AM, 10, FALSE), 1)</f>
        <v>3.6802215105716352E-2</v>
      </c>
      <c r="F15" s="7">
        <f>$B15 * IFERROR(VLOOKUP("LULUCF|NOx|Work loss days", US_national_yearly!$D:$AM, 14, FALSE) / VLOOKUP("LULUCF|NOx|Work loss days", US_national_yearly!$D:$AM, 10, FALSE), 1)</f>
        <v>3.6883536965080968E-2</v>
      </c>
      <c r="G15" s="7">
        <f>$B15 * IFERROR(VLOOKUP("LULUCF|NOx|Work loss days", US_national_yearly!$D:$AM, 15, FALSE) / VLOOKUP("LULUCF|NOx|Work loss days", US_national_yearly!$D:$AM, 10, FALSE), 1)</f>
        <v>3.7002267573464864E-2</v>
      </c>
      <c r="H15" s="7">
        <f>$B15 * IFERROR(VLOOKUP("LULUCF|NOx|Work loss days", US_national_yearly!$D:$AM, 16, FALSE) / VLOOKUP("LULUCF|NOx|Work loss days", US_national_yearly!$D:$AM, 10, FALSE), 1)</f>
        <v>3.7120998181848767E-2</v>
      </c>
      <c r="I15" s="7">
        <f>$B15 * IFERROR(VLOOKUP("LULUCF|NOx|Work loss days", US_national_yearly!$D:$AM, 17, FALSE) / VLOOKUP("LULUCF|NOx|Work loss days", US_national_yearly!$D:$AM, 10, FALSE), 1)</f>
        <v>3.7313335332680893E-2</v>
      </c>
      <c r="J15" s="7">
        <f>$B15 * IFERROR(VLOOKUP("LULUCF|NOx|Work loss days", US_national_yearly!$D:$AM, 18, FALSE) / VLOOKUP("LULUCF|NOx|Work loss days", US_national_yearly!$D:$AM, 10, FALSE), 1)</f>
        <v>3.7505672483513032E-2</v>
      </c>
      <c r="K15" s="7">
        <f>$B15 * IFERROR(VLOOKUP("LULUCF|NOx|Work loss days", US_national_yearly!$D:$AM, 19, FALSE) / VLOOKUP("LULUCF|NOx|Work loss days", US_national_yearly!$D:$AM, 10, FALSE), 1)</f>
        <v>3.7698009634345164E-2</v>
      </c>
      <c r="L15" s="7">
        <f>$B15 * IFERROR(VLOOKUP("LULUCF|NOx|Work loss days", US_national_yearly!$D:$AM, 20, FALSE) / VLOOKUP("LULUCF|NOx|Work loss days", US_national_yearly!$D:$AM, 10, FALSE), 1)</f>
        <v>3.7890346785177297E-2</v>
      </c>
      <c r="M15" s="7">
        <f>$B15 * IFERROR(VLOOKUP("LULUCF|NOx|Work loss days", US_national_yearly!$D:$AM, 21, FALSE) / VLOOKUP("LULUCF|NOx|Work loss days", US_national_yearly!$D:$AM, 10, FALSE), 1)</f>
        <v>3.8082683936009436E-2</v>
      </c>
      <c r="N15" s="7">
        <f>$B15 * IFERROR(VLOOKUP("LULUCF|NOx|Work loss days", US_national_yearly!$D:$AM, 22, FALSE) / VLOOKUP("LULUCF|NOx|Work loss days", US_national_yearly!$D:$AM, 10, FALSE), 1)</f>
        <v>3.8332998935484169E-2</v>
      </c>
      <c r="O15" s="7">
        <f>$B15 * IFERROR(VLOOKUP("LULUCF|NOx|Work loss days", US_national_yearly!$D:$AM, 23, FALSE) / VLOOKUP("LULUCF|NOx|Work loss days", US_national_yearly!$D:$AM, 10, FALSE), 1)</f>
        <v>3.8583313934958896E-2</v>
      </c>
      <c r="P15" s="7">
        <f>$B15 * IFERROR(VLOOKUP("LULUCF|NOx|Work loss days", US_national_yearly!$D:$AM, 24, FALSE) / VLOOKUP("LULUCF|NOx|Work loss days", US_national_yearly!$D:$AM, 10, FALSE), 1)</f>
        <v>3.883362893443363E-2</v>
      </c>
      <c r="Q15" s="7">
        <f>$B15 * IFERROR(VLOOKUP("LULUCF|NOx|Work loss days", US_national_yearly!$D:$AM, 25, FALSE) / VLOOKUP("LULUCF|NOx|Work loss days", US_national_yearly!$D:$AM, 10, FALSE), 1)</f>
        <v>3.9083943933908356E-2</v>
      </c>
      <c r="R15" s="7">
        <f>$B15 * IFERROR(VLOOKUP("LULUCF|NOx|Work loss days", US_national_yearly!$D:$AM, 26, FALSE) / VLOOKUP("LULUCF|NOx|Work loss days", US_national_yearly!$D:$AM, 10, FALSE), 1)</f>
        <v>3.9334258933383097E-2</v>
      </c>
      <c r="S15" s="7">
        <f>$B15 * IFERROR(VLOOKUP("LULUCF|NOx|Work loss days", US_national_yearly!$D:$AM, 27, FALSE) / VLOOKUP("LULUCF|NOx|Work loss days", US_national_yearly!$D:$AM, 10, FALSE), 1)</f>
        <v>3.9613328152019789E-2</v>
      </c>
      <c r="T15" s="7">
        <f>$B15 * IFERROR(VLOOKUP("LULUCF|NOx|Work loss days", US_national_yearly!$D:$AM, 28, FALSE) / VLOOKUP("LULUCF|NOx|Work loss days", US_national_yearly!$D:$AM, 10, FALSE), 1)</f>
        <v>3.9892397370656481E-2</v>
      </c>
      <c r="U15" s="7">
        <f>$B15 * IFERROR(VLOOKUP("LULUCF|NOx|Work loss days", US_national_yearly!$D:$AM, 29, FALSE) / VLOOKUP("LULUCF|NOx|Work loss days", US_national_yearly!$D:$AM, 10, FALSE), 1)</f>
        <v>4.0171466589293166E-2</v>
      </c>
      <c r="V15" s="7">
        <f>$B15 * IFERROR(VLOOKUP("LULUCF|NOx|Work loss days", US_national_yearly!$D:$AM, 30, FALSE) / VLOOKUP("LULUCF|NOx|Work loss days", US_national_yearly!$D:$AM, 10, FALSE), 1)</f>
        <v>4.0450535807929858E-2</v>
      </c>
      <c r="W15" s="7">
        <f>$B15 * IFERROR(VLOOKUP("LULUCF|NOx|Work loss days", US_national_yearly!$D:$AM, 31, FALSE) / VLOOKUP("LULUCF|NOx|Work loss days", US_national_yearly!$D:$AM, 10, FALSE), 1)</f>
        <v>4.072960502656655E-2</v>
      </c>
      <c r="X15" s="7">
        <f>$B15 * IFERROR(VLOOKUP("LULUCF|NOx|Work loss days", US_national_yearly!$D:$AM, 32, FALSE) / VLOOKUP("LULUCF|NOx|Work loss days", US_national_yearly!$D:$AM, 10, FALSE), 1)</f>
        <v>4.0971822229282064E-2</v>
      </c>
      <c r="Y15" s="7">
        <f>$B15 * IFERROR(VLOOKUP("LULUCF|NOx|Work loss days", US_national_yearly!$D:$AM, 33, FALSE) / VLOOKUP("LULUCF|NOx|Work loss days", US_national_yearly!$D:$AM, 10, FALSE), 1)</f>
        <v>4.1214039431997578E-2</v>
      </c>
      <c r="Z15" s="7">
        <f>$B15 * IFERROR(VLOOKUP("LULUCF|NOx|Work loss days", US_national_yearly!$D:$AM, 34, FALSE) / VLOOKUP("LULUCF|NOx|Work loss days", US_national_yearly!$D:$AM, 10, FALSE), 1)</f>
        <v>4.1456256634713091E-2</v>
      </c>
      <c r="AA15" s="7">
        <f>$B15 * IFERROR(VLOOKUP("LULUCF|NOx|Work loss days", US_national_yearly!$D:$AM, 35, FALSE) / VLOOKUP("LULUCF|NOx|Work loss days", US_national_yearly!$D:$AM, 10, FALSE), 1)</f>
        <v>4.1698473837428605E-2</v>
      </c>
      <c r="AB15" s="7">
        <f>$B15 * IFERROR(VLOOKUP("LULUCF|NOx|Work loss days", US_national_yearly!$D:$AM, 36, FALSE) / VLOOKUP("LULUCF|NOx|Work loss days", US_national_yearly!$D:$AM, 10, FALSE), 1)</f>
        <v>4.1940691040144119E-2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7.335432208138934E-5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7.5509811820565184E-5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7.7665301559741001E-5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7.9820791298916818E-5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8.1976281038092662E-5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8.4023639827059503E-5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8.6070998616026359E-5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8.7792669412731805E-5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8.9514340209437252E-5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9.1236011006142699E-5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9.2957681802848159E-5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9.4679352599553619E-5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9.5755970395926639E-5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9.6832588192299687E-5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9.7909205988672707E-5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9.8985823785045741E-5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1.0006244158141876E-4</v>
      </c>
      <c r="S17" s="7">
        <f>$B17 * IFERROR(VLOOKUP("LULUCF|NOx|Cardiovascular hospital admissions", US_national_yearly!$D:$AM, 27, FALSE) / VLOOKUP("LULUCF|NOx|Cardiovascular hospital admissions", US_national_yearly!$D:$AM, 10, FALSE), 1)</f>
        <v>1.0055367271746155E-4</v>
      </c>
      <c r="T17" s="7">
        <f>$B17 * IFERROR(VLOOKUP("LULUCF|NOx|Cardiovascular hospital admissions", US_national_yearly!$D:$AM, 28, FALSE) / VLOOKUP("LULUCF|NOx|Cardiovascular hospital admissions", US_national_yearly!$D:$AM, 10, FALSE), 1)</f>
        <v>1.0104490385350435E-4</v>
      </c>
      <c r="U17" s="7">
        <f>$B17 * IFERROR(VLOOKUP("LULUCF|NOx|Cardiovascular hospital admissions", US_national_yearly!$D:$AM, 29, FALSE) / VLOOKUP("LULUCF|NOx|Cardiovascular hospital admissions", US_national_yearly!$D:$AM, 10, FALSE), 1)</f>
        <v>1.0153613498954714E-4</v>
      </c>
      <c r="V17" s="7">
        <f>$B17 * IFERROR(VLOOKUP("LULUCF|NOx|Cardiovascular hospital admissions", US_national_yearly!$D:$AM, 30, FALSE) / VLOOKUP("LULUCF|NOx|Cardiovascular hospital admissions", US_national_yearly!$D:$AM, 10, FALSE), 1)</f>
        <v>1.0202736612558993E-4</v>
      </c>
      <c r="W17" s="7">
        <f>$B17 * IFERROR(VLOOKUP("LULUCF|NOx|Cardiovascular hospital admissions", US_national_yearly!$D:$AM, 31, FALSE) / VLOOKUP("LULUCF|NOx|Cardiovascular hospital admissions", US_national_yearly!$D:$AM, 10, FALSE), 1)</f>
        <v>1.0251859726163273E-4</v>
      </c>
      <c r="X17" s="7">
        <f>$B17 * IFERROR(VLOOKUP("LULUCF|NOx|Cardiovascular hospital admissions", US_national_yearly!$D:$AM, 32, FALSE) / VLOOKUP("LULUCF|NOx|Cardiovascular hospital admissions", US_national_yearly!$D:$AM, 10, FALSE), 1)</f>
        <v>1.0279198441963482E-4</v>
      </c>
      <c r="Y17" s="7">
        <f>$B17 * IFERROR(VLOOKUP("LULUCF|NOx|Cardiovascular hospital admissions", US_national_yearly!$D:$AM, 33, FALSE) / VLOOKUP("LULUCF|NOx|Cardiovascular hospital admissions", US_national_yearly!$D:$AM, 10, FALSE), 1)</f>
        <v>1.0306537157763694E-4</v>
      </c>
      <c r="Z17" s="7">
        <f>$B17 * IFERROR(VLOOKUP("LULUCF|NOx|Cardiovascular hospital admissions", US_national_yearly!$D:$AM, 34, FALSE) / VLOOKUP("LULUCF|NOx|Cardiovascular hospital admissions", US_national_yearly!$D:$AM, 10, FALSE), 1)</f>
        <v>1.0333875873563903E-4</v>
      </c>
      <c r="AA17" s="7">
        <f>$B17 * IFERROR(VLOOKUP("LULUCF|NOx|Cardiovascular hospital admissions", US_national_yearly!$D:$AM, 35, FALSE) / VLOOKUP("LULUCF|NOx|Cardiovascular hospital admissions", US_national_yearly!$D:$AM, 10, FALSE), 1)</f>
        <v>1.0361214589364113E-4</v>
      </c>
      <c r="AB17" s="7">
        <f>$B17 * IFERROR(VLOOKUP("LULUCF|NOx|Cardiovascular hospital admissions", US_national_yearly!$D:$AM, 36, FALSE) / VLOOKUP("LULUCF|NOx|Cardiovascular hospital admissions", US_national_yearly!$D:$AM, 10, FALSE), 1)</f>
        <v>1.0388553305164323E-4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6.3941290340339767E-4</v>
      </c>
      <c r="C2" s="7">
        <f>$B2 * IFERROR(VLOOKUP("LULUCF|SO2|Premature mortality", US_national_yearly!$D:$AM, 11, FALSE) / VLOOKUP("LULUCF|SO2|Premature mortality", US_national_yearly!$D:$AM, 10, FALSE), 1)</f>
        <v>6.4751072186142297E-4</v>
      </c>
      <c r="D2" s="7">
        <f>$B2 * IFERROR(VLOOKUP("LULUCF|SO2|Premature mortality", US_national_yearly!$D:$AM, 12, FALSE) / VLOOKUP("LULUCF|SO2|Premature mortality", US_national_yearly!$D:$AM, 10, FALSE), 1)</f>
        <v>6.5560854031944849E-4</v>
      </c>
      <c r="E2" s="7">
        <f>$B2 * IFERROR(VLOOKUP("LULUCF|SO2|Premature mortality", US_national_yearly!$D:$AM, 13, FALSE) / VLOOKUP("LULUCF|SO2|Premature mortality", US_national_yearly!$D:$AM, 10, FALSE), 1)</f>
        <v>6.6370635877747389E-4</v>
      </c>
      <c r="F2" s="7">
        <f>$B2 * IFERROR(VLOOKUP("LULUCF|SO2|Premature mortality", US_national_yearly!$D:$AM, 14, FALSE) / VLOOKUP("LULUCF|SO2|Premature mortality", US_national_yearly!$D:$AM, 10, FALSE), 1)</f>
        <v>6.7180417723549919E-4</v>
      </c>
      <c r="G2" s="7">
        <f>$B2 * IFERROR(VLOOKUP("LULUCF|SO2|Premature mortality", US_national_yearly!$D:$AM, 15, FALSE) / VLOOKUP("LULUCF|SO2|Premature mortality", US_national_yearly!$D:$AM, 10, FALSE), 1)</f>
        <v>6.8740821446955131E-4</v>
      </c>
      <c r="H2" s="7">
        <f>$B2 * IFERROR(VLOOKUP("LULUCF|SO2|Premature mortality", US_national_yearly!$D:$AM, 16, FALSE) / VLOOKUP("LULUCF|SO2|Premature mortality", US_national_yearly!$D:$AM, 10, FALSE), 1)</f>
        <v>7.0301225170360331E-4</v>
      </c>
      <c r="I2" s="7">
        <f>$B2 * IFERROR(VLOOKUP("LULUCF|SO2|Premature mortality", US_national_yearly!$D:$AM, 17, FALSE) / VLOOKUP("LULUCF|SO2|Premature mortality", US_national_yearly!$D:$AM, 10, FALSE), 1)</f>
        <v>7.1332435562994551E-4</v>
      </c>
      <c r="J2" s="7">
        <f>$B2 * IFERROR(VLOOKUP("LULUCF|SO2|Premature mortality", US_national_yearly!$D:$AM, 18, FALSE) / VLOOKUP("LULUCF|SO2|Premature mortality", US_national_yearly!$D:$AM, 10, FALSE), 1)</f>
        <v>7.2363645955628771E-4</v>
      </c>
      <c r="K2" s="7">
        <f>$B2 * IFERROR(VLOOKUP("LULUCF|SO2|Premature mortality", US_national_yearly!$D:$AM, 19, FALSE) / VLOOKUP("LULUCF|SO2|Premature mortality", US_national_yearly!$D:$AM, 10, FALSE), 1)</f>
        <v>7.3394856348262981E-4</v>
      </c>
      <c r="L2" s="7">
        <f>$B2 * IFERROR(VLOOKUP("LULUCF|SO2|Premature mortality", US_national_yearly!$D:$AM, 20, FALSE) / VLOOKUP("LULUCF|SO2|Premature mortality", US_national_yearly!$D:$AM, 10, FALSE), 1)</f>
        <v>7.4426066740897212E-4</v>
      </c>
      <c r="M2" s="7">
        <f>$B2 * IFERROR(VLOOKUP("LULUCF|SO2|Premature mortality", US_national_yearly!$D:$AM, 21, FALSE) / VLOOKUP("LULUCF|SO2|Premature mortality", US_national_yearly!$D:$AM, 10, FALSE), 1)</f>
        <v>7.5457277133531432E-4</v>
      </c>
      <c r="N2" s="7">
        <f>$B2 * IFERROR(VLOOKUP("LULUCF|SO2|Premature mortality", US_national_yearly!$D:$AM, 22, FALSE) / VLOOKUP("LULUCF|SO2|Premature mortality", US_national_yearly!$D:$AM, 10, FALSE), 1)</f>
        <v>7.6263008998672286E-4</v>
      </c>
      <c r="O2" s="7">
        <f>$B2 * IFERROR(VLOOKUP("LULUCF|SO2|Premature mortality", US_national_yearly!$D:$AM, 23, FALSE) / VLOOKUP("LULUCF|SO2|Premature mortality", US_national_yearly!$D:$AM, 10, FALSE), 1)</f>
        <v>7.7068740863813151E-4</v>
      </c>
      <c r="P2" s="7">
        <f>$B2 * IFERROR(VLOOKUP("LULUCF|SO2|Premature mortality", US_national_yearly!$D:$AM, 24, FALSE) / VLOOKUP("LULUCF|SO2|Premature mortality", US_national_yearly!$D:$AM, 10, FALSE), 1)</f>
        <v>7.7874472728954006E-4</v>
      </c>
      <c r="Q2" s="7">
        <f>$B2 * IFERROR(VLOOKUP("LULUCF|SO2|Premature mortality", US_national_yearly!$D:$AM, 25, FALSE) / VLOOKUP("LULUCF|SO2|Premature mortality", US_national_yearly!$D:$AM, 10, FALSE), 1)</f>
        <v>7.868020459409486E-4</v>
      </c>
      <c r="R2" s="7">
        <f>$B2 * IFERROR(VLOOKUP("LULUCF|SO2|Premature mortality", US_national_yearly!$D:$AM, 26, FALSE) / VLOOKUP("LULUCF|SO2|Premature mortality", US_national_yearly!$D:$AM, 10, FALSE), 1)</f>
        <v>7.9485936459235704E-4</v>
      </c>
      <c r="S2" s="7">
        <f>$B2 * IFERROR(VLOOKUP("LULUCF|SO2|Premature mortality", US_national_yearly!$D:$AM, 27, FALSE) / VLOOKUP("LULUCF|SO2|Premature mortality", US_national_yearly!$D:$AM, 10, FALSE), 1)</f>
        <v>7.9917416601498967E-4</v>
      </c>
      <c r="T2" s="7">
        <f>$B2 * IFERROR(VLOOKUP("LULUCF|SO2|Premature mortality", US_national_yearly!$D:$AM, 28, FALSE) / VLOOKUP("LULUCF|SO2|Premature mortality", US_national_yearly!$D:$AM, 10, FALSE), 1)</f>
        <v>8.0348896743762208E-4</v>
      </c>
      <c r="U2" s="7">
        <f>$B2 * IFERROR(VLOOKUP("LULUCF|SO2|Premature mortality", US_national_yearly!$D:$AM, 29, FALSE) / VLOOKUP("LULUCF|SO2|Premature mortality", US_national_yearly!$D:$AM, 10, FALSE), 1)</f>
        <v>8.0780376886025449E-4</v>
      </c>
      <c r="V2" s="7">
        <f>$B2 * IFERROR(VLOOKUP("LULUCF|SO2|Premature mortality", US_national_yearly!$D:$AM, 30, FALSE) / VLOOKUP("LULUCF|SO2|Premature mortality", US_national_yearly!$D:$AM, 10, FALSE), 1)</f>
        <v>8.1211857028288691E-4</v>
      </c>
      <c r="W2" s="7">
        <f>$B2 * IFERROR(VLOOKUP("LULUCF|SO2|Premature mortality", US_national_yearly!$D:$AM, 31, FALSE) / VLOOKUP("LULUCF|SO2|Premature mortality", US_national_yearly!$D:$AM, 10, FALSE), 1)</f>
        <v>8.1643337170551953E-4</v>
      </c>
      <c r="X2" s="7">
        <f>$B2 * IFERROR(VLOOKUP("LULUCF|SO2|Premature mortality", US_national_yearly!$D:$AM, 32, FALSE) / VLOOKUP("LULUCF|SO2|Premature mortality", US_national_yearly!$D:$AM, 10, FALSE), 1)</f>
        <v>8.1730993681251233E-4</v>
      </c>
      <c r="Y2" s="7">
        <f>$B2 * IFERROR(VLOOKUP("LULUCF|SO2|Premature mortality", US_national_yearly!$D:$AM, 33, FALSE) / VLOOKUP("LULUCF|SO2|Premature mortality", US_national_yearly!$D:$AM, 10, FALSE), 1)</f>
        <v>8.1818650191950524E-4</v>
      </c>
      <c r="Z2" s="7">
        <f>$B2 * IFERROR(VLOOKUP("LULUCF|SO2|Premature mortality", US_national_yearly!$D:$AM, 34, FALSE) / VLOOKUP("LULUCF|SO2|Premature mortality", US_national_yearly!$D:$AM, 10, FALSE), 1)</f>
        <v>8.1906306702649815E-4</v>
      </c>
      <c r="AA2" s="7">
        <f>$B2 * IFERROR(VLOOKUP("LULUCF|SO2|Premature mortality", US_national_yearly!$D:$AM, 35, FALSE) / VLOOKUP("LULUCF|SO2|Premature mortality", US_national_yearly!$D:$AM, 10, FALSE), 1)</f>
        <v>8.1993963213349106E-4</v>
      </c>
      <c r="AB2" s="7">
        <f>$B2 * IFERROR(VLOOKUP("LULUCF|SO2|Premature mortality", US_national_yearly!$D:$AM, 36, FALSE) / VLOOKUP("LULUCF|SO2|Premature mortality", US_national_yearly!$D:$AM, 10, FALSE), 1)</f>
        <v>8.2081619724048386E-4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1.1942948543258738E-6</v>
      </c>
      <c r="C3" s="7">
        <f>$B3 * IFERROR(VLOOKUP("LULUCF|SO2|Infant mortality", US_national_yearly!$D:$AM, 11, FALSE) / VLOOKUP("LULUCF|SO2|Infant mortality", US_national_yearly!$D:$AM, 10, FALSE), 1)</f>
        <v>1.1840356436811797E-6</v>
      </c>
      <c r="D3" s="7">
        <f>$B3 * IFERROR(VLOOKUP("LULUCF|SO2|Infant mortality", US_national_yearly!$D:$AM, 12, FALSE) / VLOOKUP("LULUCF|SO2|Infant mortality", US_national_yearly!$D:$AM, 10, FALSE), 1)</f>
        <v>1.1737764330364858E-6</v>
      </c>
      <c r="E3" s="7">
        <f>$B3 * IFERROR(VLOOKUP("LULUCF|SO2|Infant mortality", US_national_yearly!$D:$AM, 13, FALSE) / VLOOKUP("LULUCF|SO2|Infant mortality", US_national_yearly!$D:$AM, 10, FALSE), 1)</f>
        <v>1.1635172223917917E-6</v>
      </c>
      <c r="F3" s="7">
        <f>$B3 * IFERROR(VLOOKUP("LULUCF|SO2|Infant mortality", US_national_yearly!$D:$AM, 14, FALSE) / VLOOKUP("LULUCF|SO2|Infant mortality", US_national_yearly!$D:$AM, 10, FALSE), 1)</f>
        <v>1.1532580117470978E-6</v>
      </c>
      <c r="G3" s="7">
        <f>$B3 * IFERROR(VLOOKUP("LULUCF|SO2|Infant mortality", US_national_yearly!$D:$AM, 15, FALSE) / VLOOKUP("LULUCF|SO2|Infant mortality", US_national_yearly!$D:$AM, 10, FALSE), 1)</f>
        <v>7.681627210467777E-7</v>
      </c>
      <c r="H3" s="7">
        <f>$B3 * IFERROR(VLOOKUP("LULUCF|SO2|Infant mortality", US_national_yearly!$D:$AM, 16, FALSE) / VLOOKUP("LULUCF|SO2|Infant mortality", US_national_yearly!$D:$AM, 10, FALSE), 1)</f>
        <v>3.8306743034645823E-7</v>
      </c>
      <c r="I3" s="7">
        <f>$B3 * IFERROR(VLOOKUP("LULUCF|SO2|Infant mortality", US_national_yearly!$D:$AM, 17, FALSE) / VLOOKUP("LULUCF|SO2|Infant mortality", US_national_yearly!$D:$AM, 10, FALSE), 1)</f>
        <v>3.8066433267946263E-7</v>
      </c>
      <c r="J3" s="7">
        <f>$B3 * IFERROR(VLOOKUP("LULUCF|SO2|Infant mortality", US_national_yearly!$D:$AM, 18, FALSE) / VLOOKUP("LULUCF|SO2|Infant mortality", US_national_yearly!$D:$AM, 10, FALSE), 1)</f>
        <v>3.7826123501246703E-7</v>
      </c>
      <c r="K3" s="7">
        <f>$B3 * IFERROR(VLOOKUP("LULUCF|SO2|Infant mortality", US_national_yearly!$D:$AM, 19, FALSE) / VLOOKUP("LULUCF|SO2|Infant mortality", US_national_yearly!$D:$AM, 10, FALSE), 1)</f>
        <v>3.7585813734547138E-7</v>
      </c>
      <c r="L3" s="7">
        <f>$B3 * IFERROR(VLOOKUP("LULUCF|SO2|Infant mortality", US_national_yearly!$D:$AM, 20, FALSE) / VLOOKUP("LULUCF|SO2|Infant mortality", US_national_yearly!$D:$AM, 10, FALSE), 1)</f>
        <v>3.7345503967847584E-7</v>
      </c>
      <c r="M3" s="7">
        <f>$B3 * IFERROR(VLOOKUP("LULUCF|SO2|Infant mortality", US_national_yearly!$D:$AM, 21, FALSE) / VLOOKUP("LULUCF|SO2|Infant mortality", US_national_yearly!$D:$AM, 10, FALSE), 1)</f>
        <v>3.7105194201148024E-7</v>
      </c>
      <c r="N3" s="7">
        <f>$B3 * IFERROR(VLOOKUP("LULUCF|SO2|Infant mortality", US_national_yearly!$D:$AM, 22, FALSE) / VLOOKUP("LULUCF|SO2|Infant mortality", US_national_yearly!$D:$AM, 10, FALSE), 1)</f>
        <v>3.6954353559708763E-7</v>
      </c>
      <c r="O3" s="7">
        <f>$B3 * IFERROR(VLOOKUP("LULUCF|SO2|Infant mortality", US_national_yearly!$D:$AM, 23, FALSE) / VLOOKUP("LULUCF|SO2|Infant mortality", US_national_yearly!$D:$AM, 10, FALSE), 1)</f>
        <v>3.6803512918269502E-7</v>
      </c>
      <c r="P3" s="7">
        <f>$B3 * IFERROR(VLOOKUP("LULUCF|SO2|Infant mortality", US_national_yearly!$D:$AM, 24, FALSE) / VLOOKUP("LULUCF|SO2|Infant mortality", US_national_yearly!$D:$AM, 10, FALSE), 1)</f>
        <v>3.665267227683023E-7</v>
      </c>
      <c r="Q3" s="7">
        <f>$B3 * IFERROR(VLOOKUP("LULUCF|SO2|Infant mortality", US_national_yearly!$D:$AM, 25, FALSE) / VLOOKUP("LULUCF|SO2|Infant mortality", US_national_yearly!$D:$AM, 10, FALSE), 1)</f>
        <v>3.6501831635390969E-7</v>
      </c>
      <c r="R3" s="7">
        <f>$B3 * IFERROR(VLOOKUP("LULUCF|SO2|Infant mortality", US_national_yearly!$D:$AM, 26, FALSE) / VLOOKUP("LULUCF|SO2|Infant mortality", US_national_yearly!$D:$AM, 10, FALSE), 1)</f>
        <v>3.6350990993951703E-7</v>
      </c>
      <c r="S3" s="7">
        <f>$B3 * IFERROR(VLOOKUP("LULUCF|SO2|Infant mortality", US_national_yearly!$D:$AM, 27, FALSE) / VLOOKUP("LULUCF|SO2|Infant mortality", US_national_yearly!$D:$AM, 10, FALSE), 1)</f>
        <v>3.6161601379216127E-7</v>
      </c>
      <c r="T3" s="7">
        <f>$B3 * IFERROR(VLOOKUP("LULUCF|SO2|Infant mortality", US_national_yearly!$D:$AM, 28, FALSE) / VLOOKUP("LULUCF|SO2|Infant mortality", US_national_yearly!$D:$AM, 10, FALSE), 1)</f>
        <v>3.5972211764480547E-7</v>
      </c>
      <c r="U3" s="7">
        <f>$B3 * IFERROR(VLOOKUP("LULUCF|SO2|Infant mortality", US_national_yearly!$D:$AM, 29, FALSE) / VLOOKUP("LULUCF|SO2|Infant mortality", US_national_yearly!$D:$AM, 10, FALSE), 1)</f>
        <v>3.5782822149744961E-7</v>
      </c>
      <c r="V3" s="7">
        <f>$B3 * IFERROR(VLOOKUP("LULUCF|SO2|Infant mortality", US_national_yearly!$D:$AM, 30, FALSE) / VLOOKUP("LULUCF|SO2|Infant mortality", US_national_yearly!$D:$AM, 10, FALSE), 1)</f>
        <v>3.5593432535009386E-7</v>
      </c>
      <c r="W3" s="7">
        <f>$B3 * IFERROR(VLOOKUP("LULUCF|SO2|Infant mortality", US_national_yearly!$D:$AM, 31, FALSE) / VLOOKUP("LULUCF|SO2|Infant mortality", US_national_yearly!$D:$AM, 10, FALSE), 1)</f>
        <v>3.5404042920273806E-7</v>
      </c>
      <c r="X3" s="7">
        <f>$B3 * IFERROR(VLOOKUP("LULUCF|SO2|Infant mortality", US_national_yearly!$D:$AM, 32, FALSE) / VLOOKUP("LULUCF|SO2|Infant mortality", US_national_yearly!$D:$AM, 10, FALSE), 1)</f>
        <v>3.5196981612083064E-7</v>
      </c>
      <c r="Y3" s="7">
        <f>$B3 * IFERROR(VLOOKUP("LULUCF|SO2|Infant mortality", US_national_yearly!$D:$AM, 33, FALSE) / VLOOKUP("LULUCF|SO2|Infant mortality", US_national_yearly!$D:$AM, 10, FALSE), 1)</f>
        <v>3.4989920303892307E-7</v>
      </c>
      <c r="Z3" s="7">
        <f>$B3 * IFERROR(VLOOKUP("LULUCF|SO2|Infant mortality", US_national_yearly!$D:$AM, 34, FALSE) / VLOOKUP("LULUCF|SO2|Infant mortality", US_national_yearly!$D:$AM, 10, FALSE), 1)</f>
        <v>3.4782858995701565E-7</v>
      </c>
      <c r="AA3" s="7">
        <f>$B3 * IFERROR(VLOOKUP("LULUCF|SO2|Infant mortality", US_national_yearly!$D:$AM, 35, FALSE) / VLOOKUP("LULUCF|SO2|Infant mortality", US_national_yearly!$D:$AM, 10, FALSE), 1)</f>
        <v>3.4575797687510808E-7</v>
      </c>
      <c r="AB3" s="7">
        <f>$B3 * IFERROR(VLOOKUP("LULUCF|SO2|Infant mortality", US_national_yearly!$D:$AM, 36, FALSE) / VLOOKUP("LULUCF|SO2|Infant mortality", US_national_yearly!$D:$AM, 10, FALSE), 1)</f>
        <v>3.4368736379320066E-7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1.6687400154226243E-3</v>
      </c>
      <c r="C6" s="7">
        <f>$B6 * IFERROR(VLOOKUP("LULUCF|SO2|Asthma symptoms cough", US_national_yearly!$D:$AM, 11, FALSE) / VLOOKUP("LULUCF|SO2|Asthma symptoms cough", US_national_yearly!$D:$AM, 10, FALSE), 1)</f>
        <v>1.6687400154226243E-3</v>
      </c>
      <c r="D6" s="7">
        <f>$B6 * IFERROR(VLOOKUP("LULUCF|SO2|Asthma symptoms cough", US_national_yearly!$D:$AM, 12, FALSE) / VLOOKUP("LULUCF|SO2|Asthma symptoms cough", US_national_yearly!$D:$AM, 10, FALSE), 1)</f>
        <v>1.6687400154226243E-3</v>
      </c>
      <c r="E6" s="7">
        <f>$B6 * IFERROR(VLOOKUP("LULUCF|SO2|Asthma symptoms cough", US_national_yearly!$D:$AM, 13, FALSE) / VLOOKUP("LULUCF|SO2|Asthma symptoms cough", US_national_yearly!$D:$AM, 10, FALSE), 1)</f>
        <v>1.6687400154226243E-3</v>
      </c>
      <c r="F6" s="7">
        <f>$B6 * IFERROR(VLOOKUP("LULUCF|SO2|Asthma symptoms cough", US_national_yearly!$D:$AM, 14, FALSE) / VLOOKUP("LULUCF|SO2|Asthma symptoms cough", US_national_yearly!$D:$AM, 10, FALSE), 1)</f>
        <v>1.6687400154226243E-3</v>
      </c>
      <c r="G6" s="7">
        <f>$B6 * IFERROR(VLOOKUP("LULUCF|SO2|Asthma symptoms cough", US_national_yearly!$D:$AM, 15, FALSE) / VLOOKUP("LULUCF|SO2|Asthma symptoms cough", US_national_yearly!$D:$AM, 10, FALSE), 1)</f>
        <v>1.6687400154226243E-3</v>
      </c>
      <c r="H6" s="7">
        <f>$B6 * IFERROR(VLOOKUP("LULUCF|SO2|Asthma symptoms cough", US_national_yearly!$D:$AM, 16, FALSE) / VLOOKUP("LULUCF|SO2|Asthma symptoms cough", US_national_yearly!$D:$AM, 10, FALSE), 1)</f>
        <v>1.6687400154226243E-3</v>
      </c>
      <c r="I6" s="7">
        <f>$B6 * IFERROR(VLOOKUP("LULUCF|SO2|Asthma symptoms cough", US_national_yearly!$D:$AM, 17, FALSE) / VLOOKUP("LULUCF|SO2|Asthma symptoms cough", US_national_yearly!$D:$AM, 10, FALSE), 1)</f>
        <v>1.6687400154226243E-3</v>
      </c>
      <c r="J6" s="7">
        <f>$B6 * IFERROR(VLOOKUP("LULUCF|SO2|Asthma symptoms cough", US_national_yearly!$D:$AM, 18, FALSE) / VLOOKUP("LULUCF|SO2|Asthma symptoms cough", US_national_yearly!$D:$AM, 10, FALSE), 1)</f>
        <v>1.6687400154226243E-3</v>
      </c>
      <c r="K6" s="7">
        <f>$B6 * IFERROR(VLOOKUP("LULUCF|SO2|Asthma symptoms cough", US_national_yearly!$D:$AM, 19, FALSE) / VLOOKUP("LULUCF|SO2|Asthma symptoms cough", US_national_yearly!$D:$AM, 10, FALSE), 1)</f>
        <v>1.6687400154226243E-3</v>
      </c>
      <c r="L6" s="7">
        <f>$B6 * IFERROR(VLOOKUP("LULUCF|SO2|Asthma symptoms cough", US_national_yearly!$D:$AM, 20, FALSE) / VLOOKUP("LULUCF|SO2|Asthma symptoms cough", US_national_yearly!$D:$AM, 10, FALSE), 1)</f>
        <v>1.6687400154226243E-3</v>
      </c>
      <c r="M6" s="7">
        <f>$B6 * IFERROR(VLOOKUP("LULUCF|SO2|Asthma symptoms cough", US_national_yearly!$D:$AM, 21, FALSE) / VLOOKUP("LULUCF|SO2|Asthma symptoms cough", US_national_yearly!$D:$AM, 10, FALSE), 1)</f>
        <v>1.6687400154226243E-3</v>
      </c>
      <c r="N6" s="7">
        <f>$B6 * IFERROR(VLOOKUP("LULUCF|SO2|Asthma symptoms cough", US_national_yearly!$D:$AM, 22, FALSE) / VLOOKUP("LULUCF|SO2|Asthma symptoms cough", US_national_yearly!$D:$AM, 10, FALSE), 1)</f>
        <v>1.6687400154226243E-3</v>
      </c>
      <c r="O6" s="7">
        <f>$B6 * IFERROR(VLOOKUP("LULUCF|SO2|Asthma symptoms cough", US_national_yearly!$D:$AM, 23, FALSE) / VLOOKUP("LULUCF|SO2|Asthma symptoms cough", US_national_yearly!$D:$AM, 10, FALSE), 1)</f>
        <v>1.6687400154226243E-3</v>
      </c>
      <c r="P6" s="7">
        <f>$B6 * IFERROR(VLOOKUP("LULUCF|SO2|Asthma symptoms cough", US_national_yearly!$D:$AM, 24, FALSE) / VLOOKUP("LULUCF|SO2|Asthma symptoms cough", US_national_yearly!$D:$AM, 10, FALSE), 1)</f>
        <v>1.6687400154226243E-3</v>
      </c>
      <c r="Q6" s="7">
        <f>$B6 * IFERROR(VLOOKUP("LULUCF|SO2|Asthma symptoms cough", US_national_yearly!$D:$AM, 25, FALSE) / VLOOKUP("LULUCF|SO2|Asthma symptoms cough", US_national_yearly!$D:$AM, 10, FALSE), 1)</f>
        <v>1.6687400154226243E-3</v>
      </c>
      <c r="R6" s="7">
        <f>$B6 * IFERROR(VLOOKUP("LULUCF|SO2|Asthma symptoms cough", US_national_yearly!$D:$AM, 26, FALSE) / VLOOKUP("LULUCF|SO2|Asthma symptoms cough", US_national_yearly!$D:$AM, 10, FALSE), 1)</f>
        <v>1.6687400154226243E-3</v>
      </c>
      <c r="S6" s="7">
        <f>$B6 * IFERROR(VLOOKUP("LULUCF|SO2|Asthma symptoms cough", US_national_yearly!$D:$AM, 27, FALSE) / VLOOKUP("LULUCF|SO2|Asthma symptoms cough", US_national_yearly!$D:$AM, 10, FALSE), 1)</f>
        <v>1.6687400154226243E-3</v>
      </c>
      <c r="T6" s="7">
        <f>$B6 * IFERROR(VLOOKUP("LULUCF|SO2|Asthma symptoms cough", US_national_yearly!$D:$AM, 28, FALSE) / VLOOKUP("LULUCF|SO2|Asthma symptoms cough", US_national_yearly!$D:$AM, 10, FALSE), 1)</f>
        <v>1.6687400154226243E-3</v>
      </c>
      <c r="U6" s="7">
        <f>$B6 * IFERROR(VLOOKUP("LULUCF|SO2|Asthma symptoms cough", US_national_yearly!$D:$AM, 29, FALSE) / VLOOKUP("LULUCF|SO2|Asthma symptoms cough", US_national_yearly!$D:$AM, 10, FALSE), 1)</f>
        <v>1.6687400154226243E-3</v>
      </c>
      <c r="V6" s="7">
        <f>$B6 * IFERROR(VLOOKUP("LULUCF|SO2|Asthma symptoms cough", US_national_yearly!$D:$AM, 30, FALSE) / VLOOKUP("LULUCF|SO2|Asthma symptoms cough", US_national_yearly!$D:$AM, 10, FALSE), 1)</f>
        <v>1.6687400154226243E-3</v>
      </c>
      <c r="W6" s="7">
        <f>$B6 * IFERROR(VLOOKUP("LULUCF|SO2|Asthma symptoms cough", US_national_yearly!$D:$AM, 31, FALSE) / VLOOKUP("LULUCF|SO2|Asthma symptoms cough", US_national_yearly!$D:$AM, 10, FALSE), 1)</f>
        <v>1.6687400154226243E-3</v>
      </c>
      <c r="X6" s="7">
        <f>$B6 * IFERROR(VLOOKUP("LULUCF|SO2|Asthma symptoms cough", US_national_yearly!$D:$AM, 32, FALSE) / VLOOKUP("LULUCF|SO2|Asthma symptoms cough", US_national_yearly!$D:$AM, 10, FALSE), 1)</f>
        <v>1.6687400154226243E-3</v>
      </c>
      <c r="Y6" s="7">
        <f>$B6 * IFERROR(VLOOKUP("LULUCF|SO2|Asthma symptoms cough", US_national_yearly!$D:$AM, 33, FALSE) / VLOOKUP("LULUCF|SO2|Asthma symptoms cough", US_national_yearly!$D:$AM, 10, FALSE), 1)</f>
        <v>1.6687400154226243E-3</v>
      </c>
      <c r="Z6" s="7">
        <f>$B6 * IFERROR(VLOOKUP("LULUCF|SO2|Asthma symptoms cough", US_national_yearly!$D:$AM, 34, FALSE) / VLOOKUP("LULUCF|SO2|Asthma symptoms cough", US_national_yearly!$D:$AM, 10, FALSE), 1)</f>
        <v>1.6687400154226243E-3</v>
      </c>
      <c r="AA6" s="7">
        <f>$B6 * IFERROR(VLOOKUP("LULUCF|SO2|Asthma symptoms cough", US_national_yearly!$D:$AM, 35, FALSE) / VLOOKUP("LULUCF|SO2|Asthma symptoms cough", US_national_yearly!$D:$AM, 10, FALSE), 1)</f>
        <v>1.6687400154226243E-3</v>
      </c>
      <c r="AB6" s="7">
        <f>$B6 * IFERROR(VLOOKUP("LULUCF|SO2|Asthma symptoms cough", US_national_yearly!$D:$AM, 36, FALSE) / VLOOKUP("LULUCF|SO2|Asthma symptoms cough", US_national_yearly!$D:$AM, 10, FALSE), 1)</f>
        <v>1.6687400154226243E-3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2.2472008127685586E-3</v>
      </c>
      <c r="C7" s="7">
        <f>$B7 * IFERROR(VLOOKUP("LULUCF|SO2|Asthma symptoms shortness of breath", US_national_yearly!$D:$AM, 11, FALSE) / VLOOKUP("LULUCF|SO2|Asthma symptoms shortness of breath", US_national_yearly!$D:$AM, 10, FALSE), 1)</f>
        <v>2.2472008127685586E-3</v>
      </c>
      <c r="D7" s="7">
        <f>$B7 * IFERROR(VLOOKUP("LULUCF|SO2|Asthma symptoms shortness of breath", US_national_yearly!$D:$AM, 12, FALSE) / VLOOKUP("LULUCF|SO2|Asthma symptoms shortness of breath", US_national_yearly!$D:$AM, 10, FALSE), 1)</f>
        <v>2.2472008127685586E-3</v>
      </c>
      <c r="E7" s="7">
        <f>$B7 * IFERROR(VLOOKUP("LULUCF|SO2|Asthma symptoms shortness of breath", US_national_yearly!$D:$AM, 13, FALSE) / VLOOKUP("LULUCF|SO2|Asthma symptoms shortness of breath", US_national_yearly!$D:$AM, 10, FALSE), 1)</f>
        <v>2.2472008127685586E-3</v>
      </c>
      <c r="F7" s="7">
        <f>$B7 * IFERROR(VLOOKUP("LULUCF|SO2|Asthma symptoms shortness of breath", US_national_yearly!$D:$AM, 14, FALSE) / VLOOKUP("LULUCF|SO2|Asthma symptoms shortness of breath", US_national_yearly!$D:$AM, 10, FALSE), 1)</f>
        <v>2.2472008127685586E-3</v>
      </c>
      <c r="G7" s="7">
        <f>$B7 * IFERROR(VLOOKUP("LULUCF|SO2|Asthma symptoms shortness of breath", US_national_yearly!$D:$AM, 15, FALSE) / VLOOKUP("LULUCF|SO2|Asthma symptoms shortness of breath", US_national_yearly!$D:$AM, 10, FALSE), 1)</f>
        <v>2.2472008127685586E-3</v>
      </c>
      <c r="H7" s="7">
        <f>$B7 * IFERROR(VLOOKUP("LULUCF|SO2|Asthma symptoms shortness of breath", US_national_yearly!$D:$AM, 16, FALSE) / VLOOKUP("LULUCF|SO2|Asthma symptoms shortness of breath", US_national_yearly!$D:$AM, 10, FALSE), 1)</f>
        <v>2.2472008127685586E-3</v>
      </c>
      <c r="I7" s="7">
        <f>$B7 * IFERROR(VLOOKUP("LULUCF|SO2|Asthma symptoms shortness of breath", US_national_yearly!$D:$AM, 17, FALSE) / VLOOKUP("LULUCF|SO2|Asthma symptoms shortness of breath", US_national_yearly!$D:$AM, 10, FALSE), 1)</f>
        <v>2.2472008127685586E-3</v>
      </c>
      <c r="J7" s="7">
        <f>$B7 * IFERROR(VLOOKUP("LULUCF|SO2|Asthma symptoms shortness of breath", US_national_yearly!$D:$AM, 18, FALSE) / VLOOKUP("LULUCF|SO2|Asthma symptoms shortness of breath", US_national_yearly!$D:$AM, 10, FALSE), 1)</f>
        <v>2.2472008127685586E-3</v>
      </c>
      <c r="K7" s="7">
        <f>$B7 * IFERROR(VLOOKUP("LULUCF|SO2|Asthma symptoms shortness of breath", US_national_yearly!$D:$AM, 19, FALSE) / VLOOKUP("LULUCF|SO2|Asthma symptoms shortness of breath", US_national_yearly!$D:$AM, 10, FALSE), 1)</f>
        <v>2.2472008127685586E-3</v>
      </c>
      <c r="L7" s="7">
        <f>$B7 * IFERROR(VLOOKUP("LULUCF|SO2|Asthma symptoms shortness of breath", US_national_yearly!$D:$AM, 20, FALSE) / VLOOKUP("LULUCF|SO2|Asthma symptoms shortness of breath", US_national_yearly!$D:$AM, 10, FALSE), 1)</f>
        <v>2.2472008127685586E-3</v>
      </c>
      <c r="M7" s="7">
        <f>$B7 * IFERROR(VLOOKUP("LULUCF|SO2|Asthma symptoms shortness of breath", US_national_yearly!$D:$AM, 21, FALSE) / VLOOKUP("LULUCF|SO2|Asthma symptoms shortness of breath", US_national_yearly!$D:$AM, 10, FALSE), 1)</f>
        <v>2.2472008127685586E-3</v>
      </c>
      <c r="N7" s="7">
        <f>$B7 * IFERROR(VLOOKUP("LULUCF|SO2|Asthma symptoms shortness of breath", US_national_yearly!$D:$AM, 22, FALSE) / VLOOKUP("LULUCF|SO2|Asthma symptoms shortness of breath", US_national_yearly!$D:$AM, 10, FALSE), 1)</f>
        <v>2.2472008127685586E-3</v>
      </c>
      <c r="O7" s="7">
        <f>$B7 * IFERROR(VLOOKUP("LULUCF|SO2|Asthma symptoms shortness of breath", US_national_yearly!$D:$AM, 23, FALSE) / VLOOKUP("LULUCF|SO2|Asthma symptoms shortness of breath", US_national_yearly!$D:$AM, 10, FALSE), 1)</f>
        <v>2.2472008127685586E-3</v>
      </c>
      <c r="P7" s="7">
        <f>$B7 * IFERROR(VLOOKUP("LULUCF|SO2|Asthma symptoms shortness of breath", US_national_yearly!$D:$AM, 24, FALSE) / VLOOKUP("LULUCF|SO2|Asthma symptoms shortness of breath", US_national_yearly!$D:$AM, 10, FALSE), 1)</f>
        <v>2.2472008127685586E-3</v>
      </c>
      <c r="Q7" s="7">
        <f>$B7 * IFERROR(VLOOKUP("LULUCF|SO2|Asthma symptoms shortness of breath", US_national_yearly!$D:$AM, 25, FALSE) / VLOOKUP("LULUCF|SO2|Asthma symptoms shortness of breath", US_national_yearly!$D:$AM, 10, FALSE), 1)</f>
        <v>2.2472008127685586E-3</v>
      </c>
      <c r="R7" s="7">
        <f>$B7 * IFERROR(VLOOKUP("LULUCF|SO2|Asthma symptoms shortness of breath", US_national_yearly!$D:$AM, 26, FALSE) / VLOOKUP("LULUCF|SO2|Asthma symptoms shortness of breath", US_national_yearly!$D:$AM, 10, FALSE), 1)</f>
        <v>2.2472008127685586E-3</v>
      </c>
      <c r="S7" s="7">
        <f>$B7 * IFERROR(VLOOKUP("LULUCF|SO2|Asthma symptoms shortness of breath", US_national_yearly!$D:$AM, 27, FALSE) / VLOOKUP("LULUCF|SO2|Asthma symptoms shortness of breath", US_national_yearly!$D:$AM, 10, FALSE), 1)</f>
        <v>2.2472008127685586E-3</v>
      </c>
      <c r="T7" s="7">
        <f>$B7 * IFERROR(VLOOKUP("LULUCF|SO2|Asthma symptoms shortness of breath", US_national_yearly!$D:$AM, 28, FALSE) / VLOOKUP("LULUCF|SO2|Asthma symptoms shortness of breath", US_national_yearly!$D:$AM, 10, FALSE), 1)</f>
        <v>2.2472008127685586E-3</v>
      </c>
      <c r="U7" s="7">
        <f>$B7 * IFERROR(VLOOKUP("LULUCF|SO2|Asthma symptoms shortness of breath", US_national_yearly!$D:$AM, 29, FALSE) / VLOOKUP("LULUCF|SO2|Asthma symptoms shortness of breath", US_national_yearly!$D:$AM, 10, FALSE), 1)</f>
        <v>2.2472008127685586E-3</v>
      </c>
      <c r="V7" s="7">
        <f>$B7 * IFERROR(VLOOKUP("LULUCF|SO2|Asthma symptoms shortness of breath", US_national_yearly!$D:$AM, 30, FALSE) / VLOOKUP("LULUCF|SO2|Asthma symptoms shortness of breath", US_national_yearly!$D:$AM, 10, FALSE), 1)</f>
        <v>2.2472008127685586E-3</v>
      </c>
      <c r="W7" s="7">
        <f>$B7 * IFERROR(VLOOKUP("LULUCF|SO2|Asthma symptoms shortness of breath", US_national_yearly!$D:$AM, 31, FALSE) / VLOOKUP("LULUCF|SO2|Asthma symptoms shortness of breath", US_national_yearly!$D:$AM, 10, FALSE), 1)</f>
        <v>2.2472008127685586E-3</v>
      </c>
      <c r="X7" s="7">
        <f>$B7 * IFERROR(VLOOKUP("LULUCF|SO2|Asthma symptoms shortness of breath", US_national_yearly!$D:$AM, 32, FALSE) / VLOOKUP("LULUCF|SO2|Asthma symptoms shortness of breath", US_national_yearly!$D:$AM, 10, FALSE), 1)</f>
        <v>2.2472008127685586E-3</v>
      </c>
      <c r="Y7" s="7">
        <f>$B7 * IFERROR(VLOOKUP("LULUCF|SO2|Asthma symptoms shortness of breath", US_national_yearly!$D:$AM, 33, FALSE) / VLOOKUP("LULUCF|SO2|Asthma symptoms shortness of breath", US_national_yearly!$D:$AM, 10, FALSE), 1)</f>
        <v>2.2472008127685586E-3</v>
      </c>
      <c r="Z7" s="7">
        <f>$B7 * IFERROR(VLOOKUP("LULUCF|SO2|Asthma symptoms shortness of breath", US_national_yearly!$D:$AM, 34, FALSE) / VLOOKUP("LULUCF|SO2|Asthma symptoms shortness of breath", US_national_yearly!$D:$AM, 10, FALSE), 1)</f>
        <v>2.2472008127685586E-3</v>
      </c>
      <c r="AA7" s="7">
        <f>$B7 * IFERROR(VLOOKUP("LULUCF|SO2|Asthma symptoms shortness of breath", US_national_yearly!$D:$AM, 35, FALSE) / VLOOKUP("LULUCF|SO2|Asthma symptoms shortness of breath", US_national_yearly!$D:$AM, 10, FALSE), 1)</f>
        <v>2.2472008127685586E-3</v>
      </c>
      <c r="AB7" s="7">
        <f>$B7 * IFERROR(VLOOKUP("LULUCF|SO2|Asthma symptoms shortness of breath", US_national_yearly!$D:$AM, 36, FALSE) / VLOOKUP("LULUCF|SO2|Asthma symptoms shortness of breath", US_national_yearly!$D:$AM, 10, FALSE), 1)</f>
        <v>2.2472008127685586E-3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3.4333411396449518E-3</v>
      </c>
      <c r="C8" s="7">
        <f>$B8 * IFERROR(VLOOKUP("LULUCF|SO2|Asthma symptoms wheeze", US_national_yearly!$D:$AM, 11, FALSE) / VLOOKUP("LULUCF|SO2|Asthma symptoms wheeze", US_national_yearly!$D:$AM, 10, FALSE), 1)</f>
        <v>3.4333411396449518E-3</v>
      </c>
      <c r="D8" s="7">
        <f>$B8 * IFERROR(VLOOKUP("LULUCF|SO2|Asthma symptoms wheeze", US_national_yearly!$D:$AM, 12, FALSE) / VLOOKUP("LULUCF|SO2|Asthma symptoms wheeze", US_national_yearly!$D:$AM, 10, FALSE), 1)</f>
        <v>3.4333411396449518E-3</v>
      </c>
      <c r="E8" s="7">
        <f>$B8 * IFERROR(VLOOKUP("LULUCF|SO2|Asthma symptoms wheeze", US_national_yearly!$D:$AM, 13, FALSE) / VLOOKUP("LULUCF|SO2|Asthma symptoms wheeze", US_national_yearly!$D:$AM, 10, FALSE), 1)</f>
        <v>3.4333411396449518E-3</v>
      </c>
      <c r="F8" s="7">
        <f>$B8 * IFERROR(VLOOKUP("LULUCF|SO2|Asthma symptoms wheeze", US_national_yearly!$D:$AM, 14, FALSE) / VLOOKUP("LULUCF|SO2|Asthma symptoms wheeze", US_national_yearly!$D:$AM, 10, FALSE), 1)</f>
        <v>3.4333411396449518E-3</v>
      </c>
      <c r="G8" s="7">
        <f>$B8 * IFERROR(VLOOKUP("LULUCF|SO2|Asthma symptoms wheeze", US_national_yearly!$D:$AM, 15, FALSE) / VLOOKUP("LULUCF|SO2|Asthma symptoms wheeze", US_national_yearly!$D:$AM, 10, FALSE), 1)</f>
        <v>3.4333411396449518E-3</v>
      </c>
      <c r="H8" s="7">
        <f>$B8 * IFERROR(VLOOKUP("LULUCF|SO2|Asthma symptoms wheeze", US_national_yearly!$D:$AM, 16, FALSE) / VLOOKUP("LULUCF|SO2|Asthma symptoms wheeze", US_national_yearly!$D:$AM, 10, FALSE), 1)</f>
        <v>3.4333411396449518E-3</v>
      </c>
      <c r="I8" s="7">
        <f>$B8 * IFERROR(VLOOKUP("LULUCF|SO2|Asthma symptoms wheeze", US_national_yearly!$D:$AM, 17, FALSE) / VLOOKUP("LULUCF|SO2|Asthma symptoms wheeze", US_national_yearly!$D:$AM, 10, FALSE), 1)</f>
        <v>3.4333411396449518E-3</v>
      </c>
      <c r="J8" s="7">
        <f>$B8 * IFERROR(VLOOKUP("LULUCF|SO2|Asthma symptoms wheeze", US_national_yearly!$D:$AM, 18, FALSE) / VLOOKUP("LULUCF|SO2|Asthma symptoms wheeze", US_national_yearly!$D:$AM, 10, FALSE), 1)</f>
        <v>3.4333411396449518E-3</v>
      </c>
      <c r="K8" s="7">
        <f>$B8 * IFERROR(VLOOKUP("LULUCF|SO2|Asthma symptoms wheeze", US_national_yearly!$D:$AM, 19, FALSE) / VLOOKUP("LULUCF|SO2|Asthma symptoms wheeze", US_national_yearly!$D:$AM, 10, FALSE), 1)</f>
        <v>3.4333411396449518E-3</v>
      </c>
      <c r="L8" s="7">
        <f>$B8 * IFERROR(VLOOKUP("LULUCF|SO2|Asthma symptoms wheeze", US_national_yearly!$D:$AM, 20, FALSE) / VLOOKUP("LULUCF|SO2|Asthma symptoms wheeze", US_national_yearly!$D:$AM, 10, FALSE), 1)</f>
        <v>3.4333411396449518E-3</v>
      </c>
      <c r="M8" s="7">
        <f>$B8 * IFERROR(VLOOKUP("LULUCF|SO2|Asthma symptoms wheeze", US_national_yearly!$D:$AM, 21, FALSE) / VLOOKUP("LULUCF|SO2|Asthma symptoms wheeze", US_national_yearly!$D:$AM, 10, FALSE), 1)</f>
        <v>3.4333411396449518E-3</v>
      </c>
      <c r="N8" s="7">
        <f>$B8 * IFERROR(VLOOKUP("LULUCF|SO2|Asthma symptoms wheeze", US_national_yearly!$D:$AM, 22, FALSE) / VLOOKUP("LULUCF|SO2|Asthma symptoms wheeze", US_national_yearly!$D:$AM, 10, FALSE), 1)</f>
        <v>3.4333411396449518E-3</v>
      </c>
      <c r="O8" s="7">
        <f>$B8 * IFERROR(VLOOKUP("LULUCF|SO2|Asthma symptoms wheeze", US_national_yearly!$D:$AM, 23, FALSE) / VLOOKUP("LULUCF|SO2|Asthma symptoms wheeze", US_national_yearly!$D:$AM, 10, FALSE), 1)</f>
        <v>3.4333411396449518E-3</v>
      </c>
      <c r="P8" s="7">
        <f>$B8 * IFERROR(VLOOKUP("LULUCF|SO2|Asthma symptoms wheeze", US_national_yearly!$D:$AM, 24, FALSE) / VLOOKUP("LULUCF|SO2|Asthma symptoms wheeze", US_national_yearly!$D:$AM, 10, FALSE), 1)</f>
        <v>3.4333411396449518E-3</v>
      </c>
      <c r="Q8" s="7">
        <f>$B8 * IFERROR(VLOOKUP("LULUCF|SO2|Asthma symptoms wheeze", US_national_yearly!$D:$AM, 25, FALSE) / VLOOKUP("LULUCF|SO2|Asthma symptoms wheeze", US_national_yearly!$D:$AM, 10, FALSE), 1)</f>
        <v>3.4333411396449518E-3</v>
      </c>
      <c r="R8" s="7">
        <f>$B8 * IFERROR(VLOOKUP("LULUCF|SO2|Asthma symptoms wheeze", US_national_yearly!$D:$AM, 26, FALSE) / VLOOKUP("LULUCF|SO2|Asthma symptoms wheeze", US_national_yearly!$D:$AM, 10, FALSE), 1)</f>
        <v>3.4333411396449518E-3</v>
      </c>
      <c r="S8" s="7">
        <f>$B8 * IFERROR(VLOOKUP("LULUCF|SO2|Asthma symptoms wheeze", US_national_yearly!$D:$AM, 27, FALSE) / VLOOKUP("LULUCF|SO2|Asthma symptoms wheeze", US_national_yearly!$D:$AM, 10, FALSE), 1)</f>
        <v>3.4333411396449518E-3</v>
      </c>
      <c r="T8" s="7">
        <f>$B8 * IFERROR(VLOOKUP("LULUCF|SO2|Asthma symptoms wheeze", US_national_yearly!$D:$AM, 28, FALSE) / VLOOKUP("LULUCF|SO2|Asthma symptoms wheeze", US_national_yearly!$D:$AM, 10, FALSE), 1)</f>
        <v>3.4333411396449518E-3</v>
      </c>
      <c r="U8" s="7">
        <f>$B8 * IFERROR(VLOOKUP("LULUCF|SO2|Asthma symptoms wheeze", US_national_yearly!$D:$AM, 29, FALSE) / VLOOKUP("LULUCF|SO2|Asthma symptoms wheeze", US_national_yearly!$D:$AM, 10, FALSE), 1)</f>
        <v>3.4333411396449518E-3</v>
      </c>
      <c r="V8" s="7">
        <f>$B8 * IFERROR(VLOOKUP("LULUCF|SO2|Asthma symptoms wheeze", US_national_yearly!$D:$AM, 30, FALSE) / VLOOKUP("LULUCF|SO2|Asthma symptoms wheeze", US_national_yearly!$D:$AM, 10, FALSE), 1)</f>
        <v>3.4333411396449518E-3</v>
      </c>
      <c r="W8" s="7">
        <f>$B8 * IFERROR(VLOOKUP("LULUCF|SO2|Asthma symptoms wheeze", US_national_yearly!$D:$AM, 31, FALSE) / VLOOKUP("LULUCF|SO2|Asthma symptoms wheeze", US_national_yearly!$D:$AM, 10, FALSE), 1)</f>
        <v>3.4333411396449518E-3</v>
      </c>
      <c r="X8" s="7">
        <f>$B8 * IFERROR(VLOOKUP("LULUCF|SO2|Asthma symptoms wheeze", US_national_yearly!$D:$AM, 32, FALSE) / VLOOKUP("LULUCF|SO2|Asthma symptoms wheeze", US_national_yearly!$D:$AM, 10, FALSE), 1)</f>
        <v>3.4333411396449518E-3</v>
      </c>
      <c r="Y8" s="7">
        <f>$B8 * IFERROR(VLOOKUP("LULUCF|SO2|Asthma symptoms wheeze", US_national_yearly!$D:$AM, 33, FALSE) / VLOOKUP("LULUCF|SO2|Asthma symptoms wheeze", US_national_yearly!$D:$AM, 10, FALSE), 1)</f>
        <v>3.4333411396449518E-3</v>
      </c>
      <c r="Z8" s="7">
        <f>$B8 * IFERROR(VLOOKUP("LULUCF|SO2|Asthma symptoms wheeze", US_national_yearly!$D:$AM, 34, FALSE) / VLOOKUP("LULUCF|SO2|Asthma symptoms wheeze", US_national_yearly!$D:$AM, 10, FALSE), 1)</f>
        <v>3.4333411396449518E-3</v>
      </c>
      <c r="AA8" s="7">
        <f>$B8 * IFERROR(VLOOKUP("LULUCF|SO2|Asthma symptoms wheeze", US_national_yearly!$D:$AM, 35, FALSE) / VLOOKUP("LULUCF|SO2|Asthma symptoms wheeze", US_national_yearly!$D:$AM, 10, FALSE), 1)</f>
        <v>3.4333411396449518E-3</v>
      </c>
      <c r="AB8" s="7">
        <f>$B8 * IFERROR(VLOOKUP("LULUCF|SO2|Asthma symptoms wheeze", US_national_yearly!$D:$AM, 36, FALSE) / VLOOKUP("LULUCF|SO2|Asthma symptoms wheeze", US_national_yearly!$D:$AM, 10, FALSE), 1)</f>
        <v>3.4333411396449518E-3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4.3159760412944076E-5</v>
      </c>
      <c r="C12" s="7">
        <f>$B12 * IFERROR(VLOOKUP("LULUCF|SO2|Respiratory hospital admissions", US_national_yearly!$D:$AM, 11, FALSE) / VLOOKUP("LULUCF|SO2|Respiratory hospital admissions", US_national_yearly!$D:$AM, 10, FALSE), 1)</f>
        <v>4.3414318824679576E-5</v>
      </c>
      <c r="D12" s="7">
        <f>$B12 * IFERROR(VLOOKUP("LULUCF|SO2|Respiratory hospital admissions", US_national_yearly!$D:$AM, 12, FALSE) / VLOOKUP("LULUCF|SO2|Respiratory hospital admissions", US_national_yearly!$D:$AM, 10, FALSE), 1)</f>
        <v>4.3668877236415076E-5</v>
      </c>
      <c r="E12" s="7">
        <f>$B12 * IFERROR(VLOOKUP("LULUCF|SO2|Respiratory hospital admissions", US_national_yearly!$D:$AM, 13, FALSE) / VLOOKUP("LULUCF|SO2|Respiratory hospital admissions", US_national_yearly!$D:$AM, 10, FALSE), 1)</f>
        <v>4.3923435648150576E-5</v>
      </c>
      <c r="F12" s="7">
        <f>$B12 * IFERROR(VLOOKUP("LULUCF|SO2|Respiratory hospital admissions", US_national_yearly!$D:$AM, 14, FALSE) / VLOOKUP("LULUCF|SO2|Respiratory hospital admissions", US_national_yearly!$D:$AM, 10, FALSE), 1)</f>
        <v>4.4177994059886076E-5</v>
      </c>
      <c r="G12" s="7">
        <f>$B12 * IFERROR(VLOOKUP("LULUCF|SO2|Respiratory hospital admissions", US_national_yearly!$D:$AM, 15, FALSE) / VLOOKUP("LULUCF|SO2|Respiratory hospital admissions", US_national_yearly!$D:$AM, 10, FALSE), 1)</f>
        <v>4.4455505665298297E-5</v>
      </c>
      <c r="H12" s="7">
        <f>$B12 * IFERROR(VLOOKUP("LULUCF|SO2|Respiratory hospital admissions", US_national_yearly!$D:$AM, 16, FALSE) / VLOOKUP("LULUCF|SO2|Respiratory hospital admissions", US_national_yearly!$D:$AM, 10, FALSE), 1)</f>
        <v>4.473301727071051E-5</v>
      </c>
      <c r="I12" s="7">
        <f>$B12 * IFERROR(VLOOKUP("LULUCF|SO2|Respiratory hospital admissions", US_national_yearly!$D:$AM, 17, FALSE) / VLOOKUP("LULUCF|SO2|Respiratory hospital admissions", US_national_yearly!$D:$AM, 10, FALSE), 1)</f>
        <v>4.5006676755324959E-5</v>
      </c>
      <c r="J12" s="7">
        <f>$B12 * IFERROR(VLOOKUP("LULUCF|SO2|Respiratory hospital admissions", US_national_yearly!$D:$AM, 18, FALSE) / VLOOKUP("LULUCF|SO2|Respiratory hospital admissions", US_national_yearly!$D:$AM, 10, FALSE), 1)</f>
        <v>4.5280336239939415E-5</v>
      </c>
      <c r="K12" s="7">
        <f>$B12 * IFERROR(VLOOKUP("LULUCF|SO2|Respiratory hospital admissions", US_national_yearly!$D:$AM, 19, FALSE) / VLOOKUP("LULUCF|SO2|Respiratory hospital admissions", US_national_yearly!$D:$AM, 10, FALSE), 1)</f>
        <v>4.5553995724553851E-5</v>
      </c>
      <c r="L12" s="7">
        <f>$B12 * IFERROR(VLOOKUP("LULUCF|SO2|Respiratory hospital admissions", US_national_yearly!$D:$AM, 20, FALSE) / VLOOKUP("LULUCF|SO2|Respiratory hospital admissions", US_national_yearly!$D:$AM, 10, FALSE), 1)</f>
        <v>4.5827655209168307E-5</v>
      </c>
      <c r="M12" s="7">
        <f>$B12 * IFERROR(VLOOKUP("LULUCF|SO2|Respiratory hospital admissions", US_national_yearly!$D:$AM, 21, FALSE) / VLOOKUP("LULUCF|SO2|Respiratory hospital admissions", US_national_yearly!$D:$AM, 10, FALSE), 1)</f>
        <v>4.6101314693782742E-5</v>
      </c>
      <c r="N12" s="7">
        <f>$B12 * IFERROR(VLOOKUP("LULUCF|SO2|Respiratory hospital admissions", US_national_yearly!$D:$AM, 22, FALSE) / VLOOKUP("LULUCF|SO2|Respiratory hospital admissions", US_national_yearly!$D:$AM, 10, FALSE), 1)</f>
        <v>4.6301077670066765E-5</v>
      </c>
      <c r="O12" s="7">
        <f>$B12 * IFERROR(VLOOKUP("LULUCF|SO2|Respiratory hospital admissions", US_national_yearly!$D:$AM, 23, FALSE) / VLOOKUP("LULUCF|SO2|Respiratory hospital admissions", US_national_yearly!$D:$AM, 10, FALSE), 1)</f>
        <v>4.6500840646350781E-5</v>
      </c>
      <c r="P12" s="7">
        <f>$B12 * IFERROR(VLOOKUP("LULUCF|SO2|Respiratory hospital admissions", US_national_yearly!$D:$AM, 24, FALSE) / VLOOKUP("LULUCF|SO2|Respiratory hospital admissions", US_national_yearly!$D:$AM, 10, FALSE), 1)</f>
        <v>4.670060362263479E-5</v>
      </c>
      <c r="Q12" s="7">
        <f>$B12 * IFERROR(VLOOKUP("LULUCF|SO2|Respiratory hospital admissions", US_national_yearly!$D:$AM, 25, FALSE) / VLOOKUP("LULUCF|SO2|Respiratory hospital admissions", US_national_yearly!$D:$AM, 10, FALSE), 1)</f>
        <v>4.6900366598918812E-5</v>
      </c>
      <c r="R12" s="7">
        <f>$B12 * IFERROR(VLOOKUP("LULUCF|SO2|Respiratory hospital admissions", US_national_yearly!$D:$AM, 26, FALSE) / VLOOKUP("LULUCF|SO2|Respiratory hospital admissions", US_national_yearly!$D:$AM, 10, FALSE), 1)</f>
        <v>4.7100129575202821E-5</v>
      </c>
      <c r="S12" s="7">
        <f>$B12 * IFERROR(VLOOKUP("LULUCF|SO2|Respiratory hospital admissions", US_national_yearly!$D:$AM, 27, FALSE) / VLOOKUP("LULUCF|SO2|Respiratory hospital admissions", US_national_yearly!$D:$AM, 10, FALSE), 1)</f>
        <v>4.729068821223258E-5</v>
      </c>
      <c r="T12" s="7">
        <f>$B12 * IFERROR(VLOOKUP("LULUCF|SO2|Respiratory hospital admissions", US_national_yearly!$D:$AM, 28, FALSE) / VLOOKUP("LULUCF|SO2|Respiratory hospital admissions", US_national_yearly!$D:$AM, 10, FALSE), 1)</f>
        <v>4.7481246849262326E-5</v>
      </c>
      <c r="U12" s="7">
        <f>$B12 * IFERROR(VLOOKUP("LULUCF|SO2|Respiratory hospital admissions", US_national_yearly!$D:$AM, 29, FALSE) / VLOOKUP("LULUCF|SO2|Respiratory hospital admissions", US_national_yearly!$D:$AM, 10, FALSE), 1)</f>
        <v>4.7671805486292078E-5</v>
      </c>
      <c r="V12" s="7">
        <f>$B12 * IFERROR(VLOOKUP("LULUCF|SO2|Respiratory hospital admissions", US_national_yearly!$D:$AM, 30, FALSE) / VLOOKUP("LULUCF|SO2|Respiratory hospital admissions", US_national_yearly!$D:$AM, 10, FALSE), 1)</f>
        <v>4.7862364123321837E-5</v>
      </c>
      <c r="W12" s="7">
        <f>$B12 * IFERROR(VLOOKUP("LULUCF|SO2|Respiratory hospital admissions", US_national_yearly!$D:$AM, 31, FALSE) / VLOOKUP("LULUCF|SO2|Respiratory hospital admissions", US_national_yearly!$D:$AM, 10, FALSE), 1)</f>
        <v>4.8052922760351589E-5</v>
      </c>
      <c r="X12" s="7">
        <f>$B12 * IFERROR(VLOOKUP("LULUCF|SO2|Respiratory hospital admissions", US_national_yearly!$D:$AM, 32, FALSE) / VLOOKUP("LULUCF|SO2|Respiratory hospital admissions", US_national_yearly!$D:$AM, 10, FALSE), 1)</f>
        <v>4.8233731620882642E-5</v>
      </c>
      <c r="Y12" s="7">
        <f>$B12 * IFERROR(VLOOKUP("LULUCF|SO2|Respiratory hospital admissions", US_national_yearly!$D:$AM, 33, FALSE) / VLOOKUP("LULUCF|SO2|Respiratory hospital admissions", US_national_yearly!$D:$AM, 10, FALSE), 1)</f>
        <v>4.8414540481413688E-5</v>
      </c>
      <c r="Z12" s="7">
        <f>$B12 * IFERROR(VLOOKUP("LULUCF|SO2|Respiratory hospital admissions", US_national_yearly!$D:$AM, 34, FALSE) / VLOOKUP("LULUCF|SO2|Respiratory hospital admissions", US_national_yearly!$D:$AM, 10, FALSE), 1)</f>
        <v>4.859534934194474E-5</v>
      </c>
      <c r="AA12" s="7">
        <f>$B12 * IFERROR(VLOOKUP("LULUCF|SO2|Respiratory hospital admissions", US_national_yearly!$D:$AM, 35, FALSE) / VLOOKUP("LULUCF|SO2|Respiratory hospital admissions", US_national_yearly!$D:$AM, 10, FALSE), 1)</f>
        <v>4.8776158202475793E-5</v>
      </c>
      <c r="AB12" s="7">
        <f>$B12 * IFERROR(VLOOKUP("LULUCF|SO2|Respiratory hospital admissions", US_national_yearly!$D:$AM, 36, FALSE) / VLOOKUP("LULUCF|SO2|Respiratory hospital admissions", US_national_yearly!$D:$AM, 10, FALSE), 1)</f>
        <v>4.8956967063006846E-5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3.0150299793395405E-4</v>
      </c>
      <c r="C13" s="7">
        <f>$B13 * IFERROR(VLOOKUP("LULUCF|SO2|Non-fatal heart attacks", US_national_yearly!$D:$AM, 11, FALSE) / VLOOKUP("LULUCF|SO2|Non-fatal heart attacks", US_national_yearly!$D:$AM, 10, FALSE), 1)</f>
        <v>3.1035403083436023E-4</v>
      </c>
      <c r="D13" s="7">
        <f>$B13 * IFERROR(VLOOKUP("LULUCF|SO2|Non-fatal heart attacks", US_national_yearly!$D:$AM, 12, FALSE) / VLOOKUP("LULUCF|SO2|Non-fatal heart attacks", US_national_yearly!$D:$AM, 10, FALSE), 1)</f>
        <v>3.1920506373476641E-4</v>
      </c>
      <c r="E13" s="7">
        <f>$B13 * IFERROR(VLOOKUP("LULUCF|SO2|Non-fatal heart attacks", US_national_yearly!$D:$AM, 13, FALSE) / VLOOKUP("LULUCF|SO2|Non-fatal heart attacks", US_national_yearly!$D:$AM, 10, FALSE), 1)</f>
        <v>3.2805609663517259E-4</v>
      </c>
      <c r="F13" s="7">
        <f>$B13 * IFERROR(VLOOKUP("LULUCF|SO2|Non-fatal heart attacks", US_national_yearly!$D:$AM, 14, FALSE) / VLOOKUP("LULUCF|SO2|Non-fatal heart attacks", US_national_yearly!$D:$AM, 10, FALSE), 1)</f>
        <v>3.3690712953557872E-4</v>
      </c>
      <c r="G13" s="7">
        <f>$B13 * IFERROR(VLOOKUP("LULUCF|SO2|Non-fatal heart attacks", US_national_yearly!$D:$AM, 15, FALSE) / VLOOKUP("LULUCF|SO2|Non-fatal heart attacks", US_national_yearly!$D:$AM, 10, FALSE), 1)</f>
        <v>3.4525447454411697E-4</v>
      </c>
      <c r="H13" s="7">
        <f>$B13 * IFERROR(VLOOKUP("LULUCF|SO2|Non-fatal heart attacks", US_national_yearly!$D:$AM, 16, FALSE) / VLOOKUP("LULUCF|SO2|Non-fatal heart attacks", US_national_yearly!$D:$AM, 10, FALSE), 1)</f>
        <v>3.5360181955265528E-4</v>
      </c>
      <c r="I13" s="7">
        <f>$B13 * IFERROR(VLOOKUP("LULUCF|SO2|Non-fatal heart attacks", US_national_yearly!$D:$AM, 17, FALSE) / VLOOKUP("LULUCF|SO2|Non-fatal heart attacks", US_national_yearly!$D:$AM, 10, FALSE), 1)</f>
        <v>3.6031881551289163E-4</v>
      </c>
      <c r="J13" s="7">
        <f>$B13 * IFERROR(VLOOKUP("LULUCF|SO2|Non-fatal heart attacks", US_national_yearly!$D:$AM, 18, FALSE) / VLOOKUP("LULUCF|SO2|Non-fatal heart attacks", US_national_yearly!$D:$AM, 10, FALSE), 1)</f>
        <v>3.6703581147312799E-4</v>
      </c>
      <c r="K13" s="7">
        <f>$B13 * IFERROR(VLOOKUP("LULUCF|SO2|Non-fatal heart attacks", US_national_yearly!$D:$AM, 19, FALSE) / VLOOKUP("LULUCF|SO2|Non-fatal heart attacks", US_national_yearly!$D:$AM, 10, FALSE), 1)</f>
        <v>3.7375280743336429E-4</v>
      </c>
      <c r="L13" s="7">
        <f>$B13 * IFERROR(VLOOKUP("LULUCF|SO2|Non-fatal heart attacks", US_national_yearly!$D:$AM, 20, FALSE) / VLOOKUP("LULUCF|SO2|Non-fatal heart attacks", US_national_yearly!$D:$AM, 10, FALSE), 1)</f>
        <v>3.8046980339360076E-4</v>
      </c>
      <c r="M13" s="7">
        <f>$B13 * IFERROR(VLOOKUP("LULUCF|SO2|Non-fatal heart attacks", US_national_yearly!$D:$AM, 21, FALSE) / VLOOKUP("LULUCF|SO2|Non-fatal heart attacks", US_national_yearly!$D:$AM, 10, FALSE), 1)</f>
        <v>3.8718679935383717E-4</v>
      </c>
      <c r="N13" s="7">
        <f>$B13 * IFERROR(VLOOKUP("LULUCF|SO2|Non-fatal heart attacks", US_national_yearly!$D:$AM, 22, FALSE) / VLOOKUP("LULUCF|SO2|Non-fatal heart attacks", US_national_yearly!$D:$AM, 10, FALSE), 1)</f>
        <v>3.9154822598289659E-4</v>
      </c>
      <c r="O13" s="7">
        <f>$B13 * IFERROR(VLOOKUP("LULUCF|SO2|Non-fatal heart attacks", US_national_yearly!$D:$AM, 23, FALSE) / VLOOKUP("LULUCF|SO2|Non-fatal heart attacks", US_national_yearly!$D:$AM, 10, FALSE), 1)</f>
        <v>3.9590965261195618E-4</v>
      </c>
      <c r="P13" s="7">
        <f>$B13 * IFERROR(VLOOKUP("LULUCF|SO2|Non-fatal heart attacks", US_national_yearly!$D:$AM, 24, FALSE) / VLOOKUP("LULUCF|SO2|Non-fatal heart attacks", US_national_yearly!$D:$AM, 10, FALSE), 1)</f>
        <v>4.0027107924101577E-4</v>
      </c>
      <c r="Q13" s="7">
        <f>$B13 * IFERROR(VLOOKUP("LULUCF|SO2|Non-fatal heart attacks", US_national_yearly!$D:$AM, 25, FALSE) / VLOOKUP("LULUCF|SO2|Non-fatal heart attacks", US_national_yearly!$D:$AM, 10, FALSE), 1)</f>
        <v>4.0463250587007531E-4</v>
      </c>
      <c r="R13" s="7">
        <f>$B13 * IFERROR(VLOOKUP("LULUCF|SO2|Non-fatal heart attacks", US_national_yearly!$D:$AM, 26, FALSE) / VLOOKUP("LULUCF|SO2|Non-fatal heart attacks", US_national_yearly!$D:$AM, 10, FALSE), 1)</f>
        <v>4.0899393249913484E-4</v>
      </c>
      <c r="S13" s="7">
        <f>$B13 * IFERROR(VLOOKUP("LULUCF|SO2|Non-fatal heart attacks", US_national_yearly!$D:$AM, 27, FALSE) / VLOOKUP("LULUCF|SO2|Non-fatal heart attacks", US_national_yearly!$D:$AM, 10, FALSE), 1)</f>
        <v>4.1127100881006211E-4</v>
      </c>
      <c r="T13" s="7">
        <f>$B13 * IFERROR(VLOOKUP("LULUCF|SO2|Non-fatal heart attacks", US_national_yearly!$D:$AM, 28, FALSE) / VLOOKUP("LULUCF|SO2|Non-fatal heart attacks", US_national_yearly!$D:$AM, 10, FALSE), 1)</f>
        <v>4.1354808512098938E-4</v>
      </c>
      <c r="U13" s="7">
        <f>$B13 * IFERROR(VLOOKUP("LULUCF|SO2|Non-fatal heart attacks", US_national_yearly!$D:$AM, 29, FALSE) / VLOOKUP("LULUCF|SO2|Non-fatal heart attacks", US_national_yearly!$D:$AM, 10, FALSE), 1)</f>
        <v>4.1582516143191659E-4</v>
      </c>
      <c r="V13" s="7">
        <f>$B13 * IFERROR(VLOOKUP("LULUCF|SO2|Non-fatal heart attacks", US_national_yearly!$D:$AM, 30, FALSE) / VLOOKUP("LULUCF|SO2|Non-fatal heart attacks", US_national_yearly!$D:$AM, 10, FALSE), 1)</f>
        <v>4.1810223774284381E-4</v>
      </c>
      <c r="W13" s="7">
        <f>$B13 * IFERROR(VLOOKUP("LULUCF|SO2|Non-fatal heart attacks", US_national_yearly!$D:$AM, 31, FALSE) / VLOOKUP("LULUCF|SO2|Non-fatal heart attacks", US_national_yearly!$D:$AM, 10, FALSE), 1)</f>
        <v>4.2037931405377113E-4</v>
      </c>
      <c r="X13" s="7">
        <f>$B13 * IFERROR(VLOOKUP("LULUCF|SO2|Non-fatal heart attacks", US_national_yearly!$D:$AM, 32, FALSE) / VLOOKUP("LULUCF|SO2|Non-fatal heart attacks", US_national_yearly!$D:$AM, 10, FALSE), 1)</f>
        <v>4.2209830748388686E-4</v>
      </c>
      <c r="Y13" s="7">
        <f>$B13 * IFERROR(VLOOKUP("LULUCF|SO2|Non-fatal heart attacks", US_national_yearly!$D:$AM, 33, FALSE) / VLOOKUP("LULUCF|SO2|Non-fatal heart attacks", US_national_yearly!$D:$AM, 10, FALSE), 1)</f>
        <v>4.2381730091400259E-4</v>
      </c>
      <c r="Z13" s="7">
        <f>$B13 * IFERROR(VLOOKUP("LULUCF|SO2|Non-fatal heart attacks", US_national_yearly!$D:$AM, 34, FALSE) / VLOOKUP("LULUCF|SO2|Non-fatal heart attacks", US_national_yearly!$D:$AM, 10, FALSE), 1)</f>
        <v>4.2553629434411832E-4</v>
      </c>
      <c r="AA13" s="7">
        <f>$B13 * IFERROR(VLOOKUP("LULUCF|SO2|Non-fatal heart attacks", US_national_yearly!$D:$AM, 35, FALSE) / VLOOKUP("LULUCF|SO2|Non-fatal heart attacks", US_national_yearly!$D:$AM, 10, FALSE), 1)</f>
        <v>4.27255287774234E-4</v>
      </c>
      <c r="AB13" s="7">
        <f>$B13 * IFERROR(VLOOKUP("LULUCF|SO2|Non-fatal heart attacks", US_national_yearly!$D:$AM, 36, FALSE) / VLOOKUP("LULUCF|SO2|Non-fatal heart attacks", US_national_yearly!$D:$AM, 10, FALSE), 1)</f>
        <v>4.2897428120434973E-4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0.21660981256501424</v>
      </c>
      <c r="C14" s="7">
        <f>$B14 * IFERROR(VLOOKUP("LULUCF|SO2|Minor restricted activity days", US_national_yearly!$D:$AM, 11, FALSE) / VLOOKUP("LULUCF|SO2|Minor restricted activity days", US_national_yearly!$D:$AM, 10, FALSE), 1)</f>
        <v>0.21715581372976414</v>
      </c>
      <c r="D14" s="7">
        <f>$B14 * IFERROR(VLOOKUP("LULUCF|SO2|Minor restricted activity days", US_national_yearly!$D:$AM, 12, FALSE) / VLOOKUP("LULUCF|SO2|Minor restricted activity days", US_national_yearly!$D:$AM, 10, FALSE), 1)</f>
        <v>0.21770181489451398</v>
      </c>
      <c r="E14" s="7">
        <f>$B14 * IFERROR(VLOOKUP("LULUCF|SO2|Minor restricted activity days", US_national_yearly!$D:$AM, 13, FALSE) / VLOOKUP("LULUCF|SO2|Minor restricted activity days", US_national_yearly!$D:$AM, 10, FALSE), 1)</f>
        <v>0.21824781605926388</v>
      </c>
      <c r="F14" s="7">
        <f>$B14 * IFERROR(VLOOKUP("LULUCF|SO2|Minor restricted activity days", US_national_yearly!$D:$AM, 14, FALSE) / VLOOKUP("LULUCF|SO2|Minor restricted activity days", US_national_yearly!$D:$AM, 10, FALSE), 1)</f>
        <v>0.21879381722401373</v>
      </c>
      <c r="G14" s="7">
        <f>$B14 * IFERROR(VLOOKUP("LULUCF|SO2|Minor restricted activity days", US_national_yearly!$D:$AM, 15, FALSE) / VLOOKUP("LULUCF|SO2|Minor restricted activity days", US_national_yearly!$D:$AM, 10, FALSE), 1)</f>
        <v>0.21959747729907161</v>
      </c>
      <c r="H14" s="7">
        <f>$B14 * IFERROR(VLOOKUP("LULUCF|SO2|Minor restricted activity days", US_national_yearly!$D:$AM, 16, FALSE) / VLOOKUP("LULUCF|SO2|Minor restricted activity days", US_national_yearly!$D:$AM, 10, FALSE), 1)</f>
        <v>0.2204011373741295</v>
      </c>
      <c r="I14" s="7">
        <f>$B14 * IFERROR(VLOOKUP("LULUCF|SO2|Minor restricted activity days", US_national_yearly!$D:$AM, 17, FALSE) / VLOOKUP("LULUCF|SO2|Minor restricted activity days", US_national_yearly!$D:$AM, 10, FALSE), 1)</f>
        <v>0.221771704722245</v>
      </c>
      <c r="J14" s="7">
        <f>$B14 * IFERROR(VLOOKUP("LULUCF|SO2|Minor restricted activity days", US_national_yearly!$D:$AM, 18, FALSE) / VLOOKUP("LULUCF|SO2|Minor restricted activity days", US_national_yearly!$D:$AM, 10, FALSE), 1)</f>
        <v>0.22314227207036053</v>
      </c>
      <c r="K14" s="7">
        <f>$B14 * IFERROR(VLOOKUP("LULUCF|SO2|Minor restricted activity days", US_national_yearly!$D:$AM, 19, FALSE) / VLOOKUP("LULUCF|SO2|Minor restricted activity days", US_national_yearly!$D:$AM, 10, FALSE), 1)</f>
        <v>0.22451283941847608</v>
      </c>
      <c r="L14" s="7">
        <f>$B14 * IFERROR(VLOOKUP("LULUCF|SO2|Minor restricted activity days", US_national_yearly!$D:$AM, 20, FALSE) / VLOOKUP("LULUCF|SO2|Minor restricted activity days", US_national_yearly!$D:$AM, 10, FALSE), 1)</f>
        <v>0.22588340676659158</v>
      </c>
      <c r="M14" s="7">
        <f>$B14 * IFERROR(VLOOKUP("LULUCF|SO2|Minor restricted activity days", US_national_yearly!$D:$AM, 21, FALSE) / VLOOKUP("LULUCF|SO2|Minor restricted activity days", US_national_yearly!$D:$AM, 10, FALSE), 1)</f>
        <v>0.2272539741147071</v>
      </c>
      <c r="N14" s="7">
        <f>$B14 * IFERROR(VLOOKUP("LULUCF|SO2|Minor restricted activity days", US_national_yearly!$D:$AM, 22, FALSE) / VLOOKUP("LULUCF|SO2|Minor restricted activity days", US_national_yearly!$D:$AM, 10, FALSE), 1)</f>
        <v>0.22912869032709263</v>
      </c>
      <c r="O14" s="7">
        <f>$B14 * IFERROR(VLOOKUP("LULUCF|SO2|Minor restricted activity days", US_national_yearly!$D:$AM, 23, FALSE) / VLOOKUP("LULUCF|SO2|Minor restricted activity days", US_national_yearly!$D:$AM, 10, FALSE), 1)</f>
        <v>0.23100340653947812</v>
      </c>
      <c r="P14" s="7">
        <f>$B14 * IFERROR(VLOOKUP("LULUCF|SO2|Minor restricted activity days", US_national_yearly!$D:$AM, 24, FALSE) / VLOOKUP("LULUCF|SO2|Minor restricted activity days", US_national_yearly!$D:$AM, 10, FALSE), 1)</f>
        <v>0.23287812275186365</v>
      </c>
      <c r="Q14" s="7">
        <f>$B14 * IFERROR(VLOOKUP("LULUCF|SO2|Minor restricted activity days", US_national_yearly!$D:$AM, 25, FALSE) / VLOOKUP("LULUCF|SO2|Minor restricted activity days", US_national_yearly!$D:$AM, 10, FALSE), 1)</f>
        <v>0.23475283896424917</v>
      </c>
      <c r="R14" s="7">
        <f>$B14 * IFERROR(VLOOKUP("LULUCF|SO2|Minor restricted activity days", US_national_yearly!$D:$AM, 26, FALSE) / VLOOKUP("LULUCF|SO2|Minor restricted activity days", US_national_yearly!$D:$AM, 10, FALSE), 1)</f>
        <v>0.2366275551766347</v>
      </c>
      <c r="S14" s="7">
        <f>$B14 * IFERROR(VLOOKUP("LULUCF|SO2|Minor restricted activity days", US_national_yearly!$D:$AM, 27, FALSE) / VLOOKUP("LULUCF|SO2|Minor restricted activity days", US_national_yearly!$D:$AM, 10, FALSE), 1)</f>
        <v>0.23853901184099549</v>
      </c>
      <c r="T14" s="7">
        <f>$B14 * IFERROR(VLOOKUP("LULUCF|SO2|Minor restricted activity days", US_national_yearly!$D:$AM, 28, FALSE) / VLOOKUP("LULUCF|SO2|Minor restricted activity days", US_national_yearly!$D:$AM, 10, FALSE), 1)</f>
        <v>0.24045046850535626</v>
      </c>
      <c r="U14" s="7">
        <f>$B14 * IFERROR(VLOOKUP("LULUCF|SO2|Minor restricted activity days", US_national_yearly!$D:$AM, 29, FALSE) / VLOOKUP("LULUCF|SO2|Minor restricted activity days", US_national_yearly!$D:$AM, 10, FALSE), 1)</f>
        <v>0.24236192516971705</v>
      </c>
      <c r="V14" s="7">
        <f>$B14 * IFERROR(VLOOKUP("LULUCF|SO2|Minor restricted activity days", US_national_yearly!$D:$AM, 30, FALSE) / VLOOKUP("LULUCF|SO2|Minor restricted activity days", US_national_yearly!$D:$AM, 10, FALSE), 1)</f>
        <v>0.24427338183407782</v>
      </c>
      <c r="W14" s="7">
        <f>$B14 * IFERROR(VLOOKUP("LULUCF|SO2|Minor restricted activity days", US_national_yearly!$D:$AM, 31, FALSE) / VLOOKUP("LULUCF|SO2|Minor restricted activity days", US_national_yearly!$D:$AM, 10, FALSE), 1)</f>
        <v>0.24618483849843864</v>
      </c>
      <c r="X14" s="7">
        <f>$B14 * IFERROR(VLOOKUP("LULUCF|SO2|Minor restricted activity days", US_national_yearly!$D:$AM, 32, FALSE) / VLOOKUP("LULUCF|SO2|Minor restricted activity days", US_national_yearly!$D:$AM, 10, FALSE), 1)</f>
        <v>0.24786581231302476</v>
      </c>
      <c r="Y14" s="7">
        <f>$B14 * IFERROR(VLOOKUP("LULUCF|SO2|Minor restricted activity days", US_national_yearly!$D:$AM, 33, FALSE) / VLOOKUP("LULUCF|SO2|Minor restricted activity days", US_national_yearly!$D:$AM, 10, FALSE), 1)</f>
        <v>0.24954678612761086</v>
      </c>
      <c r="Z14" s="7">
        <f>$B14 * IFERROR(VLOOKUP("LULUCF|SO2|Minor restricted activity days", US_national_yearly!$D:$AM, 34, FALSE) / VLOOKUP("LULUCF|SO2|Minor restricted activity days", US_national_yearly!$D:$AM, 10, FALSE), 1)</f>
        <v>0.25122775994219698</v>
      </c>
      <c r="AA14" s="7">
        <f>$B14 * IFERROR(VLOOKUP("LULUCF|SO2|Minor restricted activity days", US_national_yearly!$D:$AM, 35, FALSE) / VLOOKUP("LULUCF|SO2|Minor restricted activity days", US_national_yearly!$D:$AM, 10, FALSE), 1)</f>
        <v>0.25290873375678313</v>
      </c>
      <c r="AB14" s="7">
        <f>$B14 * IFERROR(VLOOKUP("LULUCF|SO2|Minor restricted activity days", US_national_yearly!$D:$AM, 36, FALSE) / VLOOKUP("LULUCF|SO2|Minor restricted activity days", US_national_yearly!$D:$AM, 10, FALSE), 1)</f>
        <v>0.25458970757136928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3.655824952762253E-2</v>
      </c>
      <c r="C15" s="7">
        <f>$B15 * IFERROR(VLOOKUP("LULUCF|SO2|Work loss days", US_national_yearly!$D:$AM, 11, FALSE) / VLOOKUP("LULUCF|SO2|Work loss days", US_national_yearly!$D:$AM, 10, FALSE), 1)</f>
        <v>3.6676692445672225E-2</v>
      </c>
      <c r="D15" s="7">
        <f>$B15 * IFERROR(VLOOKUP("LULUCF|SO2|Work loss days", US_national_yearly!$D:$AM, 12, FALSE) / VLOOKUP("LULUCF|SO2|Work loss days", US_national_yearly!$D:$AM, 10, FALSE), 1)</f>
        <v>3.6795135363721913E-2</v>
      </c>
      <c r="E15" s="7">
        <f>$B15 * IFERROR(VLOOKUP("LULUCF|SO2|Work loss days", US_national_yearly!$D:$AM, 13, FALSE) / VLOOKUP("LULUCF|SO2|Work loss days", US_national_yearly!$D:$AM, 10, FALSE), 1)</f>
        <v>3.6913578281771608E-2</v>
      </c>
      <c r="F15" s="7">
        <f>$B15 * IFERROR(VLOOKUP("LULUCF|SO2|Work loss days", US_national_yearly!$D:$AM, 14, FALSE) / VLOOKUP("LULUCF|SO2|Work loss days", US_national_yearly!$D:$AM, 10, FALSE), 1)</f>
        <v>3.7032021199821304E-2</v>
      </c>
      <c r="G15" s="7">
        <f>$B15 * IFERROR(VLOOKUP("LULUCF|SO2|Work loss days", US_national_yearly!$D:$AM, 15, FALSE) / VLOOKUP("LULUCF|SO2|Work loss days", US_national_yearly!$D:$AM, 10, FALSE), 1)</f>
        <v>3.7186781364670539E-2</v>
      </c>
      <c r="H15" s="7">
        <f>$B15 * IFERROR(VLOOKUP("LULUCF|SO2|Work loss days", US_national_yearly!$D:$AM, 16, FALSE) / VLOOKUP("LULUCF|SO2|Work loss days", US_national_yearly!$D:$AM, 10, FALSE), 1)</f>
        <v>3.7341541529519774E-2</v>
      </c>
      <c r="I15" s="7">
        <f>$B15 * IFERROR(VLOOKUP("LULUCF|SO2|Work loss days", US_national_yearly!$D:$AM, 17, FALSE) / VLOOKUP("LULUCF|SO2|Work loss days", US_national_yearly!$D:$AM, 10, FALSE), 1)</f>
        <v>3.7567934875640883E-2</v>
      </c>
      <c r="J15" s="7">
        <f>$B15 * IFERROR(VLOOKUP("LULUCF|SO2|Work loss days", US_national_yearly!$D:$AM, 18, FALSE) / VLOOKUP("LULUCF|SO2|Work loss days", US_national_yearly!$D:$AM, 10, FALSE), 1)</f>
        <v>3.7794328221761986E-2</v>
      </c>
      <c r="K15" s="7">
        <f>$B15 * IFERROR(VLOOKUP("LULUCF|SO2|Work loss days", US_national_yearly!$D:$AM, 19, FALSE) / VLOOKUP("LULUCF|SO2|Work loss days", US_national_yearly!$D:$AM, 10, FALSE), 1)</f>
        <v>3.8020721567883095E-2</v>
      </c>
      <c r="L15" s="7">
        <f>$B15 * IFERROR(VLOOKUP("LULUCF|SO2|Work loss days", US_national_yearly!$D:$AM, 20, FALSE) / VLOOKUP("LULUCF|SO2|Work loss days", US_national_yearly!$D:$AM, 10, FALSE), 1)</f>
        <v>3.8247114914004204E-2</v>
      </c>
      <c r="M15" s="7">
        <f>$B15 * IFERROR(VLOOKUP("LULUCF|SO2|Work loss days", US_national_yearly!$D:$AM, 21, FALSE) / VLOOKUP("LULUCF|SO2|Work loss days", US_national_yearly!$D:$AM, 10, FALSE), 1)</f>
        <v>3.8473508260125314E-2</v>
      </c>
      <c r="N15" s="7">
        <f>$B15 * IFERROR(VLOOKUP("LULUCF|SO2|Work loss days", US_national_yearly!$D:$AM, 22, FALSE) / VLOOKUP("LULUCF|SO2|Work loss days", US_national_yearly!$D:$AM, 10, FALSE), 1)</f>
        <v>3.8757368828988552E-2</v>
      </c>
      <c r="O15" s="7">
        <f>$B15 * IFERROR(VLOOKUP("LULUCF|SO2|Work loss days", US_national_yearly!$D:$AM, 23, FALSE) / VLOOKUP("LULUCF|SO2|Work loss days", US_national_yearly!$D:$AM, 10, FALSE), 1)</f>
        <v>3.904122939785179E-2</v>
      </c>
      <c r="P15" s="7">
        <f>$B15 * IFERROR(VLOOKUP("LULUCF|SO2|Work loss days", US_national_yearly!$D:$AM, 24, FALSE) / VLOOKUP("LULUCF|SO2|Work loss days", US_national_yearly!$D:$AM, 10, FALSE), 1)</f>
        <v>3.9325089966715028E-2</v>
      </c>
      <c r="Q15" s="7">
        <f>$B15 * IFERROR(VLOOKUP("LULUCF|SO2|Work loss days", US_national_yearly!$D:$AM, 25, FALSE) / VLOOKUP("LULUCF|SO2|Work loss days", US_national_yearly!$D:$AM, 10, FALSE), 1)</f>
        <v>3.9608950535578266E-2</v>
      </c>
      <c r="R15" s="7">
        <f>$B15 * IFERROR(VLOOKUP("LULUCF|SO2|Work loss days", US_national_yearly!$D:$AM, 26, FALSE) / VLOOKUP("LULUCF|SO2|Work loss days", US_national_yearly!$D:$AM, 10, FALSE), 1)</f>
        <v>3.9892811104441504E-2</v>
      </c>
      <c r="S15" s="7">
        <f>$B15 * IFERROR(VLOOKUP("LULUCF|SO2|Work loss days", US_national_yearly!$D:$AM, 27, FALSE) / VLOOKUP("LULUCF|SO2|Work loss days", US_national_yearly!$D:$AM, 10, FALSE), 1)</f>
        <v>4.0210024354269833E-2</v>
      </c>
      <c r="T15" s="7">
        <f>$B15 * IFERROR(VLOOKUP("LULUCF|SO2|Work loss days", US_national_yearly!$D:$AM, 28, FALSE) / VLOOKUP("LULUCF|SO2|Work loss days", US_national_yearly!$D:$AM, 10, FALSE), 1)</f>
        <v>4.0527237604098168E-2</v>
      </c>
      <c r="U15" s="7">
        <f>$B15 * IFERROR(VLOOKUP("LULUCF|SO2|Work loss days", US_national_yearly!$D:$AM, 29, FALSE) / VLOOKUP("LULUCF|SO2|Work loss days", US_national_yearly!$D:$AM, 10, FALSE), 1)</f>
        <v>4.0844450853926496E-2</v>
      </c>
      <c r="V15" s="7">
        <f>$B15 * IFERROR(VLOOKUP("LULUCF|SO2|Work loss days", US_national_yearly!$D:$AM, 30, FALSE) / VLOOKUP("LULUCF|SO2|Work loss days", US_national_yearly!$D:$AM, 10, FALSE), 1)</f>
        <v>4.1161664103754825E-2</v>
      </c>
      <c r="W15" s="7">
        <f>$B15 * IFERROR(VLOOKUP("LULUCF|SO2|Work loss days", US_national_yearly!$D:$AM, 31, FALSE) / VLOOKUP("LULUCF|SO2|Work loss days", US_national_yearly!$D:$AM, 10, FALSE), 1)</f>
        <v>4.147887735358316E-2</v>
      </c>
      <c r="X15" s="7">
        <f>$B15 * IFERROR(VLOOKUP("LULUCF|SO2|Work loss days", US_national_yearly!$D:$AM, 32, FALSE) / VLOOKUP("LULUCF|SO2|Work loss days", US_national_yearly!$D:$AM, 10, FALSE), 1)</f>
        <v>4.1763691128328291E-2</v>
      </c>
      <c r="Y15" s="7">
        <f>$B15 * IFERROR(VLOOKUP("LULUCF|SO2|Work loss days", US_national_yearly!$D:$AM, 33, FALSE) / VLOOKUP("LULUCF|SO2|Work loss days", US_national_yearly!$D:$AM, 10, FALSE), 1)</f>
        <v>4.2048504903073429E-2</v>
      </c>
      <c r="Z15" s="7">
        <f>$B15 * IFERROR(VLOOKUP("LULUCF|SO2|Work loss days", US_national_yearly!$D:$AM, 34, FALSE) / VLOOKUP("LULUCF|SO2|Work loss days", US_national_yearly!$D:$AM, 10, FALSE), 1)</f>
        <v>4.2333318677818567E-2</v>
      </c>
      <c r="AA15" s="7">
        <f>$B15 * IFERROR(VLOOKUP("LULUCF|SO2|Work loss days", US_national_yearly!$D:$AM, 35, FALSE) / VLOOKUP("LULUCF|SO2|Work loss days", US_national_yearly!$D:$AM, 10, FALSE), 1)</f>
        <v>4.2618132452563705E-2</v>
      </c>
      <c r="AB15" s="7">
        <f>$B15 * IFERROR(VLOOKUP("LULUCF|SO2|Work loss days", US_national_yearly!$D:$AM, 36, FALSE) / VLOOKUP("LULUCF|SO2|Work loss days", US_national_yearly!$D:$AM, 10, FALSE), 1)</f>
        <v>4.2902946227308843E-2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7.335432208138934E-5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7.5572837685768544E-5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7.7791353290147762E-5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8.0009868894526966E-5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8.2228384498906197E-5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8.4353511500039749E-5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8.6478638501173314E-5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8.829945762623079E-5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9.0120276751288252E-5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9.1941095876345728E-5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9.3761915001403204E-5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9.5582734126460652E-5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9.6805909814526769E-5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9.8029085502592873E-5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9.9252261190658976E-5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1.0047543687872508E-4</v>
      </c>
      <c r="R17" s="7">
        <f>$B17 * IFERROR(VLOOKUP("LULUCF|SO2|Cardiovascular hospital admissions", US_national_yearly!$D:$AM, 26, FALSE) / VLOOKUP("LULUCF|SO2|Cardiovascular hospital admissions", US_national_yearly!$D:$AM, 10, FALSE), 1)</f>
        <v>1.0169861256679121E-4</v>
      </c>
      <c r="S17" s="7">
        <f>$B17 * IFERROR(VLOOKUP("LULUCF|SO2|Cardiovascular hospital admissions", US_national_yearly!$D:$AM, 27, FALSE) / VLOOKUP("LULUCF|SO2|Cardiovascular hospital admissions", US_national_yearly!$D:$AM, 10, FALSE), 1)</f>
        <v>1.0234191588852365E-4</v>
      </c>
      <c r="T17" s="7">
        <f>$B17 * IFERROR(VLOOKUP("LULUCF|SO2|Cardiovascular hospital admissions", US_national_yearly!$D:$AM, 28, FALSE) / VLOOKUP("LULUCF|SO2|Cardiovascular hospital admissions", US_national_yearly!$D:$AM, 10, FALSE), 1)</f>
        <v>1.0298521921025608E-4</v>
      </c>
      <c r="U17" s="7">
        <f>$B17 * IFERROR(VLOOKUP("LULUCF|SO2|Cardiovascular hospital admissions", US_national_yearly!$D:$AM, 29, FALSE) / VLOOKUP("LULUCF|SO2|Cardiovascular hospital admissions", US_national_yearly!$D:$AM, 10, FALSE), 1)</f>
        <v>1.0362852253198852E-4</v>
      </c>
      <c r="V17" s="7">
        <f>$B17 * IFERROR(VLOOKUP("LULUCF|SO2|Cardiovascular hospital admissions", US_national_yearly!$D:$AM, 30, FALSE) / VLOOKUP("LULUCF|SO2|Cardiovascular hospital admissions", US_national_yearly!$D:$AM, 10, FALSE), 1)</f>
        <v>1.0427182585372097E-4</v>
      </c>
      <c r="W17" s="7">
        <f>$B17 * IFERROR(VLOOKUP("LULUCF|SO2|Cardiovascular hospital admissions", US_national_yearly!$D:$AM, 31, FALSE) / VLOOKUP("LULUCF|SO2|Cardiovascular hospital admissions", US_national_yearly!$D:$AM, 10, FALSE), 1)</f>
        <v>1.0491512917545341E-4</v>
      </c>
      <c r="X17" s="7">
        <f>$B17 * IFERROR(VLOOKUP("LULUCF|SO2|Cardiovascular hospital admissions", US_national_yearly!$D:$AM, 32, FALSE) / VLOOKUP("LULUCF|SO2|Cardiovascular hospital admissions", US_national_yearly!$D:$AM, 10, FALSE), 1)</f>
        <v>1.0534699996131547E-4</v>
      </c>
      <c r="Y17" s="7">
        <f>$B17 * IFERROR(VLOOKUP("LULUCF|SO2|Cardiovascular hospital admissions", US_national_yearly!$D:$AM, 33, FALSE) / VLOOKUP("LULUCF|SO2|Cardiovascular hospital admissions", US_national_yearly!$D:$AM, 10, FALSE), 1)</f>
        <v>1.0577887074717753E-4</v>
      </c>
      <c r="Z17" s="7">
        <f>$B17 * IFERROR(VLOOKUP("LULUCF|SO2|Cardiovascular hospital admissions", US_national_yearly!$D:$AM, 34, FALSE) / VLOOKUP("LULUCF|SO2|Cardiovascular hospital admissions", US_national_yearly!$D:$AM, 10, FALSE), 1)</f>
        <v>1.0621074153303959E-4</v>
      </c>
      <c r="AA17" s="7">
        <f>$B17 * IFERROR(VLOOKUP("LULUCF|SO2|Cardiovascular hospital admissions", US_national_yearly!$D:$AM, 35, FALSE) / VLOOKUP("LULUCF|SO2|Cardiovascular hospital admissions", US_national_yearly!$D:$AM, 10, FALSE), 1)</f>
        <v>1.0664261231890166E-4</v>
      </c>
      <c r="AB17" s="7">
        <f>$B17 * IFERROR(VLOOKUP("LULUCF|SO2|Cardiovascular hospital admissions", US_national_yearly!$D:$AM, 36, FALSE) / VLOOKUP("LULUCF|SO2|Cardiovascular hospital admissions", US_national_yearly!$D:$AM, 10, FALSE), 1)</f>
        <v>1.070744831047637E-4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2026-06-15T17:16:24Z</dcterms:modified>
</cp:coreProperties>
</file>