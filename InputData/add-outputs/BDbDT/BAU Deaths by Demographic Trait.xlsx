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2BAC7C5E-B6B4-4E0F-B30E-6753C2AE40D0}"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<sst xmlns="http://schemas.openxmlformats.org/spreadsheetml/2006/main" count="5677" uniqueCount="335">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</sst>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128</v>
      </c>
    </row>
    <row r="2" spans="1:2" x14ac:dyDescent="0.25">
      <c r="A2" s="3" t="s">
        <v>2</v>
      </c>
      <c r="B2" s="4" t="str">
        <f>IFERROR(INDEX(Geography!B:B, MATCH($B$1, Geography!C:C, 0)), "")</f>
        <v>NJ</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4677937</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9500851</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0.99316668958461285</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4822914</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9500851</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1.0067183377775526</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6612719</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9500851</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0.92619975360162698</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1481943</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9500851</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1.1417784283179842</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1056776</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9500851</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1.7226036463184276</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349413</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9500851</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0.77677592815119467</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2229461</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9500851</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1.2025185409822037</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7271390</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9500851</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0.95089905340530589</v>
      </c>
    </row>
    <row r="12" spans="1:28" x14ac:dyDescent="0.25">
      <c r="A12" s="4" t="s">
        <v>319</v>
      </c>
    </row>
    <row r="13" spans="1:28" x14ac:dyDescent="0.25">
      <c r="A13" s="4" t="s">
        <v>320</v>
      </c>
      <c r="B13" s="37">
        <f>INDEX(Census_pop_2020_2025!G:G, MATCH("."&amp;About!$B$1, Census_pop_2020_2025!A:A, 0))</f>
        <v>9506354</v>
      </c>
      <c r="C13" s="37">
        <f>INDEX(Census_pop_2020_2025!H:H, MATCH("."&amp;About!$B$1, Census_pop_2020_2025!A:A, 0))</f>
        <v>9548215</v>
      </c>
      <c r="D13" s="37">
        <f>INDEX(Census_pop_2020_2025!H:H, MATCH("."&amp;About!$B$1, Census_pop_2020_2025!A:A, 0))+0.2*(INDEX(Cooper_pop_2030_2050!D:D, MATCH(About!$B$1, Cooper_pop_2030_2050!B:B, 0))-INDEX(Census_pop_2020_2025!H:H, MATCH("."&amp;About!$B$1, Census_pop_2020_2025!A:A, 0)))</f>
        <v>9573746.439095512</v>
      </c>
      <c r="E13" s="37">
        <f>INDEX(Census_pop_2020_2025!H:H, MATCH("."&amp;About!$B$1, Census_pop_2020_2025!A:A, 0))+0.4*(INDEX(Cooper_pop_2030_2050!D:D, MATCH(About!$B$1, Cooper_pop_2030_2050!B:B, 0))-INDEX(Census_pop_2020_2025!H:H, MATCH("."&amp;About!$B$1, Census_pop_2020_2025!A:A, 0)))</f>
        <v>9599277.8781910241</v>
      </c>
      <c r="F13" s="37">
        <f>INDEX(Census_pop_2020_2025!H:H, MATCH("."&amp;About!$B$1, Census_pop_2020_2025!A:A, 0))+0.6*(INDEX(Cooper_pop_2030_2050!D:D, MATCH(About!$B$1, Cooper_pop_2030_2050!B:B, 0))-INDEX(Census_pop_2020_2025!H:H, MATCH("."&amp;About!$B$1, Census_pop_2020_2025!A:A, 0)))</f>
        <v>9624809.3172865361</v>
      </c>
      <c r="G13" s="37">
        <f>INDEX(Census_pop_2020_2025!H:H, MATCH("."&amp;About!$B$1, Census_pop_2020_2025!A:A, 0))+0.8*(INDEX(Cooper_pop_2030_2050!D:D, MATCH(About!$B$1, Cooper_pop_2030_2050!B:B, 0))-INDEX(Census_pop_2020_2025!H:H, MATCH("."&amp;About!$B$1, Census_pop_2020_2025!A:A, 0)))</f>
        <v>9650340.7563820481</v>
      </c>
      <c r="H13" s="37">
        <f>INDEX(Cooper_pop_2030_2050!D:D, MATCH(About!$B$1, Cooper_pop_2030_2050!B:B, 0))</f>
        <v>9675872.1954775602</v>
      </c>
      <c r="I13" s="37">
        <f>INDEX(Cooper_pop_2030_2050!D:D, MATCH(About!$B$1, Cooper_pop_2030_2050!B:B, 0))+0.1*(INDEX(Cooper_pop_2030_2050!E:E, MATCH(About!$B$1, Cooper_pop_2030_2050!B:B, 0))-INDEX(Cooper_pop_2030_2050!D:D, MATCH(About!$B$1, Cooper_pop_2030_2050!B:B, 0)))</f>
        <v>9691169.4784786385</v>
      </c>
      <c r="J13" s="37">
        <f>INDEX(Cooper_pop_2030_2050!D:D, MATCH(About!$B$1, Cooper_pop_2030_2050!B:B, 0))+0.2*(INDEX(Cooper_pop_2030_2050!E:E, MATCH(About!$B$1, Cooper_pop_2030_2050!B:B, 0))-INDEX(Cooper_pop_2030_2050!D:D, MATCH(About!$B$1, Cooper_pop_2030_2050!B:B, 0)))</f>
        <v>9706466.7614797149</v>
      </c>
      <c r="K13" s="37">
        <f>INDEX(Cooper_pop_2030_2050!D:D, MATCH(About!$B$1, Cooper_pop_2030_2050!B:B, 0))+0.3*(INDEX(Cooper_pop_2030_2050!E:E, MATCH(About!$B$1, Cooper_pop_2030_2050!B:B, 0))-INDEX(Cooper_pop_2030_2050!D:D, MATCH(About!$B$1, Cooper_pop_2030_2050!B:B, 0)))</f>
        <v>9721764.0444807932</v>
      </c>
      <c r="L13" s="37">
        <f>INDEX(Cooper_pop_2030_2050!D:D, MATCH(About!$B$1, Cooper_pop_2030_2050!B:B, 0))+0.4*(INDEX(Cooper_pop_2030_2050!E:E, MATCH(About!$B$1, Cooper_pop_2030_2050!B:B, 0))-INDEX(Cooper_pop_2030_2050!D:D, MATCH(About!$B$1, Cooper_pop_2030_2050!B:B, 0)))</f>
        <v>9737061.3274818715</v>
      </c>
      <c r="M13" s="37">
        <f>INDEX(Cooper_pop_2030_2050!D:D, MATCH(About!$B$1, Cooper_pop_2030_2050!B:B, 0))+0.5*(INDEX(Cooper_pop_2030_2050!E:E, MATCH(About!$B$1, Cooper_pop_2030_2050!B:B, 0))-INDEX(Cooper_pop_2030_2050!D:D, MATCH(About!$B$1, Cooper_pop_2030_2050!B:B, 0)))</f>
        <v>9752358.6104829498</v>
      </c>
      <c r="N13" s="37">
        <f>INDEX(Cooper_pop_2030_2050!D:D, MATCH(About!$B$1, Cooper_pop_2030_2050!B:B, 0))+0.6*(INDEX(Cooper_pop_2030_2050!E:E, MATCH(About!$B$1, Cooper_pop_2030_2050!B:B, 0))-INDEX(Cooper_pop_2030_2050!D:D, MATCH(About!$B$1, Cooper_pop_2030_2050!B:B, 0)))</f>
        <v>9767655.8934840262</v>
      </c>
      <c r="O13" s="37">
        <f>INDEX(Cooper_pop_2030_2050!D:D, MATCH(About!$B$1, Cooper_pop_2030_2050!B:B, 0))+0.7*(INDEX(Cooper_pop_2030_2050!E:E, MATCH(About!$B$1, Cooper_pop_2030_2050!B:B, 0))-INDEX(Cooper_pop_2030_2050!D:D, MATCH(About!$B$1, Cooper_pop_2030_2050!B:B, 0)))</f>
        <v>9782953.1764851045</v>
      </c>
      <c r="P13" s="37">
        <f>INDEX(Cooper_pop_2030_2050!D:D, MATCH(About!$B$1, Cooper_pop_2030_2050!B:B, 0))+0.8*(INDEX(Cooper_pop_2030_2050!E:E, MATCH(About!$B$1, Cooper_pop_2030_2050!B:B, 0))-INDEX(Cooper_pop_2030_2050!D:D, MATCH(About!$B$1, Cooper_pop_2030_2050!B:B, 0)))</f>
        <v>9798250.4594861828</v>
      </c>
      <c r="Q13" s="37">
        <f>INDEX(Cooper_pop_2030_2050!D:D, MATCH(About!$B$1, Cooper_pop_2030_2050!B:B, 0))+0.9*(INDEX(Cooper_pop_2030_2050!E:E, MATCH(About!$B$1, Cooper_pop_2030_2050!B:B, 0))-INDEX(Cooper_pop_2030_2050!D:D, MATCH(About!$B$1, Cooper_pop_2030_2050!B:B, 0)))</f>
        <v>9813547.7424872592</v>
      </c>
      <c r="R13" s="37">
        <f>INDEX(Cooper_pop_2030_2050!E:E, MATCH(About!$B$1, Cooper_pop_2030_2050!B:B, 0))</f>
        <v>9828845.0254883375</v>
      </c>
      <c r="S13" s="37">
        <f>INDEX(Cooper_pop_2030_2050!E:E, MATCH(About!$B$1, Cooper_pop_2030_2050!B:B, 0))+0.1*(INDEX(Cooper_pop_2030_2050!F:F, MATCH(About!$B$1, Cooper_pop_2030_2050!B:B, 0))-INDEX(Cooper_pop_2030_2050!E:E, MATCH(About!$B$1, Cooper_pop_2030_2050!B:B, 0)))</f>
        <v>9832684.7288188655</v>
      </c>
      <c r="T13" s="37">
        <f>INDEX(Cooper_pop_2030_2050!E:E, MATCH(About!$B$1, Cooper_pop_2030_2050!B:B, 0))+0.2*(INDEX(Cooper_pop_2030_2050!F:F, MATCH(About!$B$1, Cooper_pop_2030_2050!B:B, 0))-INDEX(Cooper_pop_2030_2050!E:E, MATCH(About!$B$1, Cooper_pop_2030_2050!B:B, 0)))</f>
        <v>9836524.4321493916</v>
      </c>
      <c r="U13" s="37">
        <f>INDEX(Cooper_pop_2030_2050!E:E, MATCH(About!$B$1, Cooper_pop_2030_2050!B:B, 0))+0.3*(INDEX(Cooper_pop_2030_2050!F:F, MATCH(About!$B$1, Cooper_pop_2030_2050!B:B, 0))-INDEX(Cooper_pop_2030_2050!E:E, MATCH(About!$B$1, Cooper_pop_2030_2050!B:B, 0)))</f>
        <v>9840364.1354799196</v>
      </c>
      <c r="V13" s="37">
        <f>INDEX(Cooper_pop_2030_2050!E:E, MATCH(About!$B$1, Cooper_pop_2030_2050!B:B, 0))+0.4*(INDEX(Cooper_pop_2030_2050!F:F, MATCH(About!$B$1, Cooper_pop_2030_2050!B:B, 0))-INDEX(Cooper_pop_2030_2050!E:E, MATCH(About!$B$1, Cooper_pop_2030_2050!B:B, 0)))</f>
        <v>9844203.8388104457</v>
      </c>
      <c r="W13" s="37">
        <f>INDEX(Cooper_pop_2030_2050!E:E, MATCH(About!$B$1, Cooper_pop_2030_2050!B:B, 0))+0.5*(INDEX(Cooper_pop_2030_2050!F:F, MATCH(About!$B$1, Cooper_pop_2030_2050!B:B, 0))-INDEX(Cooper_pop_2030_2050!E:E, MATCH(About!$B$1, Cooper_pop_2030_2050!B:B, 0)))</f>
        <v>9848043.5421409737</v>
      </c>
      <c r="X13" s="37">
        <f>INDEX(Cooper_pop_2030_2050!E:E, MATCH(About!$B$1, Cooper_pop_2030_2050!B:B, 0))+0.6*(INDEX(Cooper_pop_2030_2050!F:F, MATCH(About!$B$1, Cooper_pop_2030_2050!B:B, 0))-INDEX(Cooper_pop_2030_2050!E:E, MATCH(About!$B$1, Cooper_pop_2030_2050!B:B, 0)))</f>
        <v>9851883.2454715017</v>
      </c>
      <c r="Y13" s="37">
        <f>INDEX(Cooper_pop_2030_2050!E:E, MATCH(About!$B$1, Cooper_pop_2030_2050!B:B, 0))+0.7*(INDEX(Cooper_pop_2030_2050!F:F, MATCH(About!$B$1, Cooper_pop_2030_2050!B:B, 0))-INDEX(Cooper_pop_2030_2050!E:E, MATCH(About!$B$1, Cooper_pop_2030_2050!B:B, 0)))</f>
        <v>9855722.9488020279</v>
      </c>
      <c r="Z13" s="37">
        <f>INDEX(Cooper_pop_2030_2050!E:E, MATCH(About!$B$1, Cooper_pop_2030_2050!B:B, 0))+0.8*(INDEX(Cooper_pop_2030_2050!F:F, MATCH(About!$B$1, Cooper_pop_2030_2050!B:B, 0))-INDEX(Cooper_pop_2030_2050!E:E, MATCH(About!$B$1, Cooper_pop_2030_2050!B:B, 0)))</f>
        <v>9859562.6521325558</v>
      </c>
      <c r="AA13" s="37">
        <f>INDEX(Cooper_pop_2030_2050!E:E, MATCH(About!$B$1, Cooper_pop_2030_2050!B:B, 0))+0.9*(INDEX(Cooper_pop_2030_2050!F:F, MATCH(About!$B$1, Cooper_pop_2030_2050!B:B, 0))-INDEX(Cooper_pop_2030_2050!E:E, MATCH(About!$B$1, Cooper_pop_2030_2050!B:B, 0)))</f>
        <v>9863402.355463082</v>
      </c>
      <c r="AB13" s="37">
        <f>INDEX(Cooper_pop_2030_2050!F:F, MATCH(About!$B$1, Cooper_pop_2030_2050!B:B, 0))</f>
        <v>9867242.05879361</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2.825217769043856E-2</v>
      </c>
      <c r="C15" s="39">
        <f t="shared" si="1"/>
        <v>2.8247797985362592E-2</v>
      </c>
      <c r="D15" s="39">
        <f t="shared" si="1"/>
        <v>2.8198464183005138E-2</v>
      </c>
      <c r="E15" s="39">
        <f t="shared" si="1"/>
        <v>2.81528108466928E-2</v>
      </c>
      <c r="F15" s="39">
        <f t="shared" si="1"/>
        <v>2.8111090106341195E-2</v>
      </c>
      <c r="G15" s="39">
        <f t="shared" si="1"/>
        <v>2.8073408960257978E-2</v>
      </c>
      <c r="H15" s="39">
        <f t="shared" si="1"/>
        <v>2.8040027335845215E-2</v>
      </c>
      <c r="I15" s="39">
        <f t="shared" si="1"/>
        <v>2.7981723373064159E-2</v>
      </c>
      <c r="J15" s="39">
        <f t="shared" si="1"/>
        <v>2.792865391380003E-2</v>
      </c>
      <c r="K15" s="39">
        <f t="shared" si="1"/>
        <v>2.7879878193695171E-2</v>
      </c>
      <c r="L15" s="39">
        <f t="shared" si="1"/>
        <v>2.7835473040650455E-2</v>
      </c>
      <c r="M15" s="39">
        <f t="shared" si="1"/>
        <v>2.7795498147873673E-2</v>
      </c>
      <c r="N15" s="39">
        <f t="shared" si="1"/>
        <v>2.7759988882096635E-2</v>
      </c>
      <c r="O15" s="39">
        <f t="shared" si="1"/>
        <v>2.7728983841609451E-2</v>
      </c>
      <c r="P15" s="39">
        <f t="shared" si="1"/>
        <v>2.7702488833624191E-2</v>
      </c>
      <c r="Q15" s="39">
        <f t="shared" si="1"/>
        <v>2.7680455283090814E-2</v>
      </c>
      <c r="R15" s="39">
        <f t="shared" si="1"/>
        <v>2.7662804236297068E-2</v>
      </c>
      <c r="S15" s="39">
        <f t="shared" si="1"/>
        <v>2.761729876900634E-2</v>
      </c>
      <c r="T15" s="39">
        <f t="shared" si="1"/>
        <v>2.7576043051178604E-2</v>
      </c>
      <c r="U15" s="39">
        <f t="shared" si="1"/>
        <v>2.7538789042292358E-2</v>
      </c>
      <c r="V15" s="39">
        <f t="shared" si="1"/>
        <v>2.7505198340785911E-2</v>
      </c>
      <c r="W15" s="39">
        <f t="shared" si="1"/>
        <v>2.7474889057418517E-2</v>
      </c>
      <c r="X15" s="39">
        <f t="shared" si="1"/>
        <v>2.7447469596849065E-2</v>
      </c>
      <c r="Y15" s="39">
        <f t="shared" si="1"/>
        <v>2.7422687914380791E-2</v>
      </c>
      <c r="Z15" s="39">
        <f t="shared" si="1"/>
        <v>2.7400174373808851E-2</v>
      </c>
      <c r="AA15" s="39">
        <f t="shared" si="1"/>
        <v>2.7379554611758575E-2</v>
      </c>
      <c r="AB15" s="39">
        <f t="shared" si="1"/>
        <v>2.7360461116729656E-2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264.06439516916373</v>
      </c>
      <c r="C48" s="37">
        <f t="shared" si="10"/>
        <v>262.03157060307745</v>
      </c>
      <c r="D48" s="37">
        <f t="shared" si="10"/>
        <v>259.55752570288286</v>
      </c>
      <c r="E48" s="37">
        <f t="shared" si="10"/>
        <v>257.12415061442294</v>
      </c>
      <c r="F48" s="37">
        <f t="shared" si="10"/>
        <v>254.67710250655344</v>
      </c>
      <c r="G48" s="37">
        <f t="shared" si="10"/>
        <v>252.21672421528089</v>
      </c>
      <c r="H48" s="37">
        <f t="shared" si="10"/>
        <v>249.74464064903086</v>
      </c>
      <c r="I48" s="37">
        <f t="shared" si="10"/>
        <v>247.14105497555772</v>
      </c>
      <c r="J48" s="37">
        <f t="shared" si="10"/>
        <v>244.39783291495678</v>
      </c>
      <c r="K48" s="37">
        <f t="shared" si="10"/>
        <v>241.72816807534352</v>
      </c>
      <c r="L48" s="37">
        <f t="shared" si="10"/>
        <v>238.93802204846972</v>
      </c>
      <c r="M48" s="37">
        <f t="shared" si="10"/>
        <v>236.22080157168102</v>
      </c>
      <c r="N48" s="37">
        <f t="shared" si="10"/>
        <v>233.60312021892403</v>
      </c>
      <c r="O48" s="37">
        <f t="shared" si="10"/>
        <v>230.69841736412553</v>
      </c>
      <c r="P48" s="37">
        <f t="shared" si="10"/>
        <v>227.91925873755517</v>
      </c>
      <c r="Q48" s="37">
        <f t="shared" si="10"/>
        <v>225.0163407534626</v>
      </c>
      <c r="R48" s="37">
        <f t="shared" si="10"/>
        <v>222.12547659910209</v>
      </c>
      <c r="S48" s="37">
        <f t="shared" si="10"/>
        <v>218.93493508797954</v>
      </c>
      <c r="T48" s="37">
        <f t="shared" si="10"/>
        <v>215.78695861778775</v>
      </c>
      <c r="U48" s="37">
        <f t="shared" si="10"/>
        <v>212.67832740600034</v>
      </c>
      <c r="V48" s="37">
        <f t="shared" si="10"/>
        <v>209.60523456201915</v>
      </c>
      <c r="W48" s="37">
        <f t="shared" si="10"/>
        <v>206.59097185639851</v>
      </c>
      <c r="X48" s="37">
        <f t="shared" si="10"/>
        <v>203.82236588943624</v>
      </c>
      <c r="Y48" s="37">
        <f t="shared" si="10"/>
        <v>201.07822119525537</v>
      </c>
      <c r="Z48" s="37">
        <f t="shared" si="10"/>
        <v>198.49118783833995</v>
      </c>
      <c r="AA48" s="37">
        <f t="shared" si="10"/>
        <v>195.94887840533835</v>
      </c>
      <c r="AB48" s="37">
        <f t="shared" si="10"/>
        <v>193.42096298362807</v>
      </c>
    </row>
    <row r="49" spans="1:28" x14ac:dyDescent="0.25">
      <c r="A49" s="4" t="s">
        <v>216</v>
      </c>
      <c r="B49" s="37">
        <f t="shared" ref="B49:AB49" si="11">B29*B15*$F$5</f>
        <v>213.42865816481017</v>
      </c>
      <c r="C49" s="37">
        <f t="shared" si="11"/>
        <v>212.22963143210555</v>
      </c>
      <c r="D49" s="37">
        <f t="shared" si="11"/>
        <v>210.69507536922569</v>
      </c>
      <c r="E49" s="37">
        <f t="shared" si="11"/>
        <v>209.16359793239141</v>
      </c>
      <c r="F49" s="37">
        <f t="shared" si="11"/>
        <v>207.60843250286587</v>
      </c>
      <c r="G49" s="37">
        <f t="shared" si="11"/>
        <v>206.08661778597491</v>
      </c>
      <c r="H49" s="37">
        <f t="shared" si="11"/>
        <v>204.57128517401708</v>
      </c>
      <c r="I49" s="37">
        <f t="shared" si="11"/>
        <v>202.73743196230674</v>
      </c>
      <c r="J49" s="37">
        <f t="shared" si="11"/>
        <v>201.03145951792695</v>
      </c>
      <c r="K49" s="37">
        <f t="shared" si="11"/>
        <v>199.19280933754402</v>
      </c>
      <c r="L49" s="37">
        <f t="shared" si="11"/>
        <v>197.44640218808237</v>
      </c>
      <c r="M49" s="37">
        <f t="shared" si="11"/>
        <v>195.56785923726059</v>
      </c>
      <c r="N49" s="37">
        <f t="shared" si="11"/>
        <v>193.5853352886738</v>
      </c>
      <c r="O49" s="37">
        <f t="shared" si="11"/>
        <v>191.77794970123264</v>
      </c>
      <c r="P49" s="37">
        <f t="shared" si="11"/>
        <v>189.72616968456668</v>
      </c>
      <c r="Q49" s="37">
        <f t="shared" si="11"/>
        <v>187.76395097457541</v>
      </c>
      <c r="R49" s="37">
        <f t="shared" si="11"/>
        <v>185.69481352993753</v>
      </c>
      <c r="S49" s="37">
        <f t="shared" si="11"/>
        <v>183.44314564800345</v>
      </c>
      <c r="T49" s="37">
        <f t="shared" si="11"/>
        <v>181.17029746306798</v>
      </c>
      <c r="U49" s="37">
        <f t="shared" si="11"/>
        <v>178.92943055817418</v>
      </c>
      <c r="V49" s="37">
        <f t="shared" si="11"/>
        <v>176.77288054395643</v>
      </c>
      <c r="W49" s="37">
        <f t="shared" si="11"/>
        <v>174.66958236743193</v>
      </c>
      <c r="X49" s="37">
        <f t="shared" si="11"/>
        <v>172.56103419978007</v>
      </c>
      <c r="Y49" s="37">
        <f t="shared" si="11"/>
        <v>170.58317594757395</v>
      </c>
      <c r="Z49" s="37">
        <f t="shared" si="11"/>
        <v>168.59498489854221</v>
      </c>
      <c r="AA49" s="37">
        <f t="shared" si="11"/>
        <v>166.70404623301218</v>
      </c>
      <c r="AB49" s="37">
        <f t="shared" si="11"/>
        <v>164.99022483820602</v>
      </c>
    </row>
    <row r="50" spans="1:28" x14ac:dyDescent="0.25">
      <c r="A50" s="4" t="s">
        <v>217</v>
      </c>
      <c r="B50" s="37">
        <f t="shared" ref="B50:AB50" si="12">B30*B15*$F$6</f>
        <v>257.9558634337215</v>
      </c>
      <c r="C50" s="37">
        <f t="shared" si="12"/>
        <v>256.21527290681058</v>
      </c>
      <c r="D50" s="37">
        <f t="shared" si="12"/>
        <v>254.09628751573263</v>
      </c>
      <c r="E50" s="37">
        <f t="shared" si="12"/>
        <v>251.96394707381302</v>
      </c>
      <c r="F50" s="37">
        <f t="shared" si="12"/>
        <v>249.84610746875711</v>
      </c>
      <c r="G50" s="37">
        <f t="shared" si="12"/>
        <v>247.76909833600283</v>
      </c>
      <c r="H50" s="37">
        <f t="shared" si="12"/>
        <v>245.63056290050926</v>
      </c>
      <c r="I50" s="37">
        <f t="shared" si="12"/>
        <v>243.30565377519878</v>
      </c>
      <c r="J50" s="37">
        <f t="shared" si="12"/>
        <v>240.90414273335037</v>
      </c>
      <c r="K50" s="37">
        <f t="shared" si="12"/>
        <v>238.44345351834045</v>
      </c>
      <c r="L50" s="37">
        <f t="shared" si="12"/>
        <v>235.89805568546191</v>
      </c>
      <c r="M50" s="37">
        <f t="shared" si="12"/>
        <v>233.26804701783917</v>
      </c>
      <c r="N50" s="37">
        <f t="shared" si="12"/>
        <v>230.55318103277108</v>
      </c>
      <c r="O50" s="37">
        <f t="shared" si="12"/>
        <v>227.67605398526703</v>
      </c>
      <c r="P50" s="37">
        <f t="shared" si="12"/>
        <v>224.73875774871399</v>
      </c>
      <c r="Q50" s="37">
        <f t="shared" si="12"/>
        <v>221.71423170131769</v>
      </c>
      <c r="R50" s="37">
        <f t="shared" si="12"/>
        <v>218.60078201346411</v>
      </c>
      <c r="S50" s="37">
        <f t="shared" si="12"/>
        <v>215.19726540506295</v>
      </c>
      <c r="T50" s="37">
        <f t="shared" si="12"/>
        <v>211.83642597259282</v>
      </c>
      <c r="U50" s="37">
        <f t="shared" si="12"/>
        <v>208.51498043812214</v>
      </c>
      <c r="V50" s="37">
        <f t="shared" si="12"/>
        <v>205.25455595978033</v>
      </c>
      <c r="W50" s="37">
        <f t="shared" si="12"/>
        <v>202.10194414414218</v>
      </c>
      <c r="X50" s="37">
        <f t="shared" si="12"/>
        <v>199.07842573210536</v>
      </c>
      <c r="Y50" s="37">
        <f t="shared" si="12"/>
        <v>196.13020378769895</v>
      </c>
      <c r="Z50" s="37">
        <f t="shared" si="12"/>
        <v>193.27911268390022</v>
      </c>
      <c r="AA50" s="37">
        <f t="shared" si="12"/>
        <v>190.57240956452512</v>
      </c>
      <c r="AB50" s="37">
        <f t="shared" si="12"/>
        <v>187.95606864095069</v>
      </c>
    </row>
    <row r="51" spans="1:28" x14ac:dyDescent="0.25">
      <c r="A51" s="4" t="s">
        <v>218</v>
      </c>
      <c r="B51" s="37">
        <f t="shared" ref="B51:AB51" si="13">B31*B15*$F$7</f>
        <v>150.90164709288308</v>
      </c>
      <c r="C51" s="37">
        <f t="shared" si="13"/>
        <v>148.84633227679518</v>
      </c>
      <c r="D51" s="37">
        <f t="shared" si="13"/>
        <v>146.59020062147678</v>
      </c>
      <c r="E51" s="37">
        <f t="shared" si="13"/>
        <v>144.29563755238283</v>
      </c>
      <c r="F51" s="37">
        <f t="shared" si="13"/>
        <v>141.96342226610156</v>
      </c>
      <c r="G51" s="37">
        <f t="shared" si="13"/>
        <v>139.65759079606664</v>
      </c>
      <c r="H51" s="37">
        <f t="shared" si="13"/>
        <v>137.28245688841486</v>
      </c>
      <c r="I51" s="37">
        <f t="shared" si="13"/>
        <v>134.82447672769888</v>
      </c>
      <c r="J51" s="37">
        <f t="shared" si="13"/>
        <v>132.40036513769385</v>
      </c>
      <c r="K51" s="37">
        <f t="shared" si="13"/>
        <v>130.00451607725475</v>
      </c>
      <c r="L51" s="37">
        <f t="shared" si="13"/>
        <v>127.69984560724313</v>
      </c>
      <c r="M51" s="37">
        <f t="shared" si="13"/>
        <v>125.51706724984682</v>
      </c>
      <c r="N51" s="37">
        <f t="shared" si="13"/>
        <v>123.35988420430014</v>
      </c>
      <c r="O51" s="37">
        <f t="shared" si="13"/>
        <v>121.32248261906983</v>
      </c>
      <c r="P51" s="37">
        <f t="shared" si="13"/>
        <v>119.3087528951107</v>
      </c>
      <c r="Q51" s="37">
        <f t="shared" si="13"/>
        <v>117.38077214873412</v>
      </c>
      <c r="R51" s="37">
        <f t="shared" si="13"/>
        <v>115.50558852683031</v>
      </c>
      <c r="S51" s="37">
        <f t="shared" si="13"/>
        <v>113.51820953831132</v>
      </c>
      <c r="T51" s="37">
        <f t="shared" si="13"/>
        <v>111.58543099785818</v>
      </c>
      <c r="U51" s="37">
        <f t="shared" si="13"/>
        <v>109.67386510346596</v>
      </c>
      <c r="V51" s="37">
        <f t="shared" si="13"/>
        <v>107.84422788168965</v>
      </c>
      <c r="W51" s="37">
        <f t="shared" si="13"/>
        <v>106.000026248477</v>
      </c>
      <c r="X51" s="37">
        <f t="shared" si="13"/>
        <v>104.23327684820424</v>
      </c>
      <c r="Y51" s="37">
        <f t="shared" si="13"/>
        <v>102.57363536937845</v>
      </c>
      <c r="Z51" s="37">
        <f t="shared" si="13"/>
        <v>100.92517783176808</v>
      </c>
      <c r="AA51" s="37">
        <f t="shared" si="13"/>
        <v>99.348680998193856</v>
      </c>
      <c r="AB51" s="37">
        <f t="shared" si="13"/>
        <v>97.77989883369365</v>
      </c>
    </row>
    <row r="52" spans="1:28" x14ac:dyDescent="0.25">
      <c r="A52" s="4" t="s">
        <v>219</v>
      </c>
      <c r="B52" s="37">
        <f t="shared" ref="B52:AB52" si="14">B32*B15*$F$8</f>
        <v>41.902549007453594</v>
      </c>
      <c r="C52" s="37">
        <f t="shared" si="14"/>
        <v>42.042032475884874</v>
      </c>
      <c r="D52" s="37">
        <f t="shared" si="14"/>
        <v>42.11433185166841</v>
      </c>
      <c r="E52" s="37">
        <f t="shared" si="14"/>
        <v>42.240133252823242</v>
      </c>
      <c r="F52" s="37">
        <f t="shared" si="14"/>
        <v>42.371233029273064</v>
      </c>
      <c r="G52" s="37">
        <f t="shared" si="14"/>
        <v>42.507874486145823</v>
      </c>
      <c r="H52" s="37">
        <f t="shared" si="14"/>
        <v>42.65053649179869</v>
      </c>
      <c r="I52" s="37">
        <f t="shared" si="14"/>
        <v>42.75465839817722</v>
      </c>
      <c r="J52" s="37">
        <f t="shared" si="14"/>
        <v>42.866010952191523</v>
      </c>
      <c r="K52" s="37">
        <f t="shared" si="14"/>
        <v>43.079303912329507</v>
      </c>
      <c r="L52" s="37">
        <f t="shared" si="14"/>
        <v>43.202488108497306</v>
      </c>
      <c r="M52" s="37">
        <f t="shared" si="14"/>
        <v>43.331966946991685</v>
      </c>
      <c r="N52" s="37">
        <f t="shared" si="14"/>
        <v>43.467887385683333</v>
      </c>
      <c r="O52" s="37">
        <f t="shared" si="14"/>
        <v>43.61040243960047</v>
      </c>
      <c r="P52" s="37">
        <f t="shared" si="14"/>
        <v>43.711893981637246</v>
      </c>
      <c r="Q52" s="37">
        <f t="shared" si="14"/>
        <v>43.867856946213905</v>
      </c>
      <c r="R52" s="37">
        <f t="shared" si="14"/>
        <v>43.935187744140791</v>
      </c>
      <c r="S52" s="37">
        <f t="shared" si="14"/>
        <v>44.005635093884059</v>
      </c>
      <c r="T52" s="37">
        <f t="shared" si="14"/>
        <v>44.129908256913609</v>
      </c>
      <c r="U52" s="37">
        <f t="shared" si="14"/>
        <v>44.165167548504947</v>
      </c>
      <c r="V52" s="37">
        <f t="shared" si="14"/>
        <v>44.253438327549112</v>
      </c>
      <c r="W52" s="37">
        <f t="shared" si="14"/>
        <v>44.346658395935684</v>
      </c>
      <c r="X52" s="37">
        <f t="shared" si="14"/>
        <v>44.396963425951853</v>
      </c>
      <c r="Y52" s="37">
        <f t="shared" si="14"/>
        <v>44.545832128154238</v>
      </c>
      <c r="Z52" s="37">
        <f t="shared" si="14"/>
        <v>44.60366007034925</v>
      </c>
      <c r="AA52" s="37">
        <f t="shared" si="14"/>
        <v>44.664422216523974</v>
      </c>
      <c r="AB52" s="37">
        <f t="shared" si="14"/>
        <v>44.727537350315828</v>
      </c>
    </row>
    <row r="53" spans="1:28" x14ac:dyDescent="0.25">
      <c r="A53" s="4" t="s">
        <v>220</v>
      </c>
      <c r="B53" s="37">
        <f t="shared" ref="B53:AB53" si="15">B33*B15*$F$9</f>
        <v>33.313438329534421</v>
      </c>
      <c r="C53" s="37">
        <f t="shared" si="15"/>
        <v>33.593522741908743</v>
      </c>
      <c r="D53" s="37">
        <f t="shared" si="15"/>
        <v>33.753891698003926</v>
      </c>
      <c r="E53" s="37">
        <f t="shared" si="15"/>
        <v>33.961665229358985</v>
      </c>
      <c r="F53" s="37">
        <f t="shared" si="15"/>
        <v>34.151532321999049</v>
      </c>
      <c r="G53" s="37">
        <f t="shared" si="15"/>
        <v>34.302015078216172</v>
      </c>
      <c r="H53" s="37">
        <f t="shared" si="15"/>
        <v>34.54437775906905</v>
      </c>
      <c r="I53" s="37">
        <f t="shared" si="15"/>
        <v>34.668168985289114</v>
      </c>
      <c r="J53" s="37">
        <f t="shared" si="15"/>
        <v>34.819361235778352</v>
      </c>
      <c r="K53" s="37">
        <f t="shared" si="15"/>
        <v>34.910146236167506</v>
      </c>
      <c r="L53" s="37">
        <f t="shared" si="15"/>
        <v>35.027519158819679</v>
      </c>
      <c r="M53" s="37">
        <f t="shared" si="15"/>
        <v>35.085170042389002</v>
      </c>
      <c r="N53" s="37">
        <f t="shared" si="15"/>
        <v>35.19129112311137</v>
      </c>
      <c r="O53" s="37">
        <f t="shared" si="15"/>
        <v>35.259682121338514</v>
      </c>
      <c r="P53" s="37">
        <f t="shared" si="15"/>
        <v>35.290547420371922</v>
      </c>
      <c r="Q53" s="37">
        <f t="shared" si="15"/>
        <v>35.283980115783798</v>
      </c>
      <c r="R53" s="37">
        <f t="shared" si="15"/>
        <v>35.282968315771534</v>
      </c>
      <c r="S53" s="37">
        <f t="shared" si="15"/>
        <v>35.22492763605959</v>
      </c>
      <c r="T53" s="37">
        <f t="shared" si="15"/>
        <v>35.086625741867529</v>
      </c>
      <c r="U53" s="37">
        <f t="shared" si="15"/>
        <v>34.996442332644072</v>
      </c>
      <c r="V53" s="37">
        <f t="shared" si="15"/>
        <v>34.868293583279375</v>
      </c>
      <c r="W53" s="37">
        <f t="shared" si="15"/>
        <v>34.744503226039761</v>
      </c>
      <c r="X53" s="37">
        <f t="shared" si="15"/>
        <v>34.667187749849454</v>
      </c>
      <c r="Y53" s="37">
        <f t="shared" si="15"/>
        <v>34.529381132348867</v>
      </c>
      <c r="Z53" s="37">
        <f t="shared" si="15"/>
        <v>34.458465530885604</v>
      </c>
      <c r="AA53" s="37">
        <f t="shared" si="15"/>
        <v>34.32619521870695</v>
      </c>
      <c r="AB53" s="37">
        <f t="shared" si="15"/>
        <v>34.259751496690868</v>
      </c>
    </row>
    <row r="54" spans="1:28" x14ac:dyDescent="0.25">
      <c r="A54" s="4" t="s">
        <v>221</v>
      </c>
      <c r="B54" s="37">
        <f t="shared" ref="B54:AB54" si="16">B34*B15*$F$10</f>
        <v>130.49324095166025</v>
      </c>
      <c r="C54" s="37">
        <f t="shared" si="16"/>
        <v>131.01650766011051</v>
      </c>
      <c r="D54" s="37">
        <f t="shared" si="16"/>
        <v>131.39805702823429</v>
      </c>
      <c r="E54" s="37">
        <f t="shared" si="16"/>
        <v>131.82855473111715</v>
      </c>
      <c r="F54" s="37">
        <f t="shared" si="16"/>
        <v>132.37688324733858</v>
      </c>
      <c r="G54" s="37">
        <f t="shared" si="16"/>
        <v>132.8070986774477</v>
      </c>
      <c r="H54" s="37">
        <f t="shared" si="16"/>
        <v>133.22239705871769</v>
      </c>
      <c r="I54" s="37">
        <f t="shared" si="16"/>
        <v>133.48376280054239</v>
      </c>
      <c r="J54" s="37">
        <f t="shared" si="16"/>
        <v>133.70078686511451</v>
      </c>
      <c r="K54" s="37">
        <f t="shared" si="16"/>
        <v>133.86959929983777</v>
      </c>
      <c r="L54" s="37">
        <f t="shared" si="16"/>
        <v>133.95763505842658</v>
      </c>
      <c r="M54" s="37">
        <f t="shared" si="16"/>
        <v>133.96580432964763</v>
      </c>
      <c r="N54" s="37">
        <f t="shared" si="16"/>
        <v>133.89480622733416</v>
      </c>
      <c r="O54" s="37">
        <f t="shared" si="16"/>
        <v>133.74525955763863</v>
      </c>
      <c r="P54" s="37">
        <f t="shared" si="16"/>
        <v>133.41758959741114</v>
      </c>
      <c r="Q54" s="37">
        <f t="shared" si="16"/>
        <v>133.01189776017901</v>
      </c>
      <c r="R54" s="37">
        <f t="shared" si="16"/>
        <v>132.42810429402863</v>
      </c>
      <c r="S54" s="37">
        <f t="shared" si="16"/>
        <v>131.7121046163669</v>
      </c>
      <c r="T54" s="37">
        <f t="shared" si="16"/>
        <v>130.88529496189673</v>
      </c>
      <c r="U54" s="37">
        <f t="shared" si="16"/>
        <v>129.94680894233031</v>
      </c>
      <c r="V54" s="37">
        <f t="shared" si="16"/>
        <v>129.0275683259114</v>
      </c>
      <c r="W54" s="37">
        <f t="shared" si="16"/>
        <v>127.96029294702151</v>
      </c>
      <c r="X54" s="37">
        <f t="shared" si="16"/>
        <v>127.07345070903688</v>
      </c>
      <c r="Y54" s="37">
        <f t="shared" si="16"/>
        <v>126.16728806749958</v>
      </c>
      <c r="Z54" s="37">
        <f t="shared" si="16"/>
        <v>125.27292573589354</v>
      </c>
      <c r="AA54" s="37">
        <f t="shared" si="16"/>
        <v>124.42139098164908</v>
      </c>
      <c r="AB54" s="37">
        <f t="shared" si="16"/>
        <v>123.64369337934926</v>
      </c>
    </row>
    <row r="55" spans="1:28" x14ac:dyDescent="0.25">
      <c r="A55" s="4" t="s">
        <v>222</v>
      </c>
      <c r="B55" s="37">
        <f t="shared" ref="B55:AB55" si="17">B35*B15*$F$11</f>
        <v>351.23260499985815</v>
      </c>
      <c r="C55" s="37">
        <f t="shared" si="17"/>
        <v>347.73997331013919</v>
      </c>
      <c r="D55" s="37">
        <f t="shared" si="17"/>
        <v>343.62003750200506</v>
      </c>
      <c r="E55" s="37">
        <f t="shared" si="17"/>
        <v>339.50324238587217</v>
      </c>
      <c r="F55" s="37">
        <f t="shared" si="17"/>
        <v>335.25780613072584</v>
      </c>
      <c r="G55" s="37">
        <f t="shared" si="17"/>
        <v>331.12450718852455</v>
      </c>
      <c r="H55" s="37">
        <f t="shared" si="17"/>
        <v>326.99791957246356</v>
      </c>
      <c r="I55" s="37">
        <f t="shared" si="17"/>
        <v>322.5662899121258</v>
      </c>
      <c r="J55" s="37">
        <f t="shared" si="17"/>
        <v>318.15682022281175</v>
      </c>
      <c r="K55" s="37">
        <f t="shared" si="17"/>
        <v>313.7305797372286</v>
      </c>
      <c r="L55" s="37">
        <f t="shared" si="17"/>
        <v>309.33998867113735</v>
      </c>
      <c r="M55" s="37">
        <f t="shared" si="17"/>
        <v>304.95756518338726</v>
      </c>
      <c r="N55" s="37">
        <f t="shared" si="17"/>
        <v>300.63483109735773</v>
      </c>
      <c r="O55" s="37">
        <f t="shared" si="17"/>
        <v>296.26483097455503</v>
      </c>
      <c r="P55" s="37">
        <f t="shared" si="17"/>
        <v>291.92504067103414</v>
      </c>
      <c r="Q55" s="37">
        <f t="shared" si="17"/>
        <v>287.61304972467258</v>
      </c>
      <c r="R55" s="37">
        <f t="shared" si="17"/>
        <v>283.35244415641733</v>
      </c>
      <c r="S55" s="37">
        <f t="shared" si="17"/>
        <v>278.73704821043106</v>
      </c>
      <c r="T55" s="37">
        <f t="shared" si="17"/>
        <v>274.23002356148254</v>
      </c>
      <c r="U55" s="37">
        <f t="shared" si="17"/>
        <v>269.87918650270888</v>
      </c>
      <c r="V55" s="37">
        <f t="shared" si="17"/>
        <v>265.62679872207781</v>
      </c>
      <c r="W55" s="37">
        <f t="shared" si="17"/>
        <v>261.5980959691131</v>
      </c>
      <c r="X55" s="37">
        <f t="shared" si="17"/>
        <v>257.65695765432105</v>
      </c>
      <c r="Y55" s="37">
        <f t="shared" si="17"/>
        <v>253.87796088952012</v>
      </c>
      <c r="Z55" s="37">
        <f t="shared" si="17"/>
        <v>250.23029800137431</v>
      </c>
      <c r="AA55" s="37">
        <f t="shared" si="17"/>
        <v>246.6834495342365</v>
      </c>
      <c r="AB55" s="37">
        <f t="shared" si="17"/>
        <v>243.259291991499</v>
      </c>
    </row>
    <row r="57" spans="1:28" x14ac:dyDescent="0.25">
      <c r="A57" s="4" t="s">
        <v>327</v>
      </c>
    </row>
    <row r="58" spans="1:28" x14ac:dyDescent="0.25">
      <c r="A58" s="4" t="s">
        <v>215</v>
      </c>
      <c r="B58" s="37">
        <f t="shared" ref="B58:AB58" si="18">B38*B15*$F$4</f>
        <v>41873.693694395864</v>
      </c>
      <c r="C58" s="37">
        <f t="shared" si="18"/>
        <v>42629.815224235434</v>
      </c>
      <c r="D58" s="37">
        <f t="shared" si="18"/>
        <v>43310.343417292686</v>
      </c>
      <c r="E58" s="37">
        <f t="shared" si="18"/>
        <v>43990.905667000668</v>
      </c>
      <c r="F58" s="37">
        <f t="shared" si="18"/>
        <v>44675.311026148505</v>
      </c>
      <c r="G58" s="37">
        <f t="shared" si="18"/>
        <v>45364.911192962885</v>
      </c>
      <c r="H58" s="37">
        <f t="shared" si="18"/>
        <v>46056.63785442782</v>
      </c>
      <c r="I58" s="37">
        <f t="shared" si="18"/>
        <v>46698.570974667462</v>
      </c>
      <c r="J58" s="37">
        <f t="shared" si="18"/>
        <v>47332.407086415427</v>
      </c>
      <c r="K58" s="37">
        <f t="shared" si="18"/>
        <v>47957.401009732574</v>
      </c>
      <c r="L58" s="37">
        <f t="shared" si="18"/>
        <v>48569.578364531735</v>
      </c>
      <c r="M58" s="37">
        <f t="shared" si="18"/>
        <v>49168.212836007704</v>
      </c>
      <c r="N58" s="37">
        <f t="shared" si="18"/>
        <v>49748.366408864713</v>
      </c>
      <c r="O58" s="37">
        <f t="shared" si="18"/>
        <v>50308.255436673215</v>
      </c>
      <c r="P58" s="37">
        <f t="shared" si="18"/>
        <v>50841.512137143072</v>
      </c>
      <c r="Q58" s="37">
        <f t="shared" si="18"/>
        <v>51347.189446796343</v>
      </c>
      <c r="R58" s="37">
        <f t="shared" si="18"/>
        <v>51817.574044672219</v>
      </c>
      <c r="S58" s="37">
        <f t="shared" si="18"/>
        <v>52192.475724400138</v>
      </c>
      <c r="T58" s="37">
        <f t="shared" si="18"/>
        <v>52529.184483600635</v>
      </c>
      <c r="U58" s="37">
        <f t="shared" si="18"/>
        <v>52830.571065980876</v>
      </c>
      <c r="V58" s="37">
        <f t="shared" si="18"/>
        <v>53083.966637599122</v>
      </c>
      <c r="W58" s="37">
        <f t="shared" si="18"/>
        <v>53292.502892724151</v>
      </c>
      <c r="X58" s="37">
        <f t="shared" si="18"/>
        <v>53453.226436902034</v>
      </c>
      <c r="Y58" s="37">
        <f t="shared" si="18"/>
        <v>53588.149389890728</v>
      </c>
      <c r="Z58" s="37">
        <f t="shared" si="18"/>
        <v>53677.633942401553</v>
      </c>
      <c r="AA58" s="37">
        <f t="shared" si="18"/>
        <v>53724.907803777722</v>
      </c>
      <c r="AB58" s="37">
        <f t="shared" si="18"/>
        <v>53734.751088827201</v>
      </c>
    </row>
    <row r="59" spans="1:28" x14ac:dyDescent="0.25">
      <c r="A59" s="4" t="s">
        <v>216</v>
      </c>
      <c r="B59" s="37">
        <f t="shared" ref="B59:AB59" si="19">B39*B15*$F$5</f>
        <v>39884.708030431808</v>
      </c>
      <c r="C59" s="37">
        <f t="shared" si="19"/>
        <v>40499.74388171536</v>
      </c>
      <c r="D59" s="37">
        <f t="shared" si="19"/>
        <v>41046.080500722645</v>
      </c>
      <c r="E59" s="37">
        <f t="shared" si="19"/>
        <v>41613.834699373692</v>
      </c>
      <c r="F59" s="37">
        <f t="shared" si="19"/>
        <v>42214.752273745908</v>
      </c>
      <c r="G59" s="37">
        <f t="shared" si="19"/>
        <v>42851.037631212545</v>
      </c>
      <c r="H59" s="37">
        <f t="shared" si="19"/>
        <v>43526.626983077775</v>
      </c>
      <c r="I59" s="37">
        <f t="shared" si="19"/>
        <v>44190.78818840591</v>
      </c>
      <c r="J59" s="37">
        <f t="shared" si="19"/>
        <v>44886.866606923613</v>
      </c>
      <c r="K59" s="37">
        <f t="shared" si="19"/>
        <v>45603.365120751892</v>
      </c>
      <c r="L59" s="37">
        <f t="shared" si="19"/>
        <v>46339.347932432618</v>
      </c>
      <c r="M59" s="37">
        <f t="shared" si="19"/>
        <v>47092.007369704792</v>
      </c>
      <c r="N59" s="37">
        <f t="shared" si="19"/>
        <v>47851.321376838619</v>
      </c>
      <c r="O59" s="37">
        <f t="shared" si="19"/>
        <v>48607.782310730421</v>
      </c>
      <c r="P59" s="37">
        <f t="shared" si="19"/>
        <v>49359.342138831758</v>
      </c>
      <c r="Q59" s="37">
        <f t="shared" si="19"/>
        <v>50092.484999145134</v>
      </c>
      <c r="R59" s="37">
        <f t="shared" si="19"/>
        <v>50803.488778205261</v>
      </c>
      <c r="S59" s="37">
        <f t="shared" si="19"/>
        <v>51423.384241529966</v>
      </c>
      <c r="T59" s="37">
        <f t="shared" si="19"/>
        <v>52007.090940422589</v>
      </c>
      <c r="U59" s="37">
        <f t="shared" si="19"/>
        <v>52549.915871460791</v>
      </c>
      <c r="V59" s="37">
        <f t="shared" si="19"/>
        <v>53040.06039950288</v>
      </c>
      <c r="W59" s="37">
        <f t="shared" si="19"/>
        <v>53466.926181901086</v>
      </c>
      <c r="X59" s="37">
        <f t="shared" si="19"/>
        <v>53833.405768653756</v>
      </c>
      <c r="Y59" s="37">
        <f t="shared" si="19"/>
        <v>54164.589274463251</v>
      </c>
      <c r="Z59" s="37">
        <f t="shared" si="19"/>
        <v>54437.146984208855</v>
      </c>
      <c r="AA59" s="37">
        <f t="shared" si="19"/>
        <v>54642.653598812474</v>
      </c>
      <c r="AB59" s="37">
        <f t="shared" si="19"/>
        <v>54781.988059092291</v>
      </c>
    </row>
    <row r="60" spans="1:28" x14ac:dyDescent="0.25">
      <c r="A60" s="4" t="s">
        <v>217</v>
      </c>
      <c r="B60" s="37">
        <f t="shared" ref="B60:AB60" si="20">B40*B15*$F$6</f>
        <v>61341.213511514557</v>
      </c>
      <c r="C60" s="37">
        <f t="shared" si="20"/>
        <v>62357.899692536157</v>
      </c>
      <c r="D60" s="37">
        <f t="shared" si="20"/>
        <v>63261.226258873699</v>
      </c>
      <c r="E60" s="37">
        <f t="shared" si="20"/>
        <v>64174.588909152255</v>
      </c>
      <c r="F60" s="37">
        <f t="shared" si="20"/>
        <v>65111.181808703746</v>
      </c>
      <c r="G60" s="37">
        <f t="shared" si="20"/>
        <v>66071.32619652641</v>
      </c>
      <c r="H60" s="37">
        <f t="shared" si="20"/>
        <v>67057.507261168765</v>
      </c>
      <c r="I60" s="37">
        <f t="shared" si="20"/>
        <v>67991.567980823078</v>
      </c>
      <c r="J60" s="37">
        <f t="shared" si="20"/>
        <v>68938.11038064475</v>
      </c>
      <c r="K60" s="37">
        <f t="shared" si="20"/>
        <v>69885.028729641825</v>
      </c>
      <c r="L60" s="37">
        <f t="shared" si="20"/>
        <v>70828.739265871613</v>
      </c>
      <c r="M60" s="37">
        <f t="shared" si="20"/>
        <v>71766.622791615824</v>
      </c>
      <c r="N60" s="37">
        <f t="shared" si="20"/>
        <v>72685.804865223909</v>
      </c>
      <c r="O60" s="37">
        <f t="shared" si="20"/>
        <v>73579.224798299925</v>
      </c>
      <c r="P60" s="37">
        <f t="shared" si="20"/>
        <v>74437.561326076495</v>
      </c>
      <c r="Q60" s="37">
        <f t="shared" si="20"/>
        <v>75250.958805289876</v>
      </c>
      <c r="R60" s="37">
        <f t="shared" si="20"/>
        <v>76009.941300685372</v>
      </c>
      <c r="S60" s="37">
        <f t="shared" si="20"/>
        <v>76618.948969344812</v>
      </c>
      <c r="T60" s="37">
        <f t="shared" si="20"/>
        <v>77161.609717449042</v>
      </c>
      <c r="U60" s="37">
        <f t="shared" si="20"/>
        <v>77637.868415469202</v>
      </c>
      <c r="V60" s="37">
        <f t="shared" si="20"/>
        <v>78027.072356456381</v>
      </c>
      <c r="W60" s="37">
        <f t="shared" si="20"/>
        <v>78323.358993800473</v>
      </c>
      <c r="X60" s="37">
        <f t="shared" si="20"/>
        <v>78528.367517249688</v>
      </c>
      <c r="Y60" s="37">
        <f t="shared" si="20"/>
        <v>78682.119232731115</v>
      </c>
      <c r="Z60" s="37">
        <f t="shared" si="20"/>
        <v>78749.285364320371</v>
      </c>
      <c r="AA60" s="37">
        <f t="shared" si="20"/>
        <v>78724.891815028794</v>
      </c>
      <c r="AB60" s="37">
        <f t="shared" si="20"/>
        <v>78615.533617784182</v>
      </c>
    </row>
    <row r="61" spans="1:28" x14ac:dyDescent="0.25">
      <c r="A61" s="4" t="s">
        <v>218</v>
      </c>
      <c r="B61" s="37">
        <f t="shared" ref="B61:AB61" si="21">B41*B15*$F$7</f>
        <v>11666.458592176245</v>
      </c>
      <c r="C61" s="37">
        <f t="shared" si="21"/>
        <v>11840.620911258298</v>
      </c>
      <c r="D61" s="37">
        <f t="shared" si="21"/>
        <v>11995.218867634499</v>
      </c>
      <c r="E61" s="37">
        <f t="shared" si="21"/>
        <v>12151.274180099001</v>
      </c>
      <c r="F61" s="37">
        <f t="shared" si="21"/>
        <v>12312.783223159127</v>
      </c>
      <c r="G61" s="37">
        <f t="shared" si="21"/>
        <v>12480.106181785482</v>
      </c>
      <c r="H61" s="37">
        <f t="shared" si="21"/>
        <v>12652.973161543376</v>
      </c>
      <c r="I61" s="37">
        <f t="shared" si="21"/>
        <v>12818.453099350036</v>
      </c>
      <c r="J61" s="37">
        <f t="shared" si="21"/>
        <v>12989.043432363127</v>
      </c>
      <c r="K61" s="37">
        <f t="shared" si="21"/>
        <v>13163.94406477072</v>
      </c>
      <c r="L61" s="37">
        <f t="shared" si="21"/>
        <v>13343.203678537215</v>
      </c>
      <c r="M61" s="37">
        <f t="shared" si="21"/>
        <v>13526.169822306185</v>
      </c>
      <c r="N61" s="37">
        <f t="shared" si="21"/>
        <v>13713.51769263019</v>
      </c>
      <c r="O61" s="37">
        <f t="shared" si="21"/>
        <v>13901.80885651686</v>
      </c>
      <c r="P61" s="37">
        <f t="shared" si="21"/>
        <v>14092.603128287168</v>
      </c>
      <c r="Q61" s="37">
        <f t="shared" si="21"/>
        <v>14283.06555016604</v>
      </c>
      <c r="R61" s="37">
        <f t="shared" si="21"/>
        <v>14472.878668725665</v>
      </c>
      <c r="S61" s="37">
        <f t="shared" si="21"/>
        <v>14645.078811045492</v>
      </c>
      <c r="T61" s="37">
        <f t="shared" si="21"/>
        <v>14813.501222394274</v>
      </c>
      <c r="U61" s="37">
        <f t="shared" si="21"/>
        <v>14978.374828635997</v>
      </c>
      <c r="V61" s="37">
        <f t="shared" si="21"/>
        <v>15137.95043357581</v>
      </c>
      <c r="W61" s="37">
        <f t="shared" si="21"/>
        <v>15289.413670654103</v>
      </c>
      <c r="X61" s="37">
        <f t="shared" si="21"/>
        <v>15431.727235698028</v>
      </c>
      <c r="Y61" s="37">
        <f t="shared" si="21"/>
        <v>15568.774162554415</v>
      </c>
      <c r="Z61" s="37">
        <f t="shared" si="21"/>
        <v>15696.242807370381</v>
      </c>
      <c r="AA61" s="37">
        <f t="shared" si="21"/>
        <v>15813.977915603948</v>
      </c>
      <c r="AB61" s="37">
        <f t="shared" si="21"/>
        <v>15920.316946845674</v>
      </c>
    </row>
    <row r="62" spans="1:28" x14ac:dyDescent="0.25">
      <c r="A62" s="4" t="s">
        <v>219</v>
      </c>
      <c r="B62" s="37">
        <f t="shared" ref="B62:AB62" si="22">B42*B15*$F$8</f>
        <v>5930.2570315972634</v>
      </c>
      <c r="C62" s="37">
        <f t="shared" si="22"/>
        <v>6068.9425630292972</v>
      </c>
      <c r="D62" s="37">
        <f t="shared" si="22"/>
        <v>6201.9304061791454</v>
      </c>
      <c r="E62" s="37">
        <f t="shared" si="22"/>
        <v>6344.3128269432709</v>
      </c>
      <c r="F62" s="37">
        <f t="shared" si="22"/>
        <v>6497.9554488366784</v>
      </c>
      <c r="G62" s="37">
        <f t="shared" si="22"/>
        <v>6662.7587203677213</v>
      </c>
      <c r="H62" s="37">
        <f t="shared" si="22"/>
        <v>6839.2043187805803</v>
      </c>
      <c r="I62" s="37">
        <f t="shared" si="22"/>
        <v>7020.0064199009385</v>
      </c>
      <c r="J62" s="37">
        <f t="shared" si="22"/>
        <v>7208.6101201263391</v>
      </c>
      <c r="K62" s="37">
        <f t="shared" si="22"/>
        <v>7403.588999461419</v>
      </c>
      <c r="L62" s="37">
        <f t="shared" si="22"/>
        <v>7606.8505227484338</v>
      </c>
      <c r="M62" s="37">
        <f t="shared" si="22"/>
        <v>7816.9431953579169</v>
      </c>
      <c r="N62" s="37">
        <f t="shared" si="22"/>
        <v>8032.9038444407352</v>
      </c>
      <c r="O62" s="37">
        <f t="shared" si="22"/>
        <v>8253.3522522795702</v>
      </c>
      <c r="P62" s="37">
        <f t="shared" si="22"/>
        <v>8477.5782507989497</v>
      </c>
      <c r="Q62" s="37">
        <f t="shared" si="22"/>
        <v>8704.0026900204703</v>
      </c>
      <c r="R62" s="37">
        <f t="shared" si="22"/>
        <v>8931.852121013022</v>
      </c>
      <c r="S62" s="37">
        <f t="shared" si="22"/>
        <v>9148.9856174865199</v>
      </c>
      <c r="T62" s="37">
        <f t="shared" si="22"/>
        <v>9365.7061052202389</v>
      </c>
      <c r="U62" s="37">
        <f t="shared" si="22"/>
        <v>9579.9988461335979</v>
      </c>
      <c r="V62" s="37">
        <f t="shared" si="22"/>
        <v>9792.1866730116744</v>
      </c>
      <c r="W62" s="37">
        <f t="shared" si="22"/>
        <v>10001.614982777708</v>
      </c>
      <c r="X62" s="37">
        <f t="shared" si="22"/>
        <v>10209.126656853277</v>
      </c>
      <c r="Y62" s="37">
        <f t="shared" si="22"/>
        <v>10414.040841438495</v>
      </c>
      <c r="Z62" s="37">
        <f t="shared" si="22"/>
        <v>10616.662289189129</v>
      </c>
      <c r="AA62" s="37">
        <f t="shared" si="22"/>
        <v>10816.855241022906</v>
      </c>
      <c r="AB62" s="37">
        <f t="shared" si="22"/>
        <v>11013.814371097158</v>
      </c>
    </row>
    <row r="63" spans="1:28" x14ac:dyDescent="0.25">
      <c r="A63" s="4" t="s">
        <v>220</v>
      </c>
      <c r="B63" s="37">
        <f t="shared" ref="B63:AB63" si="23">B43*B15*$F$9</f>
        <v>1468.8856177277519</v>
      </c>
      <c r="C63" s="37">
        <f t="shared" si="23"/>
        <v>1501.1323784077092</v>
      </c>
      <c r="D63" s="37">
        <f t="shared" si="23"/>
        <v>1532.1988826522211</v>
      </c>
      <c r="E63" s="37">
        <f t="shared" si="23"/>
        <v>1566.172917190104</v>
      </c>
      <c r="F63" s="37">
        <f t="shared" si="23"/>
        <v>1600.4709472768034</v>
      </c>
      <c r="G63" s="37">
        <f t="shared" si="23"/>
        <v>1637.3815029643608</v>
      </c>
      <c r="H63" s="37">
        <f t="shared" si="23"/>
        <v>1675.4241021331084</v>
      </c>
      <c r="I63" s="37">
        <f t="shared" si="23"/>
        <v>1712.4771346984162</v>
      </c>
      <c r="J63" s="37">
        <f t="shared" si="23"/>
        <v>1750.3616963154548</v>
      </c>
      <c r="K63" s="37">
        <f t="shared" si="23"/>
        <v>1790.9641337374794</v>
      </c>
      <c r="L63" s="37">
        <f t="shared" si="23"/>
        <v>1832.5662878430628</v>
      </c>
      <c r="M63" s="37">
        <f t="shared" si="23"/>
        <v>1875.7287585246688</v>
      </c>
      <c r="N63" s="37">
        <f t="shared" si="23"/>
        <v>1919.6288662087888</v>
      </c>
      <c r="O63" s="37">
        <f t="shared" si="23"/>
        <v>1964.4187714296365</v>
      </c>
      <c r="P63" s="37">
        <f t="shared" si="23"/>
        <v>2010.6143833962626</v>
      </c>
      <c r="Q63" s="37">
        <f t="shared" si="23"/>
        <v>2057.9526537732477</v>
      </c>
      <c r="R63" s="37">
        <f t="shared" si="23"/>
        <v>2106.0408085244117</v>
      </c>
      <c r="S63" s="37">
        <f t="shared" si="23"/>
        <v>2151.7453816563248</v>
      </c>
      <c r="T63" s="37">
        <f t="shared" si="23"/>
        <v>2198.0550064113168</v>
      </c>
      <c r="U63" s="37">
        <f t="shared" si="23"/>
        <v>2244.3928664676137</v>
      </c>
      <c r="V63" s="37">
        <f t="shared" si="23"/>
        <v>2290.1119194880821</v>
      </c>
      <c r="W63" s="37">
        <f t="shared" si="23"/>
        <v>2336.6105256160708</v>
      </c>
      <c r="X63" s="37">
        <f t="shared" si="23"/>
        <v>2382.7615225925124</v>
      </c>
      <c r="Y63" s="37">
        <f t="shared" si="23"/>
        <v>2429.2410136306785</v>
      </c>
      <c r="Z63" s="37">
        <f t="shared" si="23"/>
        <v>2475.1139067648037</v>
      </c>
      <c r="AA63" s="37">
        <f t="shared" si="23"/>
        <v>2520.7422317856399</v>
      </c>
      <c r="AB63" s="37">
        <f t="shared" si="23"/>
        <v>2566.5059495908122</v>
      </c>
    </row>
    <row r="64" spans="1:28" x14ac:dyDescent="0.25">
      <c r="A64" s="4" t="s">
        <v>221</v>
      </c>
      <c r="B64" s="37">
        <f t="shared" ref="B64:AB64" si="24">B44*B15*$F$10</f>
        <v>8496.4995130436637</v>
      </c>
      <c r="C64" s="37">
        <f t="shared" si="24"/>
        <v>8794.7505786288693</v>
      </c>
      <c r="D64" s="37">
        <f t="shared" si="24"/>
        <v>9084.1665248239678</v>
      </c>
      <c r="E64" s="37">
        <f t="shared" si="24"/>
        <v>9380.8170376641447</v>
      </c>
      <c r="F64" s="37">
        <f t="shared" si="24"/>
        <v>9684.8428686106381</v>
      </c>
      <c r="G64" s="37">
        <f t="shared" si="24"/>
        <v>9997.4645223014923</v>
      </c>
      <c r="H64" s="37">
        <f t="shared" si="24"/>
        <v>10321.987701850599</v>
      </c>
      <c r="I64" s="37">
        <f t="shared" si="24"/>
        <v>10647.340583677849</v>
      </c>
      <c r="J64" s="37">
        <f t="shared" si="24"/>
        <v>10981.398765638703</v>
      </c>
      <c r="K64" s="37">
        <f t="shared" si="24"/>
        <v>11326.715848798296</v>
      </c>
      <c r="L64" s="37">
        <f t="shared" si="24"/>
        <v>11685.242999406946</v>
      </c>
      <c r="M64" s="37">
        <f t="shared" si="24"/>
        <v>12054.148147712358</v>
      </c>
      <c r="N64" s="37">
        <f t="shared" si="24"/>
        <v>12436.594249320488</v>
      </c>
      <c r="O64" s="37">
        <f t="shared" si="24"/>
        <v>12830.541870891435</v>
      </c>
      <c r="P64" s="37">
        <f t="shared" si="24"/>
        <v>13235.457953897085</v>
      </c>
      <c r="Q64" s="37">
        <f t="shared" si="24"/>
        <v>13651.960391282357</v>
      </c>
      <c r="R64" s="37">
        <f t="shared" si="24"/>
        <v>14077.330362189676</v>
      </c>
      <c r="S64" s="37">
        <f t="shared" si="24"/>
        <v>14494.707888054101</v>
      </c>
      <c r="T64" s="37">
        <f t="shared" si="24"/>
        <v>14919.729840346214</v>
      </c>
      <c r="U64" s="37">
        <f t="shared" si="24"/>
        <v>15351.407348155017</v>
      </c>
      <c r="V64" s="37">
        <f t="shared" si="24"/>
        <v>15787.702126641632</v>
      </c>
      <c r="W64" s="37">
        <f t="shared" si="24"/>
        <v>16226.442219152525</v>
      </c>
      <c r="X64" s="37">
        <f t="shared" si="24"/>
        <v>16669.594282284739</v>
      </c>
      <c r="Y64" s="37">
        <f t="shared" si="24"/>
        <v>17113.804493009531</v>
      </c>
      <c r="Z64" s="37">
        <f t="shared" si="24"/>
        <v>17558.835813311962</v>
      </c>
      <c r="AA64" s="37">
        <f t="shared" si="24"/>
        <v>18000.736350888074</v>
      </c>
      <c r="AB64" s="37">
        <f t="shared" si="24"/>
        <v>18438.999128334774</v>
      </c>
    </row>
    <row r="65" spans="1:28" x14ac:dyDescent="0.25">
      <c r="A65" s="4" t="s">
        <v>222</v>
      </c>
      <c r="B65" s="37">
        <f t="shared" ref="B65:AB65" si="25">B45*B15*$F$11</f>
        <v>71046.183667894671</v>
      </c>
      <c r="C65" s="37">
        <f t="shared" si="25"/>
        <v>72115.216039218983</v>
      </c>
      <c r="D65" s="37">
        <f t="shared" si="25"/>
        <v>73053.968553533967</v>
      </c>
      <c r="E65" s="37">
        <f t="shared" si="25"/>
        <v>74007.262940243454</v>
      </c>
      <c r="F65" s="37">
        <f t="shared" si="25"/>
        <v>74989.729374225484</v>
      </c>
      <c r="G65" s="37">
        <f t="shared" si="25"/>
        <v>76003.779085946851</v>
      </c>
      <c r="H65" s="37">
        <f t="shared" si="25"/>
        <v>77047.578300724606</v>
      </c>
      <c r="I65" s="37">
        <f t="shared" si="25"/>
        <v>78032.252525336356</v>
      </c>
      <c r="J65" s="37">
        <f t="shared" si="25"/>
        <v>79032.438073775425</v>
      </c>
      <c r="K65" s="37">
        <f t="shared" si="25"/>
        <v>80034.542564021729</v>
      </c>
      <c r="L65" s="37">
        <f t="shared" si="25"/>
        <v>81032.333952032233</v>
      </c>
      <c r="M65" s="37">
        <f t="shared" si="25"/>
        <v>82024.704314804258</v>
      </c>
      <c r="N65" s="37">
        <f t="shared" si="25"/>
        <v>82994.958299339341</v>
      </c>
      <c r="O65" s="37">
        <f t="shared" si="25"/>
        <v>83934.020388136749</v>
      </c>
      <c r="P65" s="37">
        <f t="shared" si="25"/>
        <v>84834.280845471949</v>
      </c>
      <c r="Q65" s="37">
        <f t="shared" si="25"/>
        <v>85681.577859664118</v>
      </c>
      <c r="R65" s="37">
        <f t="shared" si="25"/>
        <v>86467.160567055369</v>
      </c>
      <c r="S65" s="37">
        <f t="shared" si="25"/>
        <v>87081.587383775332</v>
      </c>
      <c r="T65" s="37">
        <f t="shared" si="25"/>
        <v>87619.219619350028</v>
      </c>
      <c r="U65" s="37">
        <f t="shared" si="25"/>
        <v>88079.155007413632</v>
      </c>
      <c r="V65" s="37">
        <f t="shared" si="25"/>
        <v>88439.73122757161</v>
      </c>
      <c r="W65" s="37">
        <f t="shared" si="25"/>
        <v>88695.653483599817</v>
      </c>
      <c r="X65" s="37">
        <f t="shared" si="25"/>
        <v>88845.271094372059</v>
      </c>
      <c r="Y65" s="37">
        <f t="shared" si="25"/>
        <v>88936.0103832225</v>
      </c>
      <c r="Z65" s="37">
        <f t="shared" si="25"/>
        <v>88927.22057723059</v>
      </c>
      <c r="AA65" s="37">
        <f t="shared" si="25"/>
        <v>88817.158859549527</v>
      </c>
      <c r="AB65" s="37">
        <f t="shared" si="25"/>
        <v>88611.633012639824</v>
      </c>
    </row>
    <row r="67" spans="1:28" x14ac:dyDescent="0.25">
      <c r="A67" s="4" t="s">
        <v>328</v>
      </c>
    </row>
    <row r="68" spans="1:28" x14ac:dyDescent="0.25">
      <c r="A68" s="4" t="s">
        <v>329</v>
      </c>
      <c r="B68" s="40">
        <f t="shared" ref="B68:AB68" si="26">B48+B49</f>
        <v>477.49305333397388</v>
      </c>
      <c r="C68" s="40">
        <f t="shared" si="26"/>
        <v>474.26120203518303</v>
      </c>
      <c r="D68" s="40">
        <f t="shared" si="26"/>
        <v>470.25260107210852</v>
      </c>
      <c r="E68" s="40">
        <f t="shared" si="26"/>
        <v>466.28774854681433</v>
      </c>
      <c r="F68" s="40">
        <f t="shared" si="26"/>
        <v>462.28553500941928</v>
      </c>
      <c r="G68" s="40">
        <f t="shared" si="26"/>
        <v>458.30334200125583</v>
      </c>
      <c r="H68" s="40">
        <f t="shared" si="26"/>
        <v>454.31592582304791</v>
      </c>
      <c r="I68" s="40">
        <f t="shared" si="26"/>
        <v>449.87848693786447</v>
      </c>
      <c r="J68" s="40">
        <f t="shared" si="26"/>
        <v>445.4292924328837</v>
      </c>
      <c r="K68" s="40">
        <f t="shared" si="26"/>
        <v>440.92097741288751</v>
      </c>
      <c r="L68" s="40">
        <f t="shared" si="26"/>
        <v>436.38442423655209</v>
      </c>
      <c r="M68" s="40">
        <f t="shared" si="26"/>
        <v>431.78866080894159</v>
      </c>
      <c r="N68" s="40">
        <f t="shared" si="26"/>
        <v>427.18845550759784</v>
      </c>
      <c r="O68" s="40">
        <f t="shared" si="26"/>
        <v>422.4763670653582</v>
      </c>
      <c r="P68" s="40">
        <f t="shared" si="26"/>
        <v>417.64542842212188</v>
      </c>
      <c r="Q68" s="40">
        <f t="shared" si="26"/>
        <v>412.78029172803804</v>
      </c>
      <c r="R68" s="40">
        <f t="shared" si="26"/>
        <v>407.82029012903962</v>
      </c>
      <c r="S68" s="40">
        <f t="shared" si="26"/>
        <v>402.37808073598296</v>
      </c>
      <c r="T68" s="40">
        <f t="shared" si="26"/>
        <v>396.9572560808557</v>
      </c>
      <c r="U68" s="40">
        <f t="shared" si="26"/>
        <v>391.60775796417454</v>
      </c>
      <c r="V68" s="40">
        <f t="shared" si="26"/>
        <v>386.37811510597555</v>
      </c>
      <c r="W68" s="40">
        <f t="shared" si="26"/>
        <v>381.26055422383047</v>
      </c>
      <c r="X68" s="40">
        <f t="shared" si="26"/>
        <v>376.38340008921631</v>
      </c>
      <c r="Y68" s="40">
        <f t="shared" si="26"/>
        <v>371.66139714282929</v>
      </c>
      <c r="Z68" s="40">
        <f t="shared" si="26"/>
        <v>367.08617273688219</v>
      </c>
      <c r="AA68" s="40">
        <f t="shared" si="26"/>
        <v>362.65292463835056</v>
      </c>
      <c r="AB68" s="40">
        <f t="shared" si="26"/>
        <v>358.41118782183412</v>
      </c>
    </row>
    <row r="69" spans="1:28" x14ac:dyDescent="0.25">
      <c r="A69" s="4" t="s">
        <v>330</v>
      </c>
      <c r="B69" s="40">
        <f t="shared" ref="B69:AB69" si="27">B50+B51+B52+B53</f>
        <v>484.07349786359259</v>
      </c>
      <c r="C69" s="40">
        <f t="shared" si="27"/>
        <v>480.6971604013994</v>
      </c>
      <c r="D69" s="40">
        <f t="shared" si="27"/>
        <v>476.55471168688172</v>
      </c>
      <c r="E69" s="40">
        <f t="shared" si="27"/>
        <v>472.46138310837807</v>
      </c>
      <c r="F69" s="40">
        <f t="shared" si="27"/>
        <v>468.33229508613078</v>
      </c>
      <c r="G69" s="40">
        <f t="shared" si="27"/>
        <v>464.23657869643148</v>
      </c>
      <c r="H69" s="40">
        <f t="shared" si="27"/>
        <v>460.10793403979181</v>
      </c>
      <c r="I69" s="40">
        <f t="shared" si="27"/>
        <v>455.55295788636403</v>
      </c>
      <c r="J69" s="40">
        <f t="shared" si="27"/>
        <v>450.98988005901407</v>
      </c>
      <c r="K69" s="40">
        <f t="shared" si="27"/>
        <v>446.43741974409221</v>
      </c>
      <c r="L69" s="40">
        <f t="shared" si="27"/>
        <v>441.82790856002202</v>
      </c>
      <c r="M69" s="40">
        <f t="shared" si="27"/>
        <v>437.20225125706668</v>
      </c>
      <c r="N69" s="40">
        <f t="shared" si="27"/>
        <v>432.57224374586599</v>
      </c>
      <c r="O69" s="40">
        <f t="shared" si="27"/>
        <v>427.8686211652759</v>
      </c>
      <c r="P69" s="40">
        <f t="shared" si="27"/>
        <v>423.04995204583383</v>
      </c>
      <c r="Q69" s="40">
        <f t="shared" si="27"/>
        <v>418.24684091204949</v>
      </c>
      <c r="R69" s="40">
        <f t="shared" si="27"/>
        <v>413.3245266002067</v>
      </c>
      <c r="S69" s="40">
        <f t="shared" si="27"/>
        <v>407.9460376733179</v>
      </c>
      <c r="T69" s="40">
        <f t="shared" si="27"/>
        <v>402.63839096923215</v>
      </c>
      <c r="U69" s="40">
        <f t="shared" si="27"/>
        <v>397.35045542273707</v>
      </c>
      <c r="V69" s="40">
        <f t="shared" si="27"/>
        <v>392.22051575229847</v>
      </c>
      <c r="W69" s="40">
        <f t="shared" si="27"/>
        <v>387.1931320145946</v>
      </c>
      <c r="X69" s="40">
        <f t="shared" si="27"/>
        <v>382.37585375611093</v>
      </c>
      <c r="Y69" s="40">
        <f t="shared" si="27"/>
        <v>377.77905241758049</v>
      </c>
      <c r="Z69" s="40">
        <f t="shared" si="27"/>
        <v>373.26641611690309</v>
      </c>
      <c r="AA69" s="40">
        <f t="shared" si="27"/>
        <v>368.91170799794992</v>
      </c>
      <c r="AB69" s="40">
        <f t="shared" si="27"/>
        <v>364.72325632165104</v>
      </c>
    </row>
    <row r="70" spans="1:28" x14ac:dyDescent="0.25">
      <c r="A70" s="4" t="s">
        <v>331</v>
      </c>
      <c r="B70" s="40">
        <f t="shared" ref="B70:AB70" si="28">B54+B55</f>
        <v>481.72584595151841</v>
      </c>
      <c r="C70" s="40">
        <f t="shared" si="28"/>
        <v>478.7564809702497</v>
      </c>
      <c r="D70" s="40">
        <f t="shared" si="28"/>
        <v>475.01809453023935</v>
      </c>
      <c r="E70" s="40">
        <f t="shared" si="28"/>
        <v>471.33179711698932</v>
      </c>
      <c r="F70" s="40">
        <f t="shared" si="28"/>
        <v>467.63468937806442</v>
      </c>
      <c r="G70" s="40">
        <f t="shared" si="28"/>
        <v>463.93160586597224</v>
      </c>
      <c r="H70" s="40">
        <f t="shared" si="28"/>
        <v>460.22031663118128</v>
      </c>
      <c r="I70" s="40">
        <f t="shared" si="28"/>
        <v>456.05005271266816</v>
      </c>
      <c r="J70" s="40">
        <f t="shared" si="28"/>
        <v>451.85760708792623</v>
      </c>
      <c r="K70" s="40">
        <f t="shared" si="28"/>
        <v>447.60017903706637</v>
      </c>
      <c r="L70" s="40">
        <f t="shared" si="28"/>
        <v>443.29762372956395</v>
      </c>
      <c r="M70" s="40">
        <f t="shared" si="28"/>
        <v>438.92336951303491</v>
      </c>
      <c r="N70" s="40">
        <f t="shared" si="28"/>
        <v>434.52963732469186</v>
      </c>
      <c r="O70" s="40">
        <f t="shared" si="28"/>
        <v>430.01009053219366</v>
      </c>
      <c r="P70" s="40">
        <f t="shared" si="28"/>
        <v>425.3426302684453</v>
      </c>
      <c r="Q70" s="40">
        <f t="shared" si="28"/>
        <v>420.62494748485159</v>
      </c>
      <c r="R70" s="40">
        <f t="shared" si="28"/>
        <v>415.78054845044596</v>
      </c>
      <c r="S70" s="40">
        <f t="shared" si="28"/>
        <v>410.44915282679796</v>
      </c>
      <c r="T70" s="40">
        <f t="shared" si="28"/>
        <v>405.1153185233793</v>
      </c>
      <c r="U70" s="40">
        <f t="shared" si="28"/>
        <v>399.82599544503921</v>
      </c>
      <c r="V70" s="40">
        <f t="shared" si="28"/>
        <v>394.65436704798924</v>
      </c>
      <c r="W70" s="40">
        <f t="shared" si="28"/>
        <v>389.55838891613462</v>
      </c>
      <c r="X70" s="40">
        <f t="shared" si="28"/>
        <v>384.73040836335792</v>
      </c>
      <c r="Y70" s="40">
        <f t="shared" si="28"/>
        <v>380.04524895701968</v>
      </c>
      <c r="Z70" s="40">
        <f t="shared" si="28"/>
        <v>375.50322373726783</v>
      </c>
      <c r="AA70" s="40">
        <f t="shared" si="28"/>
        <v>371.1048405158856</v>
      </c>
      <c r="AB70" s="40">
        <f t="shared" si="28"/>
        <v>366.90298537084823</v>
      </c>
    </row>
    <row r="71" spans="1:28" x14ac:dyDescent="0.25">
      <c r="A71" s="4" t="s">
        <v>332</v>
      </c>
      <c r="B71" s="40">
        <f t="shared" ref="B71:AB71" si="29">B58+B59</f>
        <v>81758.40172482768</v>
      </c>
      <c r="C71" s="40">
        <f t="shared" si="29"/>
        <v>83129.559105950786</v>
      </c>
      <c r="D71" s="40">
        <f t="shared" si="29"/>
        <v>84356.423918015324</v>
      </c>
      <c r="E71" s="40">
        <f t="shared" si="29"/>
        <v>85604.740366374361</v>
      </c>
      <c r="F71" s="40">
        <f t="shared" si="29"/>
        <v>86890.06329989442</v>
      </c>
      <c r="G71" s="40">
        <f t="shared" si="29"/>
        <v>88215.94882417543</v>
      </c>
      <c r="H71" s="40">
        <f t="shared" si="29"/>
        <v>89583.264837505587</v>
      </c>
      <c r="I71" s="40">
        <f t="shared" si="29"/>
        <v>90889.359163073372</v>
      </c>
      <c r="J71" s="40">
        <f t="shared" si="29"/>
        <v>92219.273693339041</v>
      </c>
      <c r="K71" s="40">
        <f t="shared" si="29"/>
        <v>93560.766130484466</v>
      </c>
      <c r="L71" s="40">
        <f t="shared" si="29"/>
        <v>94908.926296964346</v>
      </c>
      <c r="M71" s="40">
        <f t="shared" si="29"/>
        <v>96260.220205712496</v>
      </c>
      <c r="N71" s="40">
        <f t="shared" si="29"/>
        <v>97599.68778570334</v>
      </c>
      <c r="O71" s="40">
        <f t="shared" si="29"/>
        <v>98916.037747403636</v>
      </c>
      <c r="P71" s="40">
        <f t="shared" si="29"/>
        <v>100200.85427597482</v>
      </c>
      <c r="Q71" s="40">
        <f t="shared" si="29"/>
        <v>101439.67444594148</v>
      </c>
      <c r="R71" s="40">
        <f t="shared" si="29"/>
        <v>102621.06282287749</v>
      </c>
      <c r="S71" s="40">
        <f t="shared" si="29"/>
        <v>103615.85996593011</v>
      </c>
      <c r="T71" s="40">
        <f t="shared" si="29"/>
        <v>104536.27542402322</v>
      </c>
      <c r="U71" s="40">
        <f t="shared" si="29"/>
        <v>105380.48693744166</v>
      </c>
      <c r="V71" s="40">
        <f t="shared" si="29"/>
        <v>106124.027037102</v>
      </c>
      <c r="W71" s="40">
        <f t="shared" si="29"/>
        <v>106759.42907462524</v>
      </c>
      <c r="X71" s="40">
        <f t="shared" si="29"/>
        <v>107286.6322055558</v>
      </c>
      <c r="Y71" s="40">
        <f t="shared" si="29"/>
        <v>107752.73866435398</v>
      </c>
      <c r="Z71" s="40">
        <f t="shared" si="29"/>
        <v>108114.7809266104</v>
      </c>
      <c r="AA71" s="40">
        <f t="shared" si="29"/>
        <v>108367.56140259019</v>
      </c>
      <c r="AB71" s="40">
        <f t="shared" si="29"/>
        <v>108516.73914791949</v>
      </c>
    </row>
    <row r="72" spans="1:28" x14ac:dyDescent="0.25">
      <c r="A72" s="4" t="s">
        <v>333</v>
      </c>
      <c r="B72" s="40">
        <f t="shared" ref="B72:AB72" si="30">B60+B61+B62+B63</f>
        <v>80406.814753015817</v>
      </c>
      <c r="C72" s="40">
        <f t="shared" si="30"/>
        <v>81768.595545231467</v>
      </c>
      <c r="D72" s="40">
        <f t="shared" si="30"/>
        <v>82990.574415339564</v>
      </c>
      <c r="E72" s="40">
        <f t="shared" si="30"/>
        <v>84236.348833384647</v>
      </c>
      <c r="F72" s="40">
        <f t="shared" si="30"/>
        <v>85522.391427976356</v>
      </c>
      <c r="G72" s="40">
        <f t="shared" si="30"/>
        <v>86851.572601643973</v>
      </c>
      <c r="H72" s="40">
        <f t="shared" si="30"/>
        <v>88225.108843625829</v>
      </c>
      <c r="I72" s="40">
        <f t="shared" si="30"/>
        <v>89542.504634772471</v>
      </c>
      <c r="J72" s="40">
        <f t="shared" si="30"/>
        <v>90886.125629449656</v>
      </c>
      <c r="K72" s="40">
        <f t="shared" si="30"/>
        <v>92243.525927611438</v>
      </c>
      <c r="L72" s="40">
        <f t="shared" si="30"/>
        <v>93611.359755000318</v>
      </c>
      <c r="M72" s="40">
        <f t="shared" si="30"/>
        <v>94985.464567804593</v>
      </c>
      <c r="N72" s="40">
        <f t="shared" si="30"/>
        <v>96351.855268503627</v>
      </c>
      <c r="O72" s="40">
        <f t="shared" si="30"/>
        <v>97698.804678525994</v>
      </c>
      <c r="P72" s="40">
        <f t="shared" si="30"/>
        <v>99018.357088558871</v>
      </c>
      <c r="Q72" s="40">
        <f t="shared" si="30"/>
        <v>100295.97969924963</v>
      </c>
      <c r="R72" s="40">
        <f t="shared" si="30"/>
        <v>101520.71289894848</v>
      </c>
      <c r="S72" s="40">
        <f t="shared" si="30"/>
        <v>102564.75877953313</v>
      </c>
      <c r="T72" s="40">
        <f t="shared" si="30"/>
        <v>103538.87205147487</v>
      </c>
      <c r="U72" s="40">
        <f t="shared" si="30"/>
        <v>104440.63495670642</v>
      </c>
      <c r="V72" s="40">
        <f t="shared" si="30"/>
        <v>105247.32138253195</v>
      </c>
      <c r="W72" s="40">
        <f t="shared" si="30"/>
        <v>105950.99817284835</v>
      </c>
      <c r="X72" s="40">
        <f t="shared" si="30"/>
        <v>106551.9829323935</v>
      </c>
      <c r="Y72" s="40">
        <f t="shared" si="30"/>
        <v>107094.17525035469</v>
      </c>
      <c r="Z72" s="40">
        <f t="shared" si="30"/>
        <v>107537.30436764468</v>
      </c>
      <c r="AA72" s="40">
        <f t="shared" si="30"/>
        <v>107876.46720344128</v>
      </c>
      <c r="AB72" s="40">
        <f t="shared" si="30"/>
        <v>108116.17088531783</v>
      </c>
    </row>
    <row r="73" spans="1:28" x14ac:dyDescent="0.25">
      <c r="A73" s="4" t="s">
        <v>334</v>
      </c>
      <c r="B73" s="40">
        <f t="shared" ref="B73:AB73" si="31">B64+B65</f>
        <v>79542.683180938329</v>
      </c>
      <c r="C73" s="40">
        <f t="shared" si="31"/>
        <v>80909.966617847851</v>
      </c>
      <c r="D73" s="40">
        <f t="shared" si="31"/>
        <v>82138.13507835794</v>
      </c>
      <c r="E73" s="40">
        <f t="shared" si="31"/>
        <v>83388.079977907604</v>
      </c>
      <c r="F73" s="40">
        <f t="shared" si="31"/>
        <v>84674.572242836119</v>
      </c>
      <c r="G73" s="40">
        <f t="shared" si="31"/>
        <v>86001.243608248347</v>
      </c>
      <c r="H73" s="40">
        <f t="shared" si="31"/>
        <v>87369.5660025752</v>
      </c>
      <c r="I73" s="40">
        <f t="shared" si="31"/>
        <v>88679.593109014211</v>
      </c>
      <c r="J73" s="40">
        <f t="shared" si="31"/>
        <v>90013.836839414129</v>
      </c>
      <c r="K73" s="40">
        <f t="shared" si="31"/>
        <v>91361.258412820025</v>
      </c>
      <c r="L73" s="40">
        <f t="shared" si="31"/>
        <v>92717.576951439172</v>
      </c>
      <c r="M73" s="40">
        <f t="shared" si="31"/>
        <v>94078.852462516617</v>
      </c>
      <c r="N73" s="40">
        <f t="shared" si="31"/>
        <v>95431.552548659834</v>
      </c>
      <c r="O73" s="40">
        <f t="shared" si="31"/>
        <v>96764.562259028186</v>
      </c>
      <c r="P73" s="40">
        <f t="shared" si="31"/>
        <v>98069.738799369035</v>
      </c>
      <c r="Q73" s="40">
        <f t="shared" si="31"/>
        <v>99333.538250946469</v>
      </c>
      <c r="R73" s="40">
        <f t="shared" si="31"/>
        <v>100544.49092924505</v>
      </c>
      <c r="S73" s="40">
        <f t="shared" si="31"/>
        <v>101576.29527182944</v>
      </c>
      <c r="T73" s="40">
        <f t="shared" si="31"/>
        <v>102538.94945969625</v>
      </c>
      <c r="U73" s="40">
        <f t="shared" si="31"/>
        <v>103430.56235556865</v>
      </c>
      <c r="V73" s="40">
        <f t="shared" si="31"/>
        <v>104227.43335421324</v>
      </c>
      <c r="W73" s="40">
        <f t="shared" si="31"/>
        <v>104922.09570275234</v>
      </c>
      <c r="X73" s="40">
        <f t="shared" si="31"/>
        <v>105514.8653766568</v>
      </c>
      <c r="Y73" s="40">
        <f t="shared" si="31"/>
        <v>106049.81487623203</v>
      </c>
      <c r="Z73" s="40">
        <f t="shared" si="31"/>
        <v>106486.05639054255</v>
      </c>
      <c r="AA73" s="40">
        <f t="shared" si="31"/>
        <v>106817.89521043759</v>
      </c>
      <c r="AB73" s="40">
        <f t="shared" si="31"/>
        <v>107050.6321409746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264.06439516916373</v>
      </c>
      <c r="C2" s="37">
        <f>BDbDT_calcs!C48</f>
        <v>262.03157060307745</v>
      </c>
      <c r="D2" s="37">
        <f>BDbDT_calcs!D48</f>
        <v>259.55752570288286</v>
      </c>
      <c r="E2" s="37">
        <f>BDbDT_calcs!E48</f>
        <v>257.12415061442294</v>
      </c>
      <c r="F2" s="37">
        <f>BDbDT_calcs!F48</f>
        <v>254.67710250655344</v>
      </c>
      <c r="G2" s="37">
        <f>BDbDT_calcs!G48</f>
        <v>252.21672421528089</v>
      </c>
      <c r="H2" s="37">
        <f>BDbDT_calcs!H48</f>
        <v>249.74464064903086</v>
      </c>
      <c r="I2" s="37">
        <f>BDbDT_calcs!I48</f>
        <v>247.14105497555772</v>
      </c>
      <c r="J2" s="37">
        <f>BDbDT_calcs!J48</f>
        <v>244.39783291495678</v>
      </c>
      <c r="K2" s="37">
        <f>BDbDT_calcs!K48</f>
        <v>241.72816807534352</v>
      </c>
      <c r="L2" s="37">
        <f>BDbDT_calcs!L48</f>
        <v>238.93802204846972</v>
      </c>
      <c r="M2" s="37">
        <f>BDbDT_calcs!M48</f>
        <v>236.22080157168102</v>
      </c>
      <c r="N2" s="37">
        <f>BDbDT_calcs!N48</f>
        <v>233.60312021892403</v>
      </c>
      <c r="O2" s="37">
        <f>BDbDT_calcs!O48</f>
        <v>230.69841736412553</v>
      </c>
      <c r="P2" s="37">
        <f>BDbDT_calcs!P48</f>
        <v>227.91925873755517</v>
      </c>
      <c r="Q2" s="37">
        <f>BDbDT_calcs!Q48</f>
        <v>225.0163407534626</v>
      </c>
      <c r="R2" s="37">
        <f>BDbDT_calcs!R48</f>
        <v>222.12547659910209</v>
      </c>
      <c r="S2" s="37">
        <f>BDbDT_calcs!S48</f>
        <v>218.93493508797954</v>
      </c>
      <c r="T2" s="37">
        <f>BDbDT_calcs!T48</f>
        <v>215.78695861778775</v>
      </c>
      <c r="U2" s="37">
        <f>BDbDT_calcs!U48</f>
        <v>212.67832740600034</v>
      </c>
      <c r="V2" s="37">
        <f>BDbDT_calcs!V48</f>
        <v>209.60523456201915</v>
      </c>
      <c r="W2" s="37">
        <f>BDbDT_calcs!W48</f>
        <v>206.59097185639851</v>
      </c>
      <c r="X2" s="37">
        <f>BDbDT_calcs!X48</f>
        <v>203.82236588943624</v>
      </c>
      <c r="Y2" s="37">
        <f>BDbDT_calcs!Y48</f>
        <v>201.07822119525537</v>
      </c>
      <c r="Z2" s="37">
        <f>BDbDT_calcs!Z48</f>
        <v>198.49118783833995</v>
      </c>
      <c r="AA2" s="37">
        <f>BDbDT_calcs!AA48</f>
        <v>195.94887840533835</v>
      </c>
      <c r="AB2" s="37">
        <f>BDbDT_calcs!AB48</f>
        <v>193.42096298362807</v>
      </c>
    </row>
    <row r="3" spans="1:28" x14ac:dyDescent="0.25">
      <c r="A3" s="4" t="s">
        <v>216</v>
      </c>
      <c r="B3" s="37">
        <f>BDbDT_calcs!B49</f>
        <v>213.42865816481017</v>
      </c>
      <c r="C3" s="37">
        <f>BDbDT_calcs!C49</f>
        <v>212.22963143210555</v>
      </c>
      <c r="D3" s="37">
        <f>BDbDT_calcs!D49</f>
        <v>210.69507536922569</v>
      </c>
      <c r="E3" s="37">
        <f>BDbDT_calcs!E49</f>
        <v>209.16359793239141</v>
      </c>
      <c r="F3" s="37">
        <f>BDbDT_calcs!F49</f>
        <v>207.60843250286587</v>
      </c>
      <c r="G3" s="37">
        <f>BDbDT_calcs!G49</f>
        <v>206.08661778597491</v>
      </c>
      <c r="H3" s="37">
        <f>BDbDT_calcs!H49</f>
        <v>204.57128517401708</v>
      </c>
      <c r="I3" s="37">
        <f>BDbDT_calcs!I49</f>
        <v>202.73743196230674</v>
      </c>
      <c r="J3" s="37">
        <f>BDbDT_calcs!J49</f>
        <v>201.03145951792695</v>
      </c>
      <c r="K3" s="37">
        <f>BDbDT_calcs!K49</f>
        <v>199.19280933754402</v>
      </c>
      <c r="L3" s="37">
        <f>BDbDT_calcs!L49</f>
        <v>197.44640218808237</v>
      </c>
      <c r="M3" s="37">
        <f>BDbDT_calcs!M49</f>
        <v>195.56785923726059</v>
      </c>
      <c r="N3" s="37">
        <f>BDbDT_calcs!N49</f>
        <v>193.5853352886738</v>
      </c>
      <c r="O3" s="37">
        <f>BDbDT_calcs!O49</f>
        <v>191.77794970123264</v>
      </c>
      <c r="P3" s="37">
        <f>BDbDT_calcs!P49</f>
        <v>189.72616968456668</v>
      </c>
      <c r="Q3" s="37">
        <f>BDbDT_calcs!Q49</f>
        <v>187.76395097457541</v>
      </c>
      <c r="R3" s="37">
        <f>BDbDT_calcs!R49</f>
        <v>185.69481352993753</v>
      </c>
      <c r="S3" s="37">
        <f>BDbDT_calcs!S49</f>
        <v>183.44314564800345</v>
      </c>
      <c r="T3" s="37">
        <f>BDbDT_calcs!T49</f>
        <v>181.17029746306798</v>
      </c>
      <c r="U3" s="37">
        <f>BDbDT_calcs!U49</f>
        <v>178.92943055817418</v>
      </c>
      <c r="V3" s="37">
        <f>BDbDT_calcs!V49</f>
        <v>176.77288054395643</v>
      </c>
      <c r="W3" s="37">
        <f>BDbDT_calcs!W49</f>
        <v>174.66958236743193</v>
      </c>
      <c r="X3" s="37">
        <f>BDbDT_calcs!X49</f>
        <v>172.56103419978007</v>
      </c>
      <c r="Y3" s="37">
        <f>BDbDT_calcs!Y49</f>
        <v>170.58317594757395</v>
      </c>
      <c r="Z3" s="37">
        <f>BDbDT_calcs!Z49</f>
        <v>168.59498489854221</v>
      </c>
      <c r="AA3" s="37">
        <f>BDbDT_calcs!AA49</f>
        <v>166.70404623301218</v>
      </c>
      <c r="AB3" s="37">
        <f>BDbDT_calcs!AB49</f>
        <v>164.99022483820602</v>
      </c>
    </row>
    <row r="4" spans="1:28" x14ac:dyDescent="0.25">
      <c r="A4" s="4" t="s">
        <v>217</v>
      </c>
      <c r="B4" s="37">
        <f>BDbDT_calcs!B50</f>
        <v>257.9558634337215</v>
      </c>
      <c r="C4" s="37">
        <f>BDbDT_calcs!C50</f>
        <v>256.21527290681058</v>
      </c>
      <c r="D4" s="37">
        <f>BDbDT_calcs!D50</f>
        <v>254.09628751573263</v>
      </c>
      <c r="E4" s="37">
        <f>BDbDT_calcs!E50</f>
        <v>251.96394707381302</v>
      </c>
      <c r="F4" s="37">
        <f>BDbDT_calcs!F50</f>
        <v>249.84610746875711</v>
      </c>
      <c r="G4" s="37">
        <f>BDbDT_calcs!G50</f>
        <v>247.76909833600283</v>
      </c>
      <c r="H4" s="37">
        <f>BDbDT_calcs!H50</f>
        <v>245.63056290050926</v>
      </c>
      <c r="I4" s="37">
        <f>BDbDT_calcs!I50</f>
        <v>243.30565377519878</v>
      </c>
      <c r="J4" s="37">
        <f>BDbDT_calcs!J50</f>
        <v>240.90414273335037</v>
      </c>
      <c r="K4" s="37">
        <f>BDbDT_calcs!K50</f>
        <v>238.44345351834045</v>
      </c>
      <c r="L4" s="37">
        <f>BDbDT_calcs!L50</f>
        <v>235.89805568546191</v>
      </c>
      <c r="M4" s="37">
        <f>BDbDT_calcs!M50</f>
        <v>233.26804701783917</v>
      </c>
      <c r="N4" s="37">
        <f>BDbDT_calcs!N50</f>
        <v>230.55318103277108</v>
      </c>
      <c r="O4" s="37">
        <f>BDbDT_calcs!O50</f>
        <v>227.67605398526703</v>
      </c>
      <c r="P4" s="37">
        <f>BDbDT_calcs!P50</f>
        <v>224.73875774871399</v>
      </c>
      <c r="Q4" s="37">
        <f>BDbDT_calcs!Q50</f>
        <v>221.71423170131769</v>
      </c>
      <c r="R4" s="37">
        <f>BDbDT_calcs!R50</f>
        <v>218.60078201346411</v>
      </c>
      <c r="S4" s="37">
        <f>BDbDT_calcs!S50</f>
        <v>215.19726540506295</v>
      </c>
      <c r="T4" s="37">
        <f>BDbDT_calcs!T50</f>
        <v>211.83642597259282</v>
      </c>
      <c r="U4" s="37">
        <f>BDbDT_calcs!U50</f>
        <v>208.51498043812214</v>
      </c>
      <c r="V4" s="37">
        <f>BDbDT_calcs!V50</f>
        <v>205.25455595978033</v>
      </c>
      <c r="W4" s="37">
        <f>BDbDT_calcs!W50</f>
        <v>202.10194414414218</v>
      </c>
      <c r="X4" s="37">
        <f>BDbDT_calcs!X50</f>
        <v>199.07842573210536</v>
      </c>
      <c r="Y4" s="37">
        <f>BDbDT_calcs!Y50</f>
        <v>196.13020378769895</v>
      </c>
      <c r="Z4" s="37">
        <f>BDbDT_calcs!Z50</f>
        <v>193.27911268390022</v>
      </c>
      <c r="AA4" s="37">
        <f>BDbDT_calcs!AA50</f>
        <v>190.57240956452512</v>
      </c>
      <c r="AB4" s="37">
        <f>BDbDT_calcs!AB50</f>
        <v>187.95606864095069</v>
      </c>
    </row>
    <row r="5" spans="1:28" x14ac:dyDescent="0.25">
      <c r="A5" s="4" t="s">
        <v>218</v>
      </c>
      <c r="B5" s="37">
        <f>BDbDT_calcs!B51</f>
        <v>150.90164709288308</v>
      </c>
      <c r="C5" s="37">
        <f>BDbDT_calcs!C51</f>
        <v>148.84633227679518</v>
      </c>
      <c r="D5" s="37">
        <f>BDbDT_calcs!D51</f>
        <v>146.59020062147678</v>
      </c>
      <c r="E5" s="37">
        <f>BDbDT_calcs!E51</f>
        <v>144.29563755238283</v>
      </c>
      <c r="F5" s="37">
        <f>BDbDT_calcs!F51</f>
        <v>141.96342226610156</v>
      </c>
      <c r="G5" s="37">
        <f>BDbDT_calcs!G51</f>
        <v>139.65759079606664</v>
      </c>
      <c r="H5" s="37">
        <f>BDbDT_calcs!H51</f>
        <v>137.28245688841486</v>
      </c>
      <c r="I5" s="37">
        <f>BDbDT_calcs!I51</f>
        <v>134.82447672769888</v>
      </c>
      <c r="J5" s="37">
        <f>BDbDT_calcs!J51</f>
        <v>132.40036513769385</v>
      </c>
      <c r="K5" s="37">
        <f>BDbDT_calcs!K51</f>
        <v>130.00451607725475</v>
      </c>
      <c r="L5" s="37">
        <f>BDbDT_calcs!L51</f>
        <v>127.69984560724313</v>
      </c>
      <c r="M5" s="37">
        <f>BDbDT_calcs!M51</f>
        <v>125.51706724984682</v>
      </c>
      <c r="N5" s="37">
        <f>BDbDT_calcs!N51</f>
        <v>123.35988420430014</v>
      </c>
      <c r="O5" s="37">
        <f>BDbDT_calcs!O51</f>
        <v>121.32248261906983</v>
      </c>
      <c r="P5" s="37">
        <f>BDbDT_calcs!P51</f>
        <v>119.3087528951107</v>
      </c>
      <c r="Q5" s="37">
        <f>BDbDT_calcs!Q51</f>
        <v>117.38077214873412</v>
      </c>
      <c r="R5" s="37">
        <f>BDbDT_calcs!R51</f>
        <v>115.50558852683031</v>
      </c>
      <c r="S5" s="37">
        <f>BDbDT_calcs!S51</f>
        <v>113.51820953831132</v>
      </c>
      <c r="T5" s="37">
        <f>BDbDT_calcs!T51</f>
        <v>111.58543099785818</v>
      </c>
      <c r="U5" s="37">
        <f>BDbDT_calcs!U51</f>
        <v>109.67386510346596</v>
      </c>
      <c r="V5" s="37">
        <f>BDbDT_calcs!V51</f>
        <v>107.84422788168965</v>
      </c>
      <c r="W5" s="37">
        <f>BDbDT_calcs!W51</f>
        <v>106.000026248477</v>
      </c>
      <c r="X5" s="37">
        <f>BDbDT_calcs!X51</f>
        <v>104.23327684820424</v>
      </c>
      <c r="Y5" s="37">
        <f>BDbDT_calcs!Y51</f>
        <v>102.57363536937845</v>
      </c>
      <c r="Z5" s="37">
        <f>BDbDT_calcs!Z51</f>
        <v>100.92517783176808</v>
      </c>
      <c r="AA5" s="37">
        <f>BDbDT_calcs!AA51</f>
        <v>99.348680998193856</v>
      </c>
      <c r="AB5" s="37">
        <f>BDbDT_calcs!AB51</f>
        <v>97.77989883369365</v>
      </c>
    </row>
    <row r="6" spans="1:28" x14ac:dyDescent="0.25">
      <c r="A6" s="4" t="s">
        <v>219</v>
      </c>
      <c r="B6" s="37">
        <f>BDbDT_calcs!B52</f>
        <v>41.902549007453594</v>
      </c>
      <c r="C6" s="37">
        <f>BDbDT_calcs!C52</f>
        <v>42.042032475884874</v>
      </c>
      <c r="D6" s="37">
        <f>BDbDT_calcs!D52</f>
        <v>42.11433185166841</v>
      </c>
      <c r="E6" s="37">
        <f>BDbDT_calcs!E52</f>
        <v>42.240133252823242</v>
      </c>
      <c r="F6" s="37">
        <f>BDbDT_calcs!F52</f>
        <v>42.371233029273064</v>
      </c>
      <c r="G6" s="37">
        <f>BDbDT_calcs!G52</f>
        <v>42.507874486145823</v>
      </c>
      <c r="H6" s="37">
        <f>BDbDT_calcs!H52</f>
        <v>42.65053649179869</v>
      </c>
      <c r="I6" s="37">
        <f>BDbDT_calcs!I52</f>
        <v>42.75465839817722</v>
      </c>
      <c r="J6" s="37">
        <f>BDbDT_calcs!J52</f>
        <v>42.866010952191523</v>
      </c>
      <c r="K6" s="37">
        <f>BDbDT_calcs!K52</f>
        <v>43.079303912329507</v>
      </c>
      <c r="L6" s="37">
        <f>BDbDT_calcs!L52</f>
        <v>43.202488108497306</v>
      </c>
      <c r="M6" s="37">
        <f>BDbDT_calcs!M52</f>
        <v>43.331966946991685</v>
      </c>
      <c r="N6" s="37">
        <f>BDbDT_calcs!N52</f>
        <v>43.467887385683333</v>
      </c>
      <c r="O6" s="37">
        <f>BDbDT_calcs!O52</f>
        <v>43.61040243960047</v>
      </c>
      <c r="P6" s="37">
        <f>BDbDT_calcs!P52</f>
        <v>43.711893981637246</v>
      </c>
      <c r="Q6" s="37">
        <f>BDbDT_calcs!Q52</f>
        <v>43.867856946213905</v>
      </c>
      <c r="R6" s="37">
        <f>BDbDT_calcs!R52</f>
        <v>43.935187744140791</v>
      </c>
      <c r="S6" s="37">
        <f>BDbDT_calcs!S52</f>
        <v>44.005635093884059</v>
      </c>
      <c r="T6" s="37">
        <f>BDbDT_calcs!T52</f>
        <v>44.129908256913609</v>
      </c>
      <c r="U6" s="37">
        <f>BDbDT_calcs!U52</f>
        <v>44.165167548504947</v>
      </c>
      <c r="V6" s="37">
        <f>BDbDT_calcs!V52</f>
        <v>44.253438327549112</v>
      </c>
      <c r="W6" s="37">
        <f>BDbDT_calcs!W52</f>
        <v>44.346658395935684</v>
      </c>
      <c r="X6" s="37">
        <f>BDbDT_calcs!X52</f>
        <v>44.396963425951853</v>
      </c>
      <c r="Y6" s="37">
        <f>BDbDT_calcs!Y52</f>
        <v>44.545832128154238</v>
      </c>
      <c r="Z6" s="37">
        <f>BDbDT_calcs!Z52</f>
        <v>44.60366007034925</v>
      </c>
      <c r="AA6" s="37">
        <f>BDbDT_calcs!AA52</f>
        <v>44.664422216523974</v>
      </c>
      <c r="AB6" s="37">
        <f>BDbDT_calcs!AB52</f>
        <v>44.727537350315828</v>
      </c>
    </row>
    <row r="7" spans="1:28" x14ac:dyDescent="0.25">
      <c r="A7" s="4" t="s">
        <v>220</v>
      </c>
      <c r="B7" s="37">
        <f>BDbDT_calcs!B53</f>
        <v>33.313438329534421</v>
      </c>
      <c r="C7" s="37">
        <f>BDbDT_calcs!C53</f>
        <v>33.593522741908743</v>
      </c>
      <c r="D7" s="37">
        <f>BDbDT_calcs!D53</f>
        <v>33.753891698003926</v>
      </c>
      <c r="E7" s="37">
        <f>BDbDT_calcs!E53</f>
        <v>33.961665229358985</v>
      </c>
      <c r="F7" s="37">
        <f>BDbDT_calcs!F53</f>
        <v>34.151532321999049</v>
      </c>
      <c r="G7" s="37">
        <f>BDbDT_calcs!G53</f>
        <v>34.302015078216172</v>
      </c>
      <c r="H7" s="37">
        <f>BDbDT_calcs!H53</f>
        <v>34.54437775906905</v>
      </c>
      <c r="I7" s="37">
        <f>BDbDT_calcs!I53</f>
        <v>34.668168985289114</v>
      </c>
      <c r="J7" s="37">
        <f>BDbDT_calcs!J53</f>
        <v>34.819361235778352</v>
      </c>
      <c r="K7" s="37">
        <f>BDbDT_calcs!K53</f>
        <v>34.910146236167506</v>
      </c>
      <c r="L7" s="37">
        <f>BDbDT_calcs!L53</f>
        <v>35.027519158819679</v>
      </c>
      <c r="M7" s="37">
        <f>BDbDT_calcs!M53</f>
        <v>35.085170042389002</v>
      </c>
      <c r="N7" s="37">
        <f>BDbDT_calcs!N53</f>
        <v>35.19129112311137</v>
      </c>
      <c r="O7" s="37">
        <f>BDbDT_calcs!O53</f>
        <v>35.259682121338514</v>
      </c>
      <c r="P7" s="37">
        <f>BDbDT_calcs!P53</f>
        <v>35.290547420371922</v>
      </c>
      <c r="Q7" s="37">
        <f>BDbDT_calcs!Q53</f>
        <v>35.283980115783798</v>
      </c>
      <c r="R7" s="37">
        <f>BDbDT_calcs!R53</f>
        <v>35.282968315771534</v>
      </c>
      <c r="S7" s="37">
        <f>BDbDT_calcs!S53</f>
        <v>35.22492763605959</v>
      </c>
      <c r="T7" s="37">
        <f>BDbDT_calcs!T53</f>
        <v>35.086625741867529</v>
      </c>
      <c r="U7" s="37">
        <f>BDbDT_calcs!U53</f>
        <v>34.996442332644072</v>
      </c>
      <c r="V7" s="37">
        <f>BDbDT_calcs!V53</f>
        <v>34.868293583279375</v>
      </c>
      <c r="W7" s="37">
        <f>BDbDT_calcs!W53</f>
        <v>34.744503226039761</v>
      </c>
      <c r="X7" s="37">
        <f>BDbDT_calcs!X53</f>
        <v>34.667187749849454</v>
      </c>
      <c r="Y7" s="37">
        <f>BDbDT_calcs!Y53</f>
        <v>34.529381132348867</v>
      </c>
      <c r="Z7" s="37">
        <f>BDbDT_calcs!Z53</f>
        <v>34.458465530885604</v>
      </c>
      <c r="AA7" s="37">
        <f>BDbDT_calcs!AA53</f>
        <v>34.32619521870695</v>
      </c>
      <c r="AB7" s="37">
        <f>BDbDT_calcs!AB53</f>
        <v>34.259751496690868</v>
      </c>
    </row>
    <row r="8" spans="1:28" x14ac:dyDescent="0.25">
      <c r="A8" s="4" t="s">
        <v>221</v>
      </c>
      <c r="B8" s="37">
        <f>BDbDT_calcs!B54</f>
        <v>130.49324095166025</v>
      </c>
      <c r="C8" s="37">
        <f>BDbDT_calcs!C54</f>
        <v>131.01650766011051</v>
      </c>
      <c r="D8" s="37">
        <f>BDbDT_calcs!D54</f>
        <v>131.39805702823429</v>
      </c>
      <c r="E8" s="37">
        <f>BDbDT_calcs!E54</f>
        <v>131.82855473111715</v>
      </c>
      <c r="F8" s="37">
        <f>BDbDT_calcs!F54</f>
        <v>132.37688324733858</v>
      </c>
      <c r="G8" s="37">
        <f>BDbDT_calcs!G54</f>
        <v>132.8070986774477</v>
      </c>
      <c r="H8" s="37">
        <f>BDbDT_calcs!H54</f>
        <v>133.22239705871769</v>
      </c>
      <c r="I8" s="37">
        <f>BDbDT_calcs!I54</f>
        <v>133.48376280054239</v>
      </c>
      <c r="J8" s="37">
        <f>BDbDT_calcs!J54</f>
        <v>133.70078686511451</v>
      </c>
      <c r="K8" s="37">
        <f>BDbDT_calcs!K54</f>
        <v>133.86959929983777</v>
      </c>
      <c r="L8" s="37">
        <f>BDbDT_calcs!L54</f>
        <v>133.95763505842658</v>
      </c>
      <c r="M8" s="37">
        <f>BDbDT_calcs!M54</f>
        <v>133.96580432964763</v>
      </c>
      <c r="N8" s="37">
        <f>BDbDT_calcs!N54</f>
        <v>133.89480622733416</v>
      </c>
      <c r="O8" s="37">
        <f>BDbDT_calcs!O54</f>
        <v>133.74525955763863</v>
      </c>
      <c r="P8" s="37">
        <f>BDbDT_calcs!P54</f>
        <v>133.41758959741114</v>
      </c>
      <c r="Q8" s="37">
        <f>BDbDT_calcs!Q54</f>
        <v>133.01189776017901</v>
      </c>
      <c r="R8" s="37">
        <f>BDbDT_calcs!R54</f>
        <v>132.42810429402863</v>
      </c>
      <c r="S8" s="37">
        <f>BDbDT_calcs!S54</f>
        <v>131.7121046163669</v>
      </c>
      <c r="T8" s="37">
        <f>BDbDT_calcs!T54</f>
        <v>130.88529496189673</v>
      </c>
      <c r="U8" s="37">
        <f>BDbDT_calcs!U54</f>
        <v>129.94680894233031</v>
      </c>
      <c r="V8" s="37">
        <f>BDbDT_calcs!V54</f>
        <v>129.0275683259114</v>
      </c>
      <c r="W8" s="37">
        <f>BDbDT_calcs!W54</f>
        <v>127.96029294702151</v>
      </c>
      <c r="X8" s="37">
        <f>BDbDT_calcs!X54</f>
        <v>127.07345070903688</v>
      </c>
      <c r="Y8" s="37">
        <f>BDbDT_calcs!Y54</f>
        <v>126.16728806749958</v>
      </c>
      <c r="Z8" s="37">
        <f>BDbDT_calcs!Z54</f>
        <v>125.27292573589354</v>
      </c>
      <c r="AA8" s="37">
        <f>BDbDT_calcs!AA54</f>
        <v>124.42139098164908</v>
      </c>
      <c r="AB8" s="37">
        <f>BDbDT_calcs!AB54</f>
        <v>123.64369337934926</v>
      </c>
    </row>
    <row r="9" spans="1:28" x14ac:dyDescent="0.25">
      <c r="A9" s="4" t="s">
        <v>222</v>
      </c>
      <c r="B9" s="37">
        <f>BDbDT_calcs!B55</f>
        <v>351.23260499985815</v>
      </c>
      <c r="C9" s="37">
        <f>BDbDT_calcs!C55</f>
        <v>347.73997331013919</v>
      </c>
      <c r="D9" s="37">
        <f>BDbDT_calcs!D55</f>
        <v>343.62003750200506</v>
      </c>
      <c r="E9" s="37">
        <f>BDbDT_calcs!E55</f>
        <v>339.50324238587217</v>
      </c>
      <c r="F9" s="37">
        <f>BDbDT_calcs!F55</f>
        <v>335.25780613072584</v>
      </c>
      <c r="G9" s="37">
        <f>BDbDT_calcs!G55</f>
        <v>331.12450718852455</v>
      </c>
      <c r="H9" s="37">
        <f>BDbDT_calcs!H55</f>
        <v>326.99791957246356</v>
      </c>
      <c r="I9" s="37">
        <f>BDbDT_calcs!I55</f>
        <v>322.5662899121258</v>
      </c>
      <c r="J9" s="37">
        <f>BDbDT_calcs!J55</f>
        <v>318.15682022281175</v>
      </c>
      <c r="K9" s="37">
        <f>BDbDT_calcs!K55</f>
        <v>313.7305797372286</v>
      </c>
      <c r="L9" s="37">
        <f>BDbDT_calcs!L55</f>
        <v>309.33998867113735</v>
      </c>
      <c r="M9" s="37">
        <f>BDbDT_calcs!M55</f>
        <v>304.95756518338726</v>
      </c>
      <c r="N9" s="37">
        <f>BDbDT_calcs!N55</f>
        <v>300.63483109735773</v>
      </c>
      <c r="O9" s="37">
        <f>BDbDT_calcs!O55</f>
        <v>296.26483097455503</v>
      </c>
      <c r="P9" s="37">
        <f>BDbDT_calcs!P55</f>
        <v>291.92504067103414</v>
      </c>
      <c r="Q9" s="37">
        <f>BDbDT_calcs!Q55</f>
        <v>287.61304972467258</v>
      </c>
      <c r="R9" s="37">
        <f>BDbDT_calcs!R55</f>
        <v>283.35244415641733</v>
      </c>
      <c r="S9" s="37">
        <f>BDbDT_calcs!S55</f>
        <v>278.73704821043106</v>
      </c>
      <c r="T9" s="37">
        <f>BDbDT_calcs!T55</f>
        <v>274.23002356148254</v>
      </c>
      <c r="U9" s="37">
        <f>BDbDT_calcs!U55</f>
        <v>269.87918650270888</v>
      </c>
      <c r="V9" s="37">
        <f>BDbDT_calcs!V55</f>
        <v>265.62679872207781</v>
      </c>
      <c r="W9" s="37">
        <f>BDbDT_calcs!W55</f>
        <v>261.5980959691131</v>
      </c>
      <c r="X9" s="37">
        <f>BDbDT_calcs!X55</f>
        <v>257.65695765432105</v>
      </c>
      <c r="Y9" s="37">
        <f>BDbDT_calcs!Y55</f>
        <v>253.87796088952012</v>
      </c>
      <c r="Z9" s="37">
        <f>BDbDT_calcs!Z55</f>
        <v>250.23029800137431</v>
      </c>
      <c r="AA9" s="37">
        <f>BDbDT_calcs!AA55</f>
        <v>246.6834495342365</v>
      </c>
      <c r="AB9" s="37">
        <f>BDbDT_calcs!AB55</f>
        <v>243.259291991499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41873.693694395864</v>
      </c>
      <c r="C2" s="37">
        <f>BDbDT_calcs!C58</f>
        <v>42629.815224235434</v>
      </c>
      <c r="D2" s="37">
        <f>BDbDT_calcs!D58</f>
        <v>43310.343417292686</v>
      </c>
      <c r="E2" s="37">
        <f>BDbDT_calcs!E58</f>
        <v>43990.905667000668</v>
      </c>
      <c r="F2" s="37">
        <f>BDbDT_calcs!F58</f>
        <v>44675.311026148505</v>
      </c>
      <c r="G2" s="37">
        <f>BDbDT_calcs!G58</f>
        <v>45364.911192962885</v>
      </c>
      <c r="H2" s="37">
        <f>BDbDT_calcs!H58</f>
        <v>46056.63785442782</v>
      </c>
      <c r="I2" s="37">
        <f>BDbDT_calcs!I58</f>
        <v>46698.570974667462</v>
      </c>
      <c r="J2" s="37">
        <f>BDbDT_calcs!J58</f>
        <v>47332.407086415427</v>
      </c>
      <c r="K2" s="37">
        <f>BDbDT_calcs!K58</f>
        <v>47957.401009732574</v>
      </c>
      <c r="L2" s="37">
        <f>BDbDT_calcs!L58</f>
        <v>48569.578364531735</v>
      </c>
      <c r="M2" s="37">
        <f>BDbDT_calcs!M58</f>
        <v>49168.212836007704</v>
      </c>
      <c r="N2" s="37">
        <f>BDbDT_calcs!N58</f>
        <v>49748.366408864713</v>
      </c>
      <c r="O2" s="37">
        <f>BDbDT_calcs!O58</f>
        <v>50308.255436673215</v>
      </c>
      <c r="P2" s="37">
        <f>BDbDT_calcs!P58</f>
        <v>50841.512137143072</v>
      </c>
      <c r="Q2" s="37">
        <f>BDbDT_calcs!Q58</f>
        <v>51347.189446796343</v>
      </c>
      <c r="R2" s="37">
        <f>BDbDT_calcs!R58</f>
        <v>51817.574044672219</v>
      </c>
      <c r="S2" s="37">
        <f>BDbDT_calcs!S58</f>
        <v>52192.475724400138</v>
      </c>
      <c r="T2" s="37">
        <f>BDbDT_calcs!T58</f>
        <v>52529.184483600635</v>
      </c>
      <c r="U2" s="37">
        <f>BDbDT_calcs!U58</f>
        <v>52830.571065980876</v>
      </c>
      <c r="V2" s="37">
        <f>BDbDT_calcs!V58</f>
        <v>53083.966637599122</v>
      </c>
      <c r="W2" s="37">
        <f>BDbDT_calcs!W58</f>
        <v>53292.502892724151</v>
      </c>
      <c r="X2" s="37">
        <f>BDbDT_calcs!X58</f>
        <v>53453.226436902034</v>
      </c>
      <c r="Y2" s="37">
        <f>BDbDT_calcs!Y58</f>
        <v>53588.149389890728</v>
      </c>
      <c r="Z2" s="37">
        <f>BDbDT_calcs!Z58</f>
        <v>53677.633942401553</v>
      </c>
      <c r="AA2" s="37">
        <f>BDbDT_calcs!AA58</f>
        <v>53724.907803777722</v>
      </c>
      <c r="AB2" s="37">
        <f>BDbDT_calcs!AB58</f>
        <v>53734.751088827201</v>
      </c>
    </row>
    <row r="3" spans="1:28" x14ac:dyDescent="0.25">
      <c r="A3" s="4" t="s">
        <v>216</v>
      </c>
      <c r="B3" s="37">
        <f>BDbDT_calcs!B59</f>
        <v>39884.708030431808</v>
      </c>
      <c r="C3" s="37">
        <f>BDbDT_calcs!C59</f>
        <v>40499.74388171536</v>
      </c>
      <c r="D3" s="37">
        <f>BDbDT_calcs!D59</f>
        <v>41046.080500722645</v>
      </c>
      <c r="E3" s="37">
        <f>BDbDT_calcs!E59</f>
        <v>41613.834699373692</v>
      </c>
      <c r="F3" s="37">
        <f>BDbDT_calcs!F59</f>
        <v>42214.752273745908</v>
      </c>
      <c r="G3" s="37">
        <f>BDbDT_calcs!G59</f>
        <v>42851.037631212545</v>
      </c>
      <c r="H3" s="37">
        <f>BDbDT_calcs!H59</f>
        <v>43526.626983077775</v>
      </c>
      <c r="I3" s="37">
        <f>BDbDT_calcs!I59</f>
        <v>44190.78818840591</v>
      </c>
      <c r="J3" s="37">
        <f>BDbDT_calcs!J59</f>
        <v>44886.866606923613</v>
      </c>
      <c r="K3" s="37">
        <f>BDbDT_calcs!K59</f>
        <v>45603.365120751892</v>
      </c>
      <c r="L3" s="37">
        <f>BDbDT_calcs!L59</f>
        <v>46339.347932432618</v>
      </c>
      <c r="M3" s="37">
        <f>BDbDT_calcs!M59</f>
        <v>47092.007369704792</v>
      </c>
      <c r="N3" s="37">
        <f>BDbDT_calcs!N59</f>
        <v>47851.321376838619</v>
      </c>
      <c r="O3" s="37">
        <f>BDbDT_calcs!O59</f>
        <v>48607.782310730421</v>
      </c>
      <c r="P3" s="37">
        <f>BDbDT_calcs!P59</f>
        <v>49359.342138831758</v>
      </c>
      <c r="Q3" s="37">
        <f>BDbDT_calcs!Q59</f>
        <v>50092.484999145134</v>
      </c>
      <c r="R3" s="37">
        <f>BDbDT_calcs!R59</f>
        <v>50803.488778205261</v>
      </c>
      <c r="S3" s="37">
        <f>BDbDT_calcs!S59</f>
        <v>51423.384241529966</v>
      </c>
      <c r="T3" s="37">
        <f>BDbDT_calcs!T59</f>
        <v>52007.090940422589</v>
      </c>
      <c r="U3" s="37">
        <f>BDbDT_calcs!U59</f>
        <v>52549.915871460791</v>
      </c>
      <c r="V3" s="37">
        <f>BDbDT_calcs!V59</f>
        <v>53040.06039950288</v>
      </c>
      <c r="W3" s="37">
        <f>BDbDT_calcs!W59</f>
        <v>53466.926181901086</v>
      </c>
      <c r="X3" s="37">
        <f>BDbDT_calcs!X59</f>
        <v>53833.405768653756</v>
      </c>
      <c r="Y3" s="37">
        <f>BDbDT_calcs!Y59</f>
        <v>54164.589274463251</v>
      </c>
      <c r="Z3" s="37">
        <f>BDbDT_calcs!Z59</f>
        <v>54437.146984208855</v>
      </c>
      <c r="AA3" s="37">
        <f>BDbDT_calcs!AA59</f>
        <v>54642.653598812474</v>
      </c>
      <c r="AB3" s="37">
        <f>BDbDT_calcs!AB59</f>
        <v>54781.988059092291</v>
      </c>
    </row>
    <row r="4" spans="1:28" x14ac:dyDescent="0.25">
      <c r="A4" s="4" t="s">
        <v>217</v>
      </c>
      <c r="B4" s="37">
        <f>BDbDT_calcs!B60</f>
        <v>61341.213511514557</v>
      </c>
      <c r="C4" s="37">
        <f>BDbDT_calcs!C60</f>
        <v>62357.899692536157</v>
      </c>
      <c r="D4" s="37">
        <f>BDbDT_calcs!D60</f>
        <v>63261.226258873699</v>
      </c>
      <c r="E4" s="37">
        <f>BDbDT_calcs!E60</f>
        <v>64174.588909152255</v>
      </c>
      <c r="F4" s="37">
        <f>BDbDT_calcs!F60</f>
        <v>65111.181808703746</v>
      </c>
      <c r="G4" s="37">
        <f>BDbDT_calcs!G60</f>
        <v>66071.32619652641</v>
      </c>
      <c r="H4" s="37">
        <f>BDbDT_calcs!H60</f>
        <v>67057.507261168765</v>
      </c>
      <c r="I4" s="37">
        <f>BDbDT_calcs!I60</f>
        <v>67991.567980823078</v>
      </c>
      <c r="J4" s="37">
        <f>BDbDT_calcs!J60</f>
        <v>68938.11038064475</v>
      </c>
      <c r="K4" s="37">
        <f>BDbDT_calcs!K60</f>
        <v>69885.028729641825</v>
      </c>
      <c r="L4" s="37">
        <f>BDbDT_calcs!L60</f>
        <v>70828.739265871613</v>
      </c>
      <c r="M4" s="37">
        <f>BDbDT_calcs!M60</f>
        <v>71766.622791615824</v>
      </c>
      <c r="N4" s="37">
        <f>BDbDT_calcs!N60</f>
        <v>72685.804865223909</v>
      </c>
      <c r="O4" s="37">
        <f>BDbDT_calcs!O60</f>
        <v>73579.224798299925</v>
      </c>
      <c r="P4" s="37">
        <f>BDbDT_calcs!P60</f>
        <v>74437.561326076495</v>
      </c>
      <c r="Q4" s="37">
        <f>BDbDT_calcs!Q60</f>
        <v>75250.958805289876</v>
      </c>
      <c r="R4" s="37">
        <f>BDbDT_calcs!R60</f>
        <v>76009.941300685372</v>
      </c>
      <c r="S4" s="37">
        <f>BDbDT_calcs!S60</f>
        <v>76618.948969344812</v>
      </c>
      <c r="T4" s="37">
        <f>BDbDT_calcs!T60</f>
        <v>77161.609717449042</v>
      </c>
      <c r="U4" s="37">
        <f>BDbDT_calcs!U60</f>
        <v>77637.868415469202</v>
      </c>
      <c r="V4" s="37">
        <f>BDbDT_calcs!V60</f>
        <v>78027.072356456381</v>
      </c>
      <c r="W4" s="37">
        <f>BDbDT_calcs!W60</f>
        <v>78323.358993800473</v>
      </c>
      <c r="X4" s="37">
        <f>BDbDT_calcs!X60</f>
        <v>78528.367517249688</v>
      </c>
      <c r="Y4" s="37">
        <f>BDbDT_calcs!Y60</f>
        <v>78682.119232731115</v>
      </c>
      <c r="Z4" s="37">
        <f>BDbDT_calcs!Z60</f>
        <v>78749.285364320371</v>
      </c>
      <c r="AA4" s="37">
        <f>BDbDT_calcs!AA60</f>
        <v>78724.891815028794</v>
      </c>
      <c r="AB4" s="37">
        <f>BDbDT_calcs!AB60</f>
        <v>78615.533617784182</v>
      </c>
    </row>
    <row r="5" spans="1:28" x14ac:dyDescent="0.25">
      <c r="A5" s="4" t="s">
        <v>218</v>
      </c>
      <c r="B5" s="37">
        <f>BDbDT_calcs!B61</f>
        <v>11666.458592176245</v>
      </c>
      <c r="C5" s="37">
        <f>BDbDT_calcs!C61</f>
        <v>11840.620911258298</v>
      </c>
      <c r="D5" s="37">
        <f>BDbDT_calcs!D61</f>
        <v>11995.218867634499</v>
      </c>
      <c r="E5" s="37">
        <f>BDbDT_calcs!E61</f>
        <v>12151.274180099001</v>
      </c>
      <c r="F5" s="37">
        <f>BDbDT_calcs!F61</f>
        <v>12312.783223159127</v>
      </c>
      <c r="G5" s="37">
        <f>BDbDT_calcs!G61</f>
        <v>12480.106181785482</v>
      </c>
      <c r="H5" s="37">
        <f>BDbDT_calcs!H61</f>
        <v>12652.973161543376</v>
      </c>
      <c r="I5" s="37">
        <f>BDbDT_calcs!I61</f>
        <v>12818.453099350036</v>
      </c>
      <c r="J5" s="37">
        <f>BDbDT_calcs!J61</f>
        <v>12989.043432363127</v>
      </c>
      <c r="K5" s="37">
        <f>BDbDT_calcs!K61</f>
        <v>13163.94406477072</v>
      </c>
      <c r="L5" s="37">
        <f>BDbDT_calcs!L61</f>
        <v>13343.203678537215</v>
      </c>
      <c r="M5" s="37">
        <f>BDbDT_calcs!M61</f>
        <v>13526.169822306185</v>
      </c>
      <c r="N5" s="37">
        <f>BDbDT_calcs!N61</f>
        <v>13713.51769263019</v>
      </c>
      <c r="O5" s="37">
        <f>BDbDT_calcs!O61</f>
        <v>13901.80885651686</v>
      </c>
      <c r="P5" s="37">
        <f>BDbDT_calcs!P61</f>
        <v>14092.603128287168</v>
      </c>
      <c r="Q5" s="37">
        <f>BDbDT_calcs!Q61</f>
        <v>14283.06555016604</v>
      </c>
      <c r="R5" s="37">
        <f>BDbDT_calcs!R61</f>
        <v>14472.878668725665</v>
      </c>
      <c r="S5" s="37">
        <f>BDbDT_calcs!S61</f>
        <v>14645.078811045492</v>
      </c>
      <c r="T5" s="37">
        <f>BDbDT_calcs!T61</f>
        <v>14813.501222394274</v>
      </c>
      <c r="U5" s="37">
        <f>BDbDT_calcs!U61</f>
        <v>14978.374828635997</v>
      </c>
      <c r="V5" s="37">
        <f>BDbDT_calcs!V61</f>
        <v>15137.95043357581</v>
      </c>
      <c r="W5" s="37">
        <f>BDbDT_calcs!W61</f>
        <v>15289.413670654103</v>
      </c>
      <c r="X5" s="37">
        <f>BDbDT_calcs!X61</f>
        <v>15431.727235698028</v>
      </c>
      <c r="Y5" s="37">
        <f>BDbDT_calcs!Y61</f>
        <v>15568.774162554415</v>
      </c>
      <c r="Z5" s="37">
        <f>BDbDT_calcs!Z61</f>
        <v>15696.242807370381</v>
      </c>
      <c r="AA5" s="37">
        <f>BDbDT_calcs!AA61</f>
        <v>15813.977915603948</v>
      </c>
      <c r="AB5" s="37">
        <f>BDbDT_calcs!AB61</f>
        <v>15920.316946845674</v>
      </c>
    </row>
    <row r="6" spans="1:28" x14ac:dyDescent="0.25">
      <c r="A6" s="4" t="s">
        <v>219</v>
      </c>
      <c r="B6" s="37">
        <f>BDbDT_calcs!B62</f>
        <v>5930.2570315972634</v>
      </c>
      <c r="C6" s="37">
        <f>BDbDT_calcs!C62</f>
        <v>6068.9425630292972</v>
      </c>
      <c r="D6" s="37">
        <f>BDbDT_calcs!D62</f>
        <v>6201.9304061791454</v>
      </c>
      <c r="E6" s="37">
        <f>BDbDT_calcs!E62</f>
        <v>6344.3128269432709</v>
      </c>
      <c r="F6" s="37">
        <f>BDbDT_calcs!F62</f>
        <v>6497.9554488366784</v>
      </c>
      <c r="G6" s="37">
        <f>BDbDT_calcs!G62</f>
        <v>6662.7587203677213</v>
      </c>
      <c r="H6" s="37">
        <f>BDbDT_calcs!H62</f>
        <v>6839.2043187805803</v>
      </c>
      <c r="I6" s="37">
        <f>BDbDT_calcs!I62</f>
        <v>7020.0064199009385</v>
      </c>
      <c r="J6" s="37">
        <f>BDbDT_calcs!J62</f>
        <v>7208.6101201263391</v>
      </c>
      <c r="K6" s="37">
        <f>BDbDT_calcs!K62</f>
        <v>7403.588999461419</v>
      </c>
      <c r="L6" s="37">
        <f>BDbDT_calcs!L62</f>
        <v>7606.8505227484338</v>
      </c>
      <c r="M6" s="37">
        <f>BDbDT_calcs!M62</f>
        <v>7816.9431953579169</v>
      </c>
      <c r="N6" s="37">
        <f>BDbDT_calcs!N62</f>
        <v>8032.9038444407352</v>
      </c>
      <c r="O6" s="37">
        <f>BDbDT_calcs!O62</f>
        <v>8253.3522522795702</v>
      </c>
      <c r="P6" s="37">
        <f>BDbDT_calcs!P62</f>
        <v>8477.5782507989497</v>
      </c>
      <c r="Q6" s="37">
        <f>BDbDT_calcs!Q62</f>
        <v>8704.0026900204703</v>
      </c>
      <c r="R6" s="37">
        <f>BDbDT_calcs!R62</f>
        <v>8931.852121013022</v>
      </c>
      <c r="S6" s="37">
        <f>BDbDT_calcs!S62</f>
        <v>9148.9856174865199</v>
      </c>
      <c r="T6" s="37">
        <f>BDbDT_calcs!T62</f>
        <v>9365.7061052202389</v>
      </c>
      <c r="U6" s="37">
        <f>BDbDT_calcs!U62</f>
        <v>9579.9988461335979</v>
      </c>
      <c r="V6" s="37">
        <f>BDbDT_calcs!V62</f>
        <v>9792.1866730116744</v>
      </c>
      <c r="W6" s="37">
        <f>BDbDT_calcs!W62</f>
        <v>10001.614982777708</v>
      </c>
      <c r="X6" s="37">
        <f>BDbDT_calcs!X62</f>
        <v>10209.126656853277</v>
      </c>
      <c r="Y6" s="37">
        <f>BDbDT_calcs!Y62</f>
        <v>10414.040841438495</v>
      </c>
      <c r="Z6" s="37">
        <f>BDbDT_calcs!Z62</f>
        <v>10616.662289189129</v>
      </c>
      <c r="AA6" s="37">
        <f>BDbDT_calcs!AA62</f>
        <v>10816.855241022906</v>
      </c>
      <c r="AB6" s="37">
        <f>BDbDT_calcs!AB62</f>
        <v>11013.814371097158</v>
      </c>
    </row>
    <row r="7" spans="1:28" x14ac:dyDescent="0.25">
      <c r="A7" s="4" t="s">
        <v>220</v>
      </c>
      <c r="B7" s="37">
        <f>BDbDT_calcs!B63</f>
        <v>1468.8856177277519</v>
      </c>
      <c r="C7" s="37">
        <f>BDbDT_calcs!C63</f>
        <v>1501.1323784077092</v>
      </c>
      <c r="D7" s="37">
        <f>BDbDT_calcs!D63</f>
        <v>1532.1988826522211</v>
      </c>
      <c r="E7" s="37">
        <f>BDbDT_calcs!E63</f>
        <v>1566.172917190104</v>
      </c>
      <c r="F7" s="37">
        <f>BDbDT_calcs!F63</f>
        <v>1600.4709472768034</v>
      </c>
      <c r="G7" s="37">
        <f>BDbDT_calcs!G63</f>
        <v>1637.3815029643608</v>
      </c>
      <c r="H7" s="37">
        <f>BDbDT_calcs!H63</f>
        <v>1675.4241021331084</v>
      </c>
      <c r="I7" s="37">
        <f>BDbDT_calcs!I63</f>
        <v>1712.4771346984162</v>
      </c>
      <c r="J7" s="37">
        <f>BDbDT_calcs!J63</f>
        <v>1750.3616963154548</v>
      </c>
      <c r="K7" s="37">
        <f>BDbDT_calcs!K63</f>
        <v>1790.9641337374794</v>
      </c>
      <c r="L7" s="37">
        <f>BDbDT_calcs!L63</f>
        <v>1832.5662878430628</v>
      </c>
      <c r="M7" s="37">
        <f>BDbDT_calcs!M63</f>
        <v>1875.7287585246688</v>
      </c>
      <c r="N7" s="37">
        <f>BDbDT_calcs!N63</f>
        <v>1919.6288662087888</v>
      </c>
      <c r="O7" s="37">
        <f>BDbDT_calcs!O63</f>
        <v>1964.4187714296365</v>
      </c>
      <c r="P7" s="37">
        <f>BDbDT_calcs!P63</f>
        <v>2010.6143833962626</v>
      </c>
      <c r="Q7" s="37">
        <f>BDbDT_calcs!Q63</f>
        <v>2057.9526537732477</v>
      </c>
      <c r="R7" s="37">
        <f>BDbDT_calcs!R63</f>
        <v>2106.0408085244117</v>
      </c>
      <c r="S7" s="37">
        <f>BDbDT_calcs!S63</f>
        <v>2151.7453816563248</v>
      </c>
      <c r="T7" s="37">
        <f>BDbDT_calcs!T63</f>
        <v>2198.0550064113168</v>
      </c>
      <c r="U7" s="37">
        <f>BDbDT_calcs!U63</f>
        <v>2244.3928664676137</v>
      </c>
      <c r="V7" s="37">
        <f>BDbDT_calcs!V63</f>
        <v>2290.1119194880821</v>
      </c>
      <c r="W7" s="37">
        <f>BDbDT_calcs!W63</f>
        <v>2336.6105256160708</v>
      </c>
      <c r="X7" s="37">
        <f>BDbDT_calcs!X63</f>
        <v>2382.7615225925124</v>
      </c>
      <c r="Y7" s="37">
        <f>BDbDT_calcs!Y63</f>
        <v>2429.2410136306785</v>
      </c>
      <c r="Z7" s="37">
        <f>BDbDT_calcs!Z63</f>
        <v>2475.1139067648037</v>
      </c>
      <c r="AA7" s="37">
        <f>BDbDT_calcs!AA63</f>
        <v>2520.7422317856399</v>
      </c>
      <c r="AB7" s="37">
        <f>BDbDT_calcs!AB63</f>
        <v>2566.5059495908122</v>
      </c>
    </row>
    <row r="8" spans="1:28" x14ac:dyDescent="0.25">
      <c r="A8" s="4" t="s">
        <v>221</v>
      </c>
      <c r="B8" s="37">
        <f>BDbDT_calcs!B64</f>
        <v>8496.4995130436637</v>
      </c>
      <c r="C8" s="37">
        <f>BDbDT_calcs!C64</f>
        <v>8794.7505786288693</v>
      </c>
      <c r="D8" s="37">
        <f>BDbDT_calcs!D64</f>
        <v>9084.1665248239678</v>
      </c>
      <c r="E8" s="37">
        <f>BDbDT_calcs!E64</f>
        <v>9380.8170376641447</v>
      </c>
      <c r="F8" s="37">
        <f>BDbDT_calcs!F64</f>
        <v>9684.8428686106381</v>
      </c>
      <c r="G8" s="37">
        <f>BDbDT_calcs!G64</f>
        <v>9997.4645223014923</v>
      </c>
      <c r="H8" s="37">
        <f>BDbDT_calcs!H64</f>
        <v>10321.987701850599</v>
      </c>
      <c r="I8" s="37">
        <f>BDbDT_calcs!I64</f>
        <v>10647.340583677849</v>
      </c>
      <c r="J8" s="37">
        <f>BDbDT_calcs!J64</f>
        <v>10981.398765638703</v>
      </c>
      <c r="K8" s="37">
        <f>BDbDT_calcs!K64</f>
        <v>11326.715848798296</v>
      </c>
      <c r="L8" s="37">
        <f>BDbDT_calcs!L64</f>
        <v>11685.242999406946</v>
      </c>
      <c r="M8" s="37">
        <f>BDbDT_calcs!M64</f>
        <v>12054.148147712358</v>
      </c>
      <c r="N8" s="37">
        <f>BDbDT_calcs!N64</f>
        <v>12436.594249320488</v>
      </c>
      <c r="O8" s="37">
        <f>BDbDT_calcs!O64</f>
        <v>12830.541870891435</v>
      </c>
      <c r="P8" s="37">
        <f>BDbDT_calcs!P64</f>
        <v>13235.457953897085</v>
      </c>
      <c r="Q8" s="37">
        <f>BDbDT_calcs!Q64</f>
        <v>13651.960391282357</v>
      </c>
      <c r="R8" s="37">
        <f>BDbDT_calcs!R64</f>
        <v>14077.330362189676</v>
      </c>
      <c r="S8" s="37">
        <f>BDbDT_calcs!S64</f>
        <v>14494.707888054101</v>
      </c>
      <c r="T8" s="37">
        <f>BDbDT_calcs!T64</f>
        <v>14919.729840346214</v>
      </c>
      <c r="U8" s="37">
        <f>BDbDT_calcs!U64</f>
        <v>15351.407348155017</v>
      </c>
      <c r="V8" s="37">
        <f>BDbDT_calcs!V64</f>
        <v>15787.702126641632</v>
      </c>
      <c r="W8" s="37">
        <f>BDbDT_calcs!W64</f>
        <v>16226.442219152525</v>
      </c>
      <c r="X8" s="37">
        <f>BDbDT_calcs!X64</f>
        <v>16669.594282284739</v>
      </c>
      <c r="Y8" s="37">
        <f>BDbDT_calcs!Y64</f>
        <v>17113.804493009531</v>
      </c>
      <c r="Z8" s="37">
        <f>BDbDT_calcs!Z64</f>
        <v>17558.835813311962</v>
      </c>
      <c r="AA8" s="37">
        <f>BDbDT_calcs!AA64</f>
        <v>18000.736350888074</v>
      </c>
      <c r="AB8" s="37">
        <f>BDbDT_calcs!AB64</f>
        <v>18438.999128334774</v>
      </c>
    </row>
    <row r="9" spans="1:28" x14ac:dyDescent="0.25">
      <c r="A9" s="4" t="s">
        <v>222</v>
      </c>
      <c r="B9" s="37">
        <f>BDbDT_calcs!B65</f>
        <v>71046.183667894671</v>
      </c>
      <c r="C9" s="37">
        <f>BDbDT_calcs!C65</f>
        <v>72115.216039218983</v>
      </c>
      <c r="D9" s="37">
        <f>BDbDT_calcs!D65</f>
        <v>73053.968553533967</v>
      </c>
      <c r="E9" s="37">
        <f>BDbDT_calcs!E65</f>
        <v>74007.262940243454</v>
      </c>
      <c r="F9" s="37">
        <f>BDbDT_calcs!F65</f>
        <v>74989.729374225484</v>
      </c>
      <c r="G9" s="37">
        <f>BDbDT_calcs!G65</f>
        <v>76003.779085946851</v>
      </c>
      <c r="H9" s="37">
        <f>BDbDT_calcs!H65</f>
        <v>77047.578300724606</v>
      </c>
      <c r="I9" s="37">
        <f>BDbDT_calcs!I65</f>
        <v>78032.252525336356</v>
      </c>
      <c r="J9" s="37">
        <f>BDbDT_calcs!J65</f>
        <v>79032.438073775425</v>
      </c>
      <c r="K9" s="37">
        <f>BDbDT_calcs!K65</f>
        <v>80034.542564021729</v>
      </c>
      <c r="L9" s="37">
        <f>BDbDT_calcs!L65</f>
        <v>81032.333952032233</v>
      </c>
      <c r="M9" s="37">
        <f>BDbDT_calcs!M65</f>
        <v>82024.704314804258</v>
      </c>
      <c r="N9" s="37">
        <f>BDbDT_calcs!N65</f>
        <v>82994.958299339341</v>
      </c>
      <c r="O9" s="37">
        <f>BDbDT_calcs!O65</f>
        <v>83934.020388136749</v>
      </c>
      <c r="P9" s="37">
        <f>BDbDT_calcs!P65</f>
        <v>84834.280845471949</v>
      </c>
      <c r="Q9" s="37">
        <f>BDbDT_calcs!Q65</f>
        <v>85681.577859664118</v>
      </c>
      <c r="R9" s="37">
        <f>BDbDT_calcs!R65</f>
        <v>86467.160567055369</v>
      </c>
      <c r="S9" s="37">
        <f>BDbDT_calcs!S65</f>
        <v>87081.587383775332</v>
      </c>
      <c r="T9" s="37">
        <f>BDbDT_calcs!T65</f>
        <v>87619.219619350028</v>
      </c>
      <c r="U9" s="37">
        <f>BDbDT_calcs!U65</f>
        <v>88079.155007413632</v>
      </c>
      <c r="V9" s="37">
        <f>BDbDT_calcs!V65</f>
        <v>88439.73122757161</v>
      </c>
      <c r="W9" s="37">
        <f>BDbDT_calcs!W65</f>
        <v>88695.653483599817</v>
      </c>
      <c r="X9" s="37">
        <f>BDbDT_calcs!X65</f>
        <v>88845.271094372059</v>
      </c>
      <c r="Y9" s="37">
        <f>BDbDT_calcs!Y65</f>
        <v>88936.0103832225</v>
      </c>
      <c r="Z9" s="37">
        <f>BDbDT_calcs!Z65</f>
        <v>88927.22057723059</v>
      </c>
      <c r="AA9" s="37">
        <f>BDbDT_calcs!AA65</f>
        <v>88817.158859549527</v>
      </c>
      <c r="AB9" s="37">
        <f>BDbDT_calcs!AB65</f>
        <v>88611.633012639824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2026-08-17T20:29:15Z</dcterms:modified>
</cp:coreProperties>
</file>