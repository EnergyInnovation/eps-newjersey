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J\add-outputs\NoH\"/>
    </mc:Choice>
  </mc:AlternateContent>
  <xr:revisionPtr revIDLastSave="0" documentId="8_{052D88EF-C073-4473-A5B6-4D759BB9C549}"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E2" i="3"/>
  <c r="AA2" i="3"/>
  <c r="L2" i="3"/>
  <c r="Q2" i="3"/>
  <c r="T2" i="3"/>
  <c r="W2" i="3"/>
  <c r="X2" i="3"/>
  <c r="D2" i="3"/>
  <c r="Z2" i="3"/>
  <c r="O2" i="3"/>
  <c r="S2" i="3"/>
  <c r="U2" i="3"/>
  <c r="F2" i="3"/>
  <c r="AB2" i="3"/>
  <c r="AD2" i="3"/>
  <c r="I2" i="3"/>
  <c r="J2" i="3"/>
  <c r="K2" i="3"/>
  <c r="G2" i="3"/>
  <c r="AC2" i="3"/>
  <c r="H2" i="3"/>
  <c r="AE2" i="3"/>
  <c r="B2" i="3"/>
  <c r="M2" i="3"/>
  <c r="R2" i="3"/>
  <c r="V2" i="3"/>
  <c r="N2" i="3"/>
  <c r="P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<sst xmlns="http://schemas.openxmlformats.org/spreadsheetml/2006/main" count="1069" uniqueCount="448">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</sst>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384</v>
      </c>
      <c r="C1" s="68">
        <v>46185</v>
      </c>
      <c r="H1" t="s">
        <v>324</v>
      </c>
      <c r="I1" t="s">
        <v>325</v>
      </c>
    </row>
    <row r="2" spans="1:9" x14ac:dyDescent="0.25">
      <c r="B2" t="str">
        <f>VLOOKUP(B1,H2:I52,2)</f>
        <v>NJ</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3323696.7473442424</v>
      </c>
      <c r="C2">
        <f>SUMIFS('state calcs'!C62:C112,'state calcs'!$A$62:$A$112,About!$B$2)</f>
        <v>3371322.923401033</v>
      </c>
      <c r="D2">
        <f>SUMIFS('state calcs'!D62:D112,'state calcs'!$A$62:$A$112,About!$B$2)</f>
        <v>3398957.9821106261</v>
      </c>
      <c r="E2">
        <f>SUMIFS('state calcs'!E62:E112,'state calcs'!$A$62:$A$112,About!$B$2)</f>
        <v>3426615.1671985118</v>
      </c>
      <c r="F2">
        <f>SUMIFS('state calcs'!F62:F112,'state calcs'!$A$62:$A$112,About!$B$2)</f>
        <v>3454953.1355147851</v>
      </c>
      <c r="G2">
        <f>SUMIFS('state calcs'!G62:G112,'state calcs'!$A$62:$A$112,About!$B$2)</f>
        <v>3483166.1195419803</v>
      </c>
      <c r="H2">
        <f>SUMIFS('state calcs'!H62:H112,'state calcs'!$A$62:$A$112,About!$B$2)</f>
        <v>3511503.6601003245</v>
      </c>
      <c r="I2">
        <f>SUMIFS('state calcs'!I62:I112,'state calcs'!$A$62:$A$112,About!$B$2)</f>
        <v>3540030.3658267972</v>
      </c>
      <c r="J2">
        <f>SUMIFS('state calcs'!J62:J112,'state calcs'!$A$62:$A$112,About!$B$2)</f>
        <v>3568274.7529304116</v>
      </c>
      <c r="K2">
        <f>SUMIFS('state calcs'!K62:K112,'state calcs'!$A$62:$A$112,About!$B$2)</f>
        <v>3595666.4016425931</v>
      </c>
      <c r="L2">
        <f>SUMIFS('state calcs'!L62:L112,'state calcs'!$A$62:$A$112,About!$B$2)</f>
        <v>3619584.1628629016</v>
      </c>
      <c r="M2">
        <f>SUMIFS('state calcs'!M62:M112,'state calcs'!$A$62:$A$112,About!$B$2)</f>
        <v>3643206.2020751047</v>
      </c>
      <c r="N2">
        <f>SUMIFS('state calcs'!N62:N112,'state calcs'!$A$62:$A$112,About!$B$2)</f>
        <v>3666100.3114046231</v>
      </c>
      <c r="O2">
        <f>SUMIFS('state calcs'!O62:O112,'state calcs'!$A$62:$A$112,About!$B$2)</f>
        <v>3688003.1069777943</v>
      </c>
      <c r="P2">
        <f>SUMIFS('state calcs'!P62:P112,'state calcs'!$A$62:$A$112,About!$B$2)</f>
        <v>3709451.7649674444</v>
      </c>
      <c r="Q2">
        <f>SUMIFS('state calcs'!Q62:Q112,'state calcs'!$A$62:$A$112,About!$B$2)</f>
        <v>3730879.4001047695</v>
      </c>
      <c r="R2">
        <f>SUMIFS('state calcs'!R62:R112,'state calcs'!$A$62:$A$112,About!$B$2)</f>
        <v>3752065.335166187</v>
      </c>
      <c r="S2">
        <f>SUMIFS('state calcs'!S62:S112,'state calcs'!$A$62:$A$112,About!$B$2)</f>
        <v>3773073.5252200542</v>
      </c>
      <c r="T2">
        <f>SUMIFS('state calcs'!T62:T112,'state calcs'!$A$62:$A$112,About!$B$2)</f>
        <v>3793819.2724474766</v>
      </c>
      <c r="U2">
        <f>SUMIFS('state calcs'!U62:U112,'state calcs'!$A$62:$A$112,About!$B$2)</f>
        <v>3814820.2538345591</v>
      </c>
      <c r="V2">
        <f>SUMIFS('state calcs'!V62:V112,'state calcs'!$A$62:$A$112,About!$B$2)</f>
        <v>3834625.774717642</v>
      </c>
      <c r="W2">
        <f>SUMIFS('state calcs'!W62:W112,'state calcs'!$A$62:$A$112,About!$B$2)</f>
        <v>3853933.5558008449</v>
      </c>
      <c r="X2">
        <f>SUMIFS('state calcs'!X62:X112,'state calcs'!$A$62:$A$112,About!$B$2)</f>
        <v>3872954.2952925926</v>
      </c>
      <c r="Y2">
        <f>SUMIFS('state calcs'!Y62:Y112,'state calcs'!$A$62:$A$112,About!$B$2)</f>
        <v>3891709.8597076358</v>
      </c>
      <c r="Z2">
        <f>SUMIFS('state calcs'!Z62:Z112,'state calcs'!$A$62:$A$112,About!$B$2)</f>
        <v>3910229.8714412483</v>
      </c>
      <c r="AA2">
        <f>SUMIFS('state calcs'!AA62:AA112,'state calcs'!$A$62:$A$112,About!$B$2)</f>
        <v>3928417.9369331286</v>
      </c>
      <c r="AB2">
        <f>SUMIFS('state calcs'!AB62:AB112,'state calcs'!$A$62:$A$112,About!$B$2)</f>
        <v>3946441.7427554862</v>
      </c>
      <c r="AC2">
        <f>SUMIFS('state calcs'!AC62:AC112,'state calcs'!$A$62:$A$112,About!$B$2)</f>
        <v>3964117.8709017537</v>
      </c>
      <c r="AD2">
        <f>SUMIFS('state calcs'!AD62:AD112,'state calcs'!$A$62:$A$112,About!$B$2)</f>
        <v>3981421.4112574793</v>
      </c>
      <c r="AE2">
        <f>SUMIFS('state calcs'!AE62:AE112,'state calcs'!$A$62:$A$112,About!$B$2)</f>
        <v>3998433.0099823191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2026-06-12T19:29:24Z</dcterms:modified>
</cp:coreProperties>
</file>