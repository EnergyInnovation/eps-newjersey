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720" yWindow="760" windowWidth="24880" windowHeight="14500" tabRatio="600" firstSheet="10" activeTab="13" autoFilterDateGrouping="1"/>
  </bookViews>
  <sheets>
    <sheet xmlns:r="http://schemas.openxmlformats.org/officeDocument/2006/relationships" name="About" sheetId="1" state="visible" r:id="rId1"/>
    <sheet xmlns:r="http://schemas.openxmlformats.org/officeDocument/2006/relationships" name="AEO Table 21" sheetId="2" state="visible" r:id="rId2"/>
    <sheet xmlns:r="http://schemas.openxmlformats.org/officeDocument/2006/relationships" name="AEO Table 22" sheetId="3" state="visible" r:id="rId3"/>
    <sheet xmlns:r="http://schemas.openxmlformats.org/officeDocument/2006/relationships" name="RECS HC2.1" sheetId="4" state="visible" r:id="rId4"/>
    <sheet xmlns:r="http://schemas.openxmlformats.org/officeDocument/2006/relationships" name="Urban and Rural" sheetId="5" state="visible" r:id="rId5"/>
    <sheet xmlns:r="http://schemas.openxmlformats.org/officeDocument/2006/relationships" name="Calculations" sheetId="6" state="visible" r:id="rId6"/>
    <sheet xmlns:r="http://schemas.openxmlformats.org/officeDocument/2006/relationships" name="IRA Calcs" sheetId="7" state="visible" r:id="rId7"/>
    <sheet xmlns:r="http://schemas.openxmlformats.org/officeDocument/2006/relationships" name="BDEQ-BEOfDS-urban-residential-o" sheetId="8" state="visible" r:id="rId8"/>
    <sheet xmlns:r="http://schemas.openxmlformats.org/officeDocument/2006/relationships" name="BDEQ-BEOfDS-rural-residential-o" sheetId="9" state="visible" r:id="rId9"/>
    <sheet xmlns:r="http://schemas.openxmlformats.org/officeDocument/2006/relationships" name="BDEQ-BDESC-rural-residential-o" sheetId="10" state="visible" r:id="rId10"/>
    <sheet xmlns:r="http://schemas.openxmlformats.org/officeDocument/2006/relationships" name="BDEQ-BDESC-urban-residential-o" sheetId="11" state="visible" r:id="rId11"/>
    <sheet xmlns:r="http://schemas.openxmlformats.org/officeDocument/2006/relationships" name="BDEQ-BDESC-commercial-o" sheetId="12" state="visible" r:id="rId12"/>
    <sheet xmlns:r="http://schemas.openxmlformats.org/officeDocument/2006/relationships" name="BDESC-rural-residential" sheetId="13" state="visible" r:id="rId13"/>
    <sheet xmlns:r="http://schemas.openxmlformats.org/officeDocument/2006/relationships" name="BDESC-urban-residential" sheetId="14" state="visible" r:id="rId14"/>
    <sheet xmlns:r="http://schemas.openxmlformats.org/officeDocument/2006/relationships" name="BDESC-commercial" sheetId="15" state="visible" r:id="rId15"/>
  </sheets>
  <definedNames>
    <definedName name="billion_kw_to_MW">About!$B$39</definedName>
    <definedName name="gigwatt_to_megawatt">About!$B$40</definedName>
    <definedName name="Google_Sheet_Link_1041556874" hidden="1">gigwatt_to_megawatt</definedName>
    <definedName name="Google_Sheet_Link_1113742247" hidden="1">Percent_rural</definedName>
    <definedName name="Google_Sheet_Link_27960059" hidden="1">Percent_Urban</definedName>
    <definedName name="Google_Sheet_Link_678979968" hidden="1">billion_kw_to_MW</definedName>
    <definedName name="Percent_rural">About!$A$37</definedName>
    <definedName name="Percent_Urban">About!$A$36</definedName>
  </definedNames>
  <calcPr calcId="191029" fullCalcOnLoad="1"/>
</workbook>
</file>

<file path=xl/styles.xml><?xml version="1.0" encoding="utf-8"?>
<styleSheet xmlns="http://schemas.openxmlformats.org/spreadsheetml/2006/main">
  <numFmts count="7">
    <numFmt numFmtId="164" formatCode="_(* #,##0_);_(* \(#,##0\);_(* &quot;-&quot;??_);_(@_)"/>
    <numFmt numFmtId="165" formatCode="0.0%"/>
    <numFmt numFmtId="166" formatCode="#,##0.0"/>
    <numFmt numFmtId="167" formatCode="0.0"/>
    <numFmt numFmtId="168" formatCode="0.0000E+00"/>
    <numFmt numFmtId="169" formatCode="0.000E+00"/>
    <numFmt numFmtId="170" formatCode="0.000"/>
  </numFmts>
  <fonts count="28">
    <font>
      <name val="Arial"/>
      <color theme="1"/>
      <sz val="11"/>
    </font>
    <font>
      <name val="Calibri"/>
      <family val="2"/>
      <b val="1"/>
      <color theme="1"/>
      <sz val="11"/>
    </font>
    <font>
      <name val="Calibri"/>
      <family val="2"/>
      <color theme="1"/>
      <sz val="11"/>
    </font>
    <font>
      <name val="Calibri"/>
      <family val="2"/>
      <color theme="1"/>
      <sz val="11"/>
    </font>
    <font>
      <name val="Arial"/>
      <family val="2"/>
      <b val="1"/>
      <sz val="11"/>
    </font>
    <font>
      <name val="Arial"/>
      <family val="2"/>
      <sz val="11"/>
    </font>
    <font>
      <name val="Arial"/>
      <family val="2"/>
      <color rgb="FF1155CC"/>
      <sz val="11"/>
      <u val="single"/>
    </font>
    <font>
      <name val="Arial"/>
      <family val="2"/>
      <b val="1"/>
      <color theme="1"/>
      <sz val="11"/>
    </font>
    <font>
      <name val="Arial"/>
      <family val="2"/>
      <color theme="1"/>
      <sz val="11"/>
    </font>
    <font>
      <name val="Roboto"/>
      <color rgb="FF000000"/>
      <sz val="11"/>
      <u val="single"/>
    </font>
    <font>
      <name val="Arial"/>
      <family val="2"/>
      <color rgb="FF000000"/>
      <sz val="11"/>
    </font>
    <font>
      <name val="Calibri"/>
      <family val="2"/>
      <color rgb="FF000000"/>
      <sz val="9"/>
    </font>
    <font>
      <name val="Calibri"/>
      <family val="2"/>
      <b val="1"/>
      <color rgb="FF000000"/>
      <sz val="9"/>
    </font>
    <font>
      <name val="Arial"/>
      <family val="2"/>
      <color rgb="FF000000"/>
      <sz val="10"/>
    </font>
    <font>
      <name val="Arial"/>
      <family val="2"/>
      <color theme="1"/>
      <sz val="8"/>
    </font>
    <font>
      <name val="Calibri"/>
      <family val="2"/>
      <b val="1"/>
      <color rgb="FF0066CC"/>
      <sz val="12"/>
    </font>
    <font>
      <name val="Calibri"/>
      <family val="2"/>
      <color theme="1"/>
      <sz val="9"/>
    </font>
    <font>
      <name val="Calibri"/>
      <family val="2"/>
      <color rgb="FF7F7F7F"/>
      <sz val="11"/>
    </font>
    <font>
      <name val="Calibri"/>
      <family val="2"/>
      <b val="1"/>
      <color theme="1"/>
      <sz val="10"/>
    </font>
    <font>
      <name val="Calibri"/>
      <family val="2"/>
      <color theme="1"/>
      <sz val="10"/>
    </font>
    <font>
      <name val="Arial"/>
      <family val="2"/>
      <color rgb="FF333333"/>
      <sz val="10"/>
    </font>
    <font>
      <name val="Calibri"/>
      <family val="2"/>
      <b val="1"/>
      <color theme="1"/>
      <sz val="14"/>
    </font>
    <font>
      <name val="Calibri"/>
      <family val="2"/>
      <b val="1"/>
      <color rgb="FF403F41"/>
      <sz val="11"/>
      <scheme val="minor"/>
    </font>
    <font>
      <name val="Calibri"/>
      <family val="2"/>
      <color rgb="FF403F41"/>
      <sz val="11"/>
      <scheme val="minor"/>
    </font>
    <font>
      <name val="Calibri"/>
      <family val="2"/>
      <color indexed="8"/>
      <sz val="11"/>
      <scheme val="minor"/>
    </font>
    <font>
      <name val="Calibri"/>
      <family val="2"/>
      <color rgb="FF000000"/>
      <sz val="11"/>
      <scheme val="minor"/>
    </font>
    <font>
      <name val="Calibri"/>
      <family val="2"/>
      <b val="1"/>
      <color indexed="8"/>
      <sz val="11"/>
      <scheme val="minor"/>
    </font>
    <font>
      <name val="Calibri"/>
      <family val="2"/>
      <b val="1"/>
      <color rgb="FF000000"/>
      <sz val="11"/>
      <scheme val="minor"/>
    </font>
  </fonts>
  <fills count="8">
    <fill>
      <patternFill/>
    </fill>
    <fill>
      <patternFill patternType="gray125"/>
    </fill>
    <fill>
      <patternFill patternType="solid">
        <fgColor rgb="FFBFBFBF"/>
        <bgColor rgb="FFBFBFBF"/>
      </patternFill>
    </fill>
    <fill>
      <patternFill patternType="solid">
        <fgColor rgb="FFB7B7B7"/>
        <bgColor rgb="FFB7B7B7"/>
      </patternFill>
    </fill>
    <fill>
      <patternFill patternType="solid">
        <fgColor rgb="FFFFFFFF"/>
        <bgColor rgb="FFFFFFFF"/>
      </patternFill>
    </fill>
    <fill>
      <patternFill patternType="solid">
        <fgColor rgb="FFF2F2F2"/>
        <bgColor rgb="FFF2F2F2"/>
      </patternFill>
    </fill>
    <fill>
      <patternFill patternType="solid">
        <fgColor rgb="FFFDE9D9"/>
        <bgColor rgb="FFFDE9D9"/>
      </patternFill>
    </fill>
    <fill>
      <patternFill patternType="solid">
        <fgColor rgb="FFFFFF00"/>
        <bgColor indexed="64"/>
      </patternFill>
    </fill>
  </fills>
  <borders count="12">
    <border>
      <left/>
      <right/>
      <top/>
      <bottom/>
      <diagonal/>
    </border>
    <border>
      <left/>
      <right/>
      <top/>
      <bottom/>
      <diagonal/>
    </border>
    <border>
      <left/>
      <right/>
      <top/>
      <bottom style="thick">
        <color rgb="FF0096D7"/>
      </bottom>
      <diagonal/>
    </border>
    <border>
      <left/>
      <right/>
      <top/>
      <bottom style="thin">
        <color rgb="FFBFBFBF"/>
      </bottom>
      <diagonal/>
    </border>
    <border>
      <left/>
      <right/>
      <top/>
      <bottom style="dotted">
        <color rgb="FFBFBFBF"/>
      </bottom>
      <diagonal/>
    </border>
    <border>
      <left/>
      <right/>
      <top style="medium">
        <color rgb="FF0096D7"/>
      </top>
      <bottom/>
      <diagonal/>
    </border>
    <border>
      <left/>
      <right/>
      <top/>
      <bottom style="thick">
        <color rgb="FFBFBFBF"/>
      </bottom>
      <diagonal/>
    </border>
    <border>
      <left/>
      <right style="thick">
        <color theme="0"/>
      </right>
      <top/>
      <bottom style="thin">
        <color rgb="FFBFBFBF"/>
      </bottom>
      <diagonal/>
    </border>
    <border>
      <left/>
      <right/>
      <top/>
      <bottom style="thick">
        <color theme="4"/>
      </bottom>
      <diagonal/>
    </border>
    <border>
      <left/>
      <right/>
      <top style="thick">
        <color theme="4"/>
      </top>
      <bottom style="dotted">
        <color rgb="FFBFBFBF"/>
      </bottom>
      <diagonal/>
    </border>
    <border>
      <left style="thick">
        <color theme="0"/>
      </left>
      <right style="thick">
        <color theme="0"/>
      </right>
      <top/>
      <bottom style="thin">
        <color rgb="FFBFBFBF"/>
      </bottom>
      <diagonal/>
    </border>
    <border>
      <left/>
      <right style="thick">
        <color theme="0"/>
      </right>
      <top/>
      <bottom/>
      <diagonal/>
    </border>
  </borders>
  <cellStyleXfs count="1">
    <xf numFmtId="0" fontId="0" fillId="0" borderId="1"/>
  </cellStyleXfs>
  <cellXfs count="80">
    <xf numFmtId="0" fontId="0" fillId="0" borderId="0" pivotButton="0" quotePrefix="0" xfId="0"/>
    <xf numFmtId="0" fontId="1" fillId="0" borderId="0" pivotButton="0" quotePrefix="0" xfId="0"/>
    <xf numFmtId="0" fontId="2" fillId="0" borderId="0" pivotButton="0" quotePrefix="0" xfId="0"/>
    <xf numFmtId="0" fontId="1" fillId="2" borderId="1" pivotButton="0" quotePrefix="0" xfId="0"/>
    <xf numFmtId="0" fontId="2" fillId="0" borderId="0" applyAlignment="1" pivotButton="0" quotePrefix="0" xfId="0">
      <alignment horizontal="left"/>
    </xf>
    <xf numFmtId="0" fontId="4" fillId="3" borderId="0" pivotButton="0" quotePrefix="0" xfId="0"/>
    <xf numFmtId="0" fontId="5" fillId="0" borderId="0" pivotButton="0" quotePrefix="0" xfId="0"/>
    <xf numFmtId="0" fontId="3" fillId="0" borderId="0" pivotButton="0" quotePrefix="0" xfId="0"/>
    <xf numFmtId="0" fontId="6" fillId="0" borderId="0" pivotButton="0" quotePrefix="0" xfId="0"/>
    <xf numFmtId="3" fontId="2" fillId="0" borderId="0" pivotButton="0" quotePrefix="0" xfId="0"/>
    <xf numFmtId="164" fontId="2" fillId="0" borderId="0" pivotButton="0" quotePrefix="0" xfId="0"/>
    <xf numFmtId="165" fontId="8" fillId="0" borderId="0" pivotButton="0" quotePrefix="0" xfId="0"/>
    <xf numFmtId="0" fontId="8" fillId="0" borderId="0" applyAlignment="1" pivotButton="0" quotePrefix="0" xfId="0">
      <alignment wrapText="1"/>
    </xf>
    <xf numFmtId="0" fontId="7" fillId="0" borderId="0" pivotButton="0" quotePrefix="0" xfId="0"/>
    <xf numFmtId="0" fontId="8" fillId="0" borderId="0" pivotButton="0" quotePrefix="0" xfId="0"/>
    <xf numFmtId="0" fontId="9" fillId="4" borderId="0" pivotButton="0" quotePrefix="0" xfId="0"/>
    <xf numFmtId="0" fontId="10" fillId="0" borderId="0" pivotButton="0" quotePrefix="0" xfId="0"/>
    <xf numFmtId="0" fontId="11" fillId="0" borderId="0" pivotButton="0" quotePrefix="0" xfId="0"/>
    <xf numFmtId="0" fontId="12" fillId="0" borderId="2" applyAlignment="1" pivotButton="0" quotePrefix="0" xfId="0">
      <alignment wrapText="1"/>
    </xf>
    <xf numFmtId="0" fontId="13" fillId="0" borderId="0" pivotButton="0" quotePrefix="0" xfId="0"/>
    <xf numFmtId="0" fontId="14" fillId="0" borderId="0" pivotButton="0" quotePrefix="0" xfId="0"/>
    <xf numFmtId="0" fontId="15" fillId="0" borderId="0" applyAlignment="1" pivotButton="0" quotePrefix="0" xfId="0">
      <alignment horizontal="left"/>
    </xf>
    <xf numFmtId="0" fontId="12" fillId="0" borderId="3" applyAlignment="1" pivotButton="0" quotePrefix="0" xfId="0">
      <alignment wrapText="1"/>
    </xf>
    <xf numFmtId="0" fontId="2" fillId="0" borderId="4" applyAlignment="1" pivotButton="0" quotePrefix="0" xfId="0">
      <alignment wrapText="1"/>
    </xf>
    <xf numFmtId="166" fontId="2" fillId="0" borderId="4" applyAlignment="1" pivotButton="0" quotePrefix="0" xfId="0">
      <alignment horizontal="right" wrapText="1"/>
    </xf>
    <xf numFmtId="165" fontId="2" fillId="0" borderId="4" applyAlignment="1" pivotButton="0" quotePrefix="0" xfId="0">
      <alignment horizontal="right" wrapText="1"/>
    </xf>
    <xf numFmtId="166" fontId="12" fillId="0" borderId="3" applyAlignment="1" pivotButton="0" quotePrefix="0" xfId="0">
      <alignment horizontal="right" wrapText="1"/>
    </xf>
    <xf numFmtId="165" fontId="12" fillId="0" borderId="3" applyAlignment="1" pivotButton="0" quotePrefix="0" xfId="0">
      <alignment horizontal="right" wrapText="1"/>
    </xf>
    <xf numFmtId="3" fontId="2" fillId="0" borderId="4" applyAlignment="1" pivotButton="0" quotePrefix="0" xfId="0">
      <alignment horizontal="right" wrapText="1"/>
    </xf>
    <xf numFmtId="4" fontId="2" fillId="0" borderId="4" applyAlignment="1" pivotButton="0" quotePrefix="0" xfId="0">
      <alignment horizontal="right" wrapText="1"/>
    </xf>
    <xf numFmtId="0" fontId="16" fillId="0" borderId="0" pivotButton="0" quotePrefix="0" xfId="0"/>
    <xf numFmtId="4" fontId="12" fillId="0" borderId="3" applyAlignment="1" pivotButton="0" quotePrefix="0" xfId="0">
      <alignment horizontal="right" wrapText="1"/>
    </xf>
    <xf numFmtId="0" fontId="17" fillId="0" borderId="0" applyAlignment="1" pivotButton="0" quotePrefix="0" xfId="0">
      <alignment wrapText="1"/>
    </xf>
    <xf numFmtId="3" fontId="18" fillId="0" borderId="0" applyAlignment="1" pivotButton="0" quotePrefix="0" xfId="0">
      <alignment horizontal="left" wrapText="1"/>
    </xf>
    <xf numFmtId="0" fontId="18" fillId="0" borderId="2" applyAlignment="1" pivotButton="0" quotePrefix="0" xfId="0">
      <alignment wrapText="1"/>
    </xf>
    <xf numFmtId="3" fontId="18" fillId="0" borderId="8" applyAlignment="1" pivotButton="0" quotePrefix="0" xfId="0">
      <alignment horizontal="right" wrapText="1"/>
    </xf>
    <xf numFmtId="0" fontId="18" fillId="0" borderId="9" applyAlignment="1" pivotButton="0" quotePrefix="0" xfId="0">
      <alignment wrapText="1"/>
    </xf>
    <xf numFmtId="167" fontId="19" fillId="0" borderId="9" applyAlignment="1" pivotButton="0" quotePrefix="0" xfId="0">
      <alignment horizontal="right" wrapText="1"/>
    </xf>
    <xf numFmtId="0" fontId="18" fillId="0" borderId="3" applyAlignment="1" pivotButton="0" quotePrefix="0" xfId="0">
      <alignment wrapText="1"/>
    </xf>
    <xf numFmtId="167" fontId="18" fillId="0" borderId="3" applyAlignment="1" pivotButton="0" quotePrefix="0" xfId="0">
      <alignment horizontal="right" wrapText="1"/>
    </xf>
    <xf numFmtId="0" fontId="19" fillId="0" borderId="4" applyAlignment="1" pivotButton="0" quotePrefix="0" xfId="0">
      <alignment wrapText="1"/>
    </xf>
    <xf numFmtId="167" fontId="19" fillId="0" borderId="4" applyAlignment="1" pivotButton="0" quotePrefix="0" xfId="0">
      <alignment horizontal="right" wrapText="1"/>
    </xf>
    <xf numFmtId="0" fontId="19" fillId="0" borderId="4" applyAlignment="1" pivotButton="0" quotePrefix="0" xfId="0">
      <alignment horizontal="left" wrapText="1"/>
    </xf>
    <xf numFmtId="0" fontId="19" fillId="0" borderId="4" applyAlignment="1" pivotButton="0" quotePrefix="1" xfId="0">
      <alignment wrapText="1"/>
    </xf>
    <xf numFmtId="0" fontId="18" fillId="0" borderId="3" applyAlignment="1" pivotButton="0" quotePrefix="0" xfId="0">
      <alignment horizontal="left" wrapText="1"/>
    </xf>
    <xf numFmtId="3" fontId="19" fillId="0" borderId="0" pivotButton="0" quotePrefix="0" xfId="0"/>
    <xf numFmtId="0" fontId="20" fillId="0" borderId="0" applyAlignment="1" pivotButton="0" quotePrefix="0" xfId="0">
      <alignment horizontal="left" vertical="center" wrapText="1"/>
    </xf>
    <xf numFmtId="0" fontId="21" fillId="0" borderId="0" pivotButton="0" quotePrefix="0" xfId="0"/>
    <xf numFmtId="0" fontId="1" fillId="5" borderId="1" pivotButton="0" quotePrefix="0" xfId="0"/>
    <xf numFmtId="168" fontId="2" fillId="0" borderId="0" pivotButton="0" quotePrefix="0" xfId="0"/>
    <xf numFmtId="169" fontId="2" fillId="0" borderId="0" pivotButton="0" quotePrefix="0" xfId="0"/>
    <xf numFmtId="169" fontId="2" fillId="6" borderId="1" pivotButton="0" quotePrefix="0" xfId="0"/>
    <xf numFmtId="0" fontId="15" fillId="0" borderId="0" applyAlignment="1" pivotButton="0" quotePrefix="0" xfId="0">
      <alignment horizontal="left" wrapText="1"/>
    </xf>
    <xf numFmtId="14" fontId="0" fillId="0" borderId="0" pivotButton="0" quotePrefix="0" xfId="0"/>
    <xf numFmtId="3" fontId="0" fillId="0" borderId="0" pivotButton="0" quotePrefix="0" xfId="0"/>
    <xf numFmtId="10" fontId="0" fillId="0" borderId="0" pivotButton="0" quotePrefix="0" xfId="0"/>
    <xf numFmtId="0" fontId="8" fillId="0" borderId="1" pivotButton="0" quotePrefix="0" xfId="0"/>
    <xf numFmtId="0" fontId="0" fillId="0" borderId="1" pivotButton="0" quotePrefix="0" xfId="0"/>
    <xf numFmtId="0" fontId="22" fillId="0" borderId="1" applyAlignment="1" pivotButton="0" quotePrefix="0" xfId="0">
      <alignment vertical="center"/>
    </xf>
    <xf numFmtId="0" fontId="23" fillId="0" borderId="1" pivotButton="0" quotePrefix="0" xfId="0"/>
    <xf numFmtId="2" fontId="0" fillId="0" borderId="0" pivotButton="0" quotePrefix="0" xfId="0"/>
    <xf numFmtId="0" fontId="7" fillId="0" borderId="1" pivotButton="0" quotePrefix="0" xfId="0"/>
    <xf numFmtId="170" fontId="2" fillId="0" borderId="0" pivotButton="0" quotePrefix="0" xfId="0"/>
    <xf numFmtId="170" fontId="2" fillId="7" borderId="0" pivotButton="0" quotePrefix="0" xfId="0"/>
    <xf numFmtId="0" fontId="24" fillId="0" borderId="1" pivotButton="0" quotePrefix="0" xfId="0"/>
    <xf numFmtId="11" fontId="0" fillId="0" borderId="1" pivotButton="0" quotePrefix="0" xfId="0"/>
    <xf numFmtId="0" fontId="25" fillId="0" borderId="1" applyAlignment="1" pivotButton="0" quotePrefix="0" xfId="0">
      <alignment vertical="center"/>
    </xf>
    <xf numFmtId="0" fontId="26" fillId="0" borderId="1" pivotButton="0" quotePrefix="0" xfId="0"/>
    <xf numFmtId="0" fontId="27" fillId="0" borderId="1" applyAlignment="1" pivotButton="0" quotePrefix="0" xfId="0">
      <alignment vertical="center"/>
    </xf>
    <xf numFmtId="170" fontId="2" fillId="0" borderId="1" pivotButton="0" quotePrefix="0" xfId="0"/>
    <xf numFmtId="0" fontId="2" fillId="0" borderId="1" pivotButton="0" quotePrefix="0" xfId="0"/>
    <xf numFmtId="0" fontId="11" fillId="0" borderId="5" applyAlignment="1" pivotButton="0" quotePrefix="0" xfId="0">
      <alignment wrapText="1"/>
    </xf>
    <xf numFmtId="0" fontId="0" fillId="0" borderId="5" pivotButton="0" quotePrefix="0" xfId="0"/>
    <xf numFmtId="0" fontId="15" fillId="0" borderId="1" applyAlignment="1" pivotButton="0" quotePrefix="0" xfId="0">
      <alignment horizontal="left" wrapText="1"/>
    </xf>
    <xf numFmtId="0" fontId="0" fillId="0" borderId="0" pivotButton="0" quotePrefix="0" xfId="0"/>
    <xf numFmtId="3" fontId="18" fillId="0" borderId="6" applyAlignment="1" pivotButton="0" quotePrefix="0" xfId="0">
      <alignment horizontal="left" wrapText="1"/>
    </xf>
    <xf numFmtId="0" fontId="0" fillId="0" borderId="6" pivotButton="0" quotePrefix="0" xfId="0"/>
    <xf numFmtId="3" fontId="18" fillId="0" borderId="10" applyAlignment="1" pivotButton="0" quotePrefix="0" xfId="0">
      <alignment horizontal="left" wrapText="1"/>
    </xf>
    <xf numFmtId="0" fontId="0" fillId="0" borderId="3" pivotButton="0" quotePrefix="0" xfId="0"/>
    <xf numFmtId="0" fontId="0" fillId="0" borderId="7"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ithub.com/RMI-Web/state-policy-simulator/blob/master/derive_metrics/bldgs/BDEQ_SYDEC.py" TargetMode="External" Id="rId1"/><Relationship Type="http://schemas.openxmlformats.org/officeDocument/2006/relationships/hyperlink" Target="https://www.eia.gov/opendata/qb.php?category=1737602)" TargetMode="External" Id="rId2"/></Relationships>
</file>

<file path=xl/worksheets/sheet1.xml><?xml version="1.0" encoding="utf-8"?>
<worksheet xmlns="http://schemas.openxmlformats.org/spreadsheetml/2006/main">
  <sheetPr>
    <outlinePr summaryBelow="1" summaryRight="1"/>
    <pageSetUpPr/>
  </sheetPr>
  <dimension ref="A1:G1000"/>
  <sheetViews>
    <sheetView topLeftCell="A18" workbookViewId="0">
      <selection activeCell="C36" sqref="C36"/>
    </sheetView>
  </sheetViews>
  <sheetFormatPr baseColWidth="10" defaultColWidth="12.6640625" defaultRowHeight="15" customHeight="1"/>
  <cols>
    <col width="15" customWidth="1" style="74" min="1" max="1"/>
    <col width="44.6640625" customWidth="1" style="74" min="2" max="2"/>
    <col width="7.6640625" customWidth="1" style="74" min="3" max="3"/>
    <col width="12.6640625" customWidth="1" style="74" min="4" max="4"/>
    <col width="9.5" customWidth="1" style="74" min="5" max="5"/>
    <col width="8.83203125" customWidth="1" style="57" min="6" max="7"/>
    <col width="7.6640625" customWidth="1" style="74" min="8" max="26"/>
  </cols>
  <sheetData>
    <row r="1" ht="14.25" customHeight="1" s="74">
      <c r="A1" s="1" t="inlineStr">
        <is>
          <t>BDEQ BAU Electricity Output from Distributed Sources</t>
        </is>
      </c>
      <c r="B1" s="57" t="inlineStr">
        <is>
          <t>New Jersey</t>
        </is>
      </c>
      <c r="C1" s="53" t="n">
        <v>45299</v>
      </c>
      <c r="D1" s="2" t="n"/>
      <c r="E1" s="2" t="n"/>
      <c r="F1" s="58" t="inlineStr">
        <is>
          <t>State</t>
        </is>
      </c>
      <c r="G1" s="58" t="inlineStr">
        <is>
          <t>State</t>
        </is>
      </c>
    </row>
    <row r="2" ht="14.25" customHeight="1" s="74">
      <c r="A2" s="1" t="inlineStr">
        <is>
          <t>BDEQ BAU Distributed Electricity Source Capacity</t>
        </is>
      </c>
      <c r="B2" s="57">
        <f>LOOKUP(B1,F2:G51,G2:G51)</f>
        <v/>
      </c>
      <c r="D2" s="2" t="n"/>
      <c r="E2" s="2" t="n"/>
      <c r="F2" s="59" t="inlineStr">
        <is>
          <t>Alabama</t>
        </is>
      </c>
      <c r="G2" s="59" t="inlineStr">
        <is>
          <t>AL</t>
        </is>
      </c>
    </row>
    <row r="3" ht="14.25" customHeight="1" s="74">
      <c r="A3" s="2" t="n"/>
      <c r="B3" s="2" t="n"/>
      <c r="D3" s="2" t="n"/>
      <c r="E3" s="2" t="n"/>
      <c r="F3" s="59" t="inlineStr">
        <is>
          <t>Alaska</t>
        </is>
      </c>
      <c r="G3" s="59" t="inlineStr">
        <is>
          <t>AK</t>
        </is>
      </c>
    </row>
    <row r="4" ht="14.25" customHeight="1" s="74">
      <c r="A4" s="1" t="inlineStr">
        <is>
          <t>Sources:</t>
        </is>
      </c>
      <c r="B4" s="3" t="inlineStr">
        <is>
          <t>Distributed Generation and Capacity</t>
        </is>
      </c>
      <c r="D4" s="2" t="n"/>
      <c r="E4" s="2" t="n"/>
      <c r="F4" s="59" t="inlineStr">
        <is>
          <t>Arizona</t>
        </is>
      </c>
      <c r="G4" s="59" t="inlineStr">
        <is>
          <t>AZ</t>
        </is>
      </c>
    </row>
    <row r="5" ht="14.25" customHeight="1" s="74">
      <c r="A5" s="2" t="n"/>
      <c r="B5" s="7" t="inlineStr">
        <is>
          <t>Energy Information Administration</t>
        </is>
      </c>
      <c r="D5" s="2" t="n"/>
      <c r="E5" s="2" t="n"/>
      <c r="F5" s="59" t="inlineStr">
        <is>
          <t>Arkansas</t>
        </is>
      </c>
      <c r="G5" s="59" t="inlineStr">
        <is>
          <t>AR</t>
        </is>
      </c>
    </row>
    <row r="6" ht="14.25" customHeight="1" s="74">
      <c r="A6" s="2" t="n"/>
      <c r="B6" s="4" t="n">
        <v>2020</v>
      </c>
      <c r="D6" s="2" t="n"/>
      <c r="E6" s="2" t="n"/>
      <c r="F6" s="59" t="inlineStr">
        <is>
          <t>California</t>
        </is>
      </c>
      <c r="G6" s="59" t="inlineStr">
        <is>
          <t>CA</t>
        </is>
      </c>
    </row>
    <row r="7" ht="14.25" customHeight="1" s="74">
      <c r="A7" s="2" t="n"/>
      <c r="B7" s="7" t="inlineStr">
        <is>
          <t>Annual Energy Outlook 2020</t>
        </is>
      </c>
      <c r="D7" s="2" t="n"/>
      <c r="E7" s="2" t="n"/>
      <c r="F7" s="59" t="inlineStr">
        <is>
          <t>Colorado</t>
        </is>
      </c>
      <c r="G7" s="59" t="inlineStr">
        <is>
          <t>CO</t>
        </is>
      </c>
    </row>
    <row r="8" ht="14.25" customHeight="1" s="74">
      <c r="A8" s="2" t="n"/>
      <c r="B8" s="7" t="inlineStr">
        <is>
          <t>https://www.eia.gov/outlooks/aeo/tables_ref.php</t>
        </is>
      </c>
      <c r="D8" s="2" t="n"/>
      <c r="E8" s="2" t="n"/>
      <c r="F8" s="59" t="inlineStr">
        <is>
          <t>Connecticut</t>
        </is>
      </c>
      <c r="G8" s="59" t="inlineStr">
        <is>
          <t>CT</t>
        </is>
      </c>
    </row>
    <row r="9" ht="14.25" customHeight="1" s="74">
      <c r="A9" s="2" t="n"/>
      <c r="B9" s="7" t="inlineStr">
        <is>
          <t>Table 21 and Table 22</t>
        </is>
      </c>
      <c r="D9" s="2" t="n"/>
      <c r="E9" s="2" t="n"/>
      <c r="F9" s="59" t="inlineStr">
        <is>
          <t>Delaware</t>
        </is>
      </c>
      <c r="G9" s="59" t="inlineStr">
        <is>
          <t>DE</t>
        </is>
      </c>
    </row>
    <row r="10" ht="14.25" customHeight="1" s="74">
      <c r="A10" s="2" t="n"/>
      <c r="B10" s="2" t="n"/>
      <c r="D10" s="2" t="n"/>
      <c r="E10" s="2" t="n"/>
      <c r="F10" s="59" t="inlineStr">
        <is>
          <t>Florida</t>
        </is>
      </c>
      <c r="G10" s="59" t="inlineStr">
        <is>
          <t>FL</t>
        </is>
      </c>
    </row>
    <row r="11" ht="14.25" customHeight="1" s="74">
      <c r="A11" s="2" t="n"/>
      <c r="B11" s="3" t="inlineStr">
        <is>
          <t>Urban vs. Rural Residential Households</t>
        </is>
      </c>
      <c r="D11" s="2" t="n"/>
      <c r="E11" s="2" t="n"/>
      <c r="F11" s="59" t="inlineStr">
        <is>
          <t>Georgia</t>
        </is>
      </c>
      <c r="G11" s="59" t="inlineStr">
        <is>
          <t>GA</t>
        </is>
      </c>
    </row>
    <row r="12" ht="14.25" customHeight="1" s="74">
      <c r="A12" s="2" t="n"/>
      <c r="B12" s="7" t="inlineStr">
        <is>
          <t>Energy Information Administration</t>
        </is>
      </c>
      <c r="D12" s="2" t="n"/>
      <c r="E12" s="2" t="n"/>
      <c r="F12" s="59" t="inlineStr">
        <is>
          <t>Hawaii</t>
        </is>
      </c>
      <c r="G12" s="59" t="inlineStr">
        <is>
          <t>HI</t>
        </is>
      </c>
    </row>
    <row r="13" ht="14.25" customHeight="1" s="74">
      <c r="A13" s="2" t="n"/>
      <c r="B13" s="4" t="n">
        <v>2018</v>
      </c>
      <c r="D13" s="2" t="n"/>
      <c r="E13" s="2" t="n"/>
      <c r="F13" s="59" t="inlineStr">
        <is>
          <t>Idaho</t>
        </is>
      </c>
      <c r="G13" s="59" t="inlineStr">
        <is>
          <t>ID</t>
        </is>
      </c>
    </row>
    <row r="14" ht="14.25" customHeight="1" s="74">
      <c r="A14" s="2" t="n"/>
      <c r="B14" s="7" t="inlineStr">
        <is>
          <t>Residential Energy Consumption Survey (RECS)</t>
        </is>
      </c>
      <c r="D14" s="2" t="n"/>
      <c r="E14" s="2" t="n"/>
      <c r="F14" s="59" t="inlineStr">
        <is>
          <t>Illinois</t>
        </is>
      </c>
      <c r="G14" s="59" t="inlineStr">
        <is>
          <t>IL</t>
        </is>
      </c>
    </row>
    <row r="15" ht="14.25" customHeight="1" s="74">
      <c r="A15" s="2" t="n"/>
      <c r="B15" s="7" t="inlineStr">
        <is>
          <t>https://www.eia.gov/consumption/residential/data/2015/hc/hc2.1.xlsx</t>
        </is>
      </c>
      <c r="D15" s="2" t="n"/>
      <c r="E15" s="2" t="n"/>
      <c r="F15" s="59" t="inlineStr">
        <is>
          <t>Indiana</t>
        </is>
      </c>
      <c r="G15" s="59" t="inlineStr">
        <is>
          <t>IN</t>
        </is>
      </c>
    </row>
    <row r="16" ht="14.25" customHeight="1" s="74">
      <c r="A16" s="2" t="n"/>
      <c r="B16" s="7" t="inlineStr">
        <is>
          <t>Table HC2.1</t>
        </is>
      </c>
      <c r="D16" s="2" t="n"/>
      <c r="E16" s="2" t="n"/>
      <c r="F16" s="59" t="inlineStr">
        <is>
          <t>Iowa</t>
        </is>
      </c>
      <c r="G16" s="59" t="inlineStr">
        <is>
          <t>IA</t>
        </is>
      </c>
    </row>
    <row r="17" ht="14.25" customHeight="1" s="74">
      <c r="A17" s="2" t="n"/>
      <c r="B17" s="2" t="n"/>
      <c r="D17" s="2" t="n"/>
      <c r="E17" s="2" t="n"/>
      <c r="F17" s="59" t="inlineStr">
        <is>
          <t>Kansas</t>
        </is>
      </c>
      <c r="G17" s="59" t="inlineStr">
        <is>
          <t>KS</t>
        </is>
      </c>
    </row>
    <row r="18" ht="14.25" customHeight="1" s="74">
      <c r="B18" s="5" t="inlineStr">
        <is>
          <t>State Downscaling</t>
        </is>
      </c>
      <c r="D18" s="2" t="n"/>
      <c r="E18" s="2" t="n"/>
      <c r="F18" s="59" t="inlineStr">
        <is>
          <t>Kentucky</t>
        </is>
      </c>
      <c r="G18" s="59" t="inlineStr">
        <is>
          <t>KY</t>
        </is>
      </c>
    </row>
    <row r="19" ht="14.25" customHeight="1" s="74">
      <c r="B19" s="7" t="inlineStr">
        <is>
          <t>Energy Information Administration</t>
        </is>
      </c>
      <c r="D19" s="2" t="n"/>
      <c r="E19" s="2" t="n"/>
      <c r="F19" s="59" t="inlineStr">
        <is>
          <t>Louisiana</t>
        </is>
      </c>
      <c r="G19" s="59" t="inlineStr">
        <is>
          <t>LA</t>
        </is>
      </c>
    </row>
    <row r="20" ht="14.25" customHeight="1" s="74">
      <c r="B20" s="4" t="n">
        <v>2018</v>
      </c>
      <c r="D20" s="2" t="n"/>
      <c r="E20" s="2" t="n"/>
      <c r="F20" s="59" t="inlineStr">
        <is>
          <t>Maine</t>
        </is>
      </c>
      <c r="G20" s="59" t="inlineStr">
        <is>
          <t>ME</t>
        </is>
      </c>
    </row>
    <row r="21" ht="14.25" customHeight="1" s="74">
      <c r="B21" s="6" t="inlineStr">
        <is>
          <t>EIA State Level API to call data for:</t>
        </is>
      </c>
      <c r="D21" s="2" t="n"/>
      <c r="E21" s="2" t="n"/>
      <c r="F21" s="59" t="inlineStr">
        <is>
          <t>Maryland</t>
        </is>
      </c>
      <c r="G21" s="59" t="inlineStr">
        <is>
          <t>MD</t>
        </is>
      </c>
    </row>
    <row r="22" ht="14.25" customHeight="1" s="74">
      <c r="B22" s="6" t="inlineStr">
        <is>
          <t>Nat gas nonpeaker, onshore wind, solar, and petroleum capacity and generation</t>
        </is>
      </c>
      <c r="D22" s="2" t="n"/>
      <c r="E22" s="2" t="n"/>
      <c r="F22" s="59" t="inlineStr">
        <is>
          <t>Massachusetts</t>
        </is>
      </c>
      <c r="G22" s="59" t="inlineStr">
        <is>
          <t>MA</t>
        </is>
      </c>
    </row>
    <row r="23" ht="14.25" customHeight="1" s="74">
      <c r="B23" s="7" t="inlineStr">
        <is>
          <t>Scripts used to call and process data here:</t>
        </is>
      </c>
      <c r="D23" s="2" t="n"/>
      <c r="E23" s="2" t="n"/>
      <c r="F23" s="59" t="inlineStr">
        <is>
          <t>Michigan</t>
        </is>
      </c>
      <c r="G23" s="59" t="inlineStr">
        <is>
          <t>MI</t>
        </is>
      </c>
    </row>
    <row r="24" ht="14.25" customHeight="1" s="74">
      <c r="B24" s="8" t="inlineStr">
        <is>
          <t>https://github.com/RMI-Web/state-policy-simulator/blob/master/derive_metrics/bldgs/BDEQ_SYDEC.py</t>
        </is>
      </c>
      <c r="D24" s="2" t="n"/>
      <c r="E24" s="2" t="n"/>
      <c r="F24" s="59" t="inlineStr">
        <is>
          <t>Minnesota</t>
        </is>
      </c>
      <c r="G24" s="59" t="inlineStr">
        <is>
          <t>MN</t>
        </is>
      </c>
    </row>
    <row r="25" ht="14.25" customHeight="1" s="74">
      <c r="D25" s="2" t="n"/>
      <c r="E25" s="2" t="n"/>
      <c r="F25" s="59" t="inlineStr">
        <is>
          <t>Mississippi</t>
        </is>
      </c>
      <c r="G25" s="59" t="inlineStr">
        <is>
          <t>MS</t>
        </is>
      </c>
    </row>
    <row r="26" ht="14.25" customHeight="1" s="74">
      <c r="D26" s="2" t="n"/>
      <c r="E26" s="2" t="n"/>
      <c r="F26" s="59" t="inlineStr">
        <is>
          <t>Missouri</t>
        </is>
      </c>
      <c r="G26" s="59" t="inlineStr">
        <is>
          <t>MO</t>
        </is>
      </c>
    </row>
    <row r="27" ht="14.25" customHeight="1" s="74">
      <c r="D27" s="2" t="n"/>
      <c r="E27" s="2" t="n"/>
      <c r="F27" s="59" t="inlineStr">
        <is>
          <t>Montana</t>
        </is>
      </c>
      <c r="G27" s="59" t="inlineStr">
        <is>
          <t>MT</t>
        </is>
      </c>
    </row>
    <row r="28" ht="42.75" customHeight="1" s="74">
      <c r="C28" s="9" t="n"/>
      <c r="D28" s="10" t="n"/>
      <c r="E28" s="10" t="n"/>
      <c r="F28" s="59" t="inlineStr">
        <is>
          <t>Nebraska</t>
        </is>
      </c>
      <c r="G28" s="59" t="inlineStr">
        <is>
          <t>NE</t>
        </is>
      </c>
    </row>
    <row r="29" ht="14.25" customHeight="1" s="74">
      <c r="A29" s="13" t="inlineStr">
        <is>
          <t>Notes</t>
        </is>
      </c>
      <c r="B29" s="14" t="n"/>
      <c r="D29" s="2" t="n"/>
      <c r="E29" s="2" t="n"/>
      <c r="F29" s="59" t="inlineStr">
        <is>
          <t>Nevada</t>
        </is>
      </c>
      <c r="G29" s="59" t="inlineStr">
        <is>
          <t>NV</t>
        </is>
      </c>
    </row>
    <row r="30" ht="14.25" customHeight="1" s="74">
      <c r="A30" t="inlineStr">
        <is>
          <t>The variable "BCEU BAU Components Energy Use" includes only "purchased electricity"</t>
        </is>
      </c>
      <c r="B30" s="14" t="n"/>
      <c r="D30" s="2" t="n"/>
      <c r="E30" s="2" t="n"/>
      <c r="F30" s="59" t="inlineStr">
        <is>
          <t>New Hampshire</t>
        </is>
      </c>
      <c r="G30" s="59" t="inlineStr">
        <is>
          <t>NH</t>
        </is>
      </c>
    </row>
    <row r="31" ht="14.25" customHeight="1" s="74">
      <c r="A31" t="inlineStr">
        <is>
          <t>(i.e. that which buildings get from the grid, not generate on-site), so the quantities</t>
        </is>
      </c>
      <c r="B31" s="14" t="n"/>
      <c r="D31" s="2" t="n"/>
      <c r="E31" s="2" t="n"/>
      <c r="F31" s="59" t="inlineStr">
        <is>
          <t>New Jersey</t>
        </is>
      </c>
      <c r="G31" s="59" t="inlineStr">
        <is>
          <t>NJ</t>
        </is>
      </c>
    </row>
    <row r="32" ht="14.25" customHeight="1" s="74">
      <c r="A32" t="inlineStr">
        <is>
          <t xml:space="preserve">of generation in this variable are additional. Electricity Output is reported in MWh and </t>
        </is>
      </c>
      <c r="B32" s="14" t="n"/>
      <c r="D32" s="2" t="n"/>
      <c r="E32" s="2" t="n"/>
      <c r="F32" s="59" t="inlineStr">
        <is>
          <t>New Mexico</t>
        </is>
      </c>
      <c r="G32" s="59" t="inlineStr">
        <is>
          <t>NM</t>
        </is>
      </c>
    </row>
    <row r="33" ht="14.25" customHeight="1" s="74">
      <c r="A33" t="inlineStr">
        <is>
          <t>Capacity is reported in MW</t>
        </is>
      </c>
      <c r="B33" s="14" t="n"/>
      <c r="D33" s="2" t="n"/>
      <c r="E33" s="2" t="n"/>
      <c r="F33" s="59" t="inlineStr">
        <is>
          <t>New York</t>
        </is>
      </c>
      <c r="G33" s="59" t="inlineStr">
        <is>
          <t>NY</t>
        </is>
      </c>
    </row>
    <row r="34" ht="14.25" customHeight="1" s="74">
      <c r="A34" s="14" t="n"/>
      <c r="B34" s="14" t="n"/>
      <c r="D34" s="2" t="n"/>
      <c r="E34" s="2" t="n"/>
      <c r="F34" s="59" t="inlineStr">
        <is>
          <t>North Carolina</t>
        </is>
      </c>
      <c r="G34" s="59" t="inlineStr">
        <is>
          <t>NC</t>
        </is>
      </c>
    </row>
    <row r="35" ht="14.25" customHeight="1" s="74">
      <c r="A35" s="13" t="inlineStr">
        <is>
          <t>Urban Rural Split</t>
        </is>
      </c>
      <c r="B35" s="14" t="n"/>
      <c r="D35" s="2" t="n"/>
      <c r="E35" s="2" t="n"/>
      <c r="F35" s="59" t="inlineStr">
        <is>
          <t>North Dakota</t>
        </is>
      </c>
      <c r="G35" s="59" t="inlineStr">
        <is>
          <t>ND</t>
        </is>
      </c>
    </row>
    <row r="36" ht="14.25" customHeight="1" s="74">
      <c r="A36" s="11" t="n">
        <v>0.8011844331641286</v>
      </c>
      <c r="B36" t="inlineStr">
        <is>
          <t>Urban</t>
        </is>
      </c>
      <c r="D36" s="2" t="n"/>
      <c r="E36" s="2" t="n"/>
      <c r="F36" s="59" t="inlineStr">
        <is>
          <t>Ohio</t>
        </is>
      </c>
      <c r="G36" s="59" t="inlineStr">
        <is>
          <t>OH</t>
        </is>
      </c>
    </row>
    <row r="37" ht="14.25" customHeight="1" s="74">
      <c r="A37" s="11" t="n">
        <v>0.1988155668358714</v>
      </c>
      <c r="B37" t="inlineStr">
        <is>
          <t>Rural</t>
        </is>
      </c>
      <c r="D37" s="2" t="n"/>
      <c r="E37" s="2" t="n"/>
      <c r="F37" s="59" t="inlineStr">
        <is>
          <t>Oklahoma</t>
        </is>
      </c>
      <c r="G37" s="59" t="inlineStr">
        <is>
          <t>OK</t>
        </is>
      </c>
    </row>
    <row r="38" ht="14.25" customHeight="1" s="74">
      <c r="A38" s="14" t="n"/>
      <c r="B38" s="14" t="n"/>
      <c r="D38" s="2" t="n"/>
      <c r="E38" s="2" t="n"/>
      <c r="F38" s="59" t="inlineStr">
        <is>
          <t>Oregon</t>
        </is>
      </c>
      <c r="G38" s="59" t="inlineStr">
        <is>
          <t>OR</t>
        </is>
      </c>
    </row>
    <row r="39" ht="14.25" customHeight="1" s="74">
      <c r="A39" s="12" t="inlineStr">
        <is>
          <t>Conversion from billion kilowatthours to megawatthours</t>
        </is>
      </c>
      <c r="B39" t="n">
        <v>1000000</v>
      </c>
      <c r="D39" s="2" t="n"/>
      <c r="E39" s="2" t="n"/>
      <c r="F39" s="59" t="inlineStr">
        <is>
          <t>Pennsylvania</t>
        </is>
      </c>
      <c r="G39" s="59" t="inlineStr">
        <is>
          <t>PA</t>
        </is>
      </c>
    </row>
    <row r="40" ht="14.25" customHeight="1" s="74">
      <c r="A40" t="inlineStr">
        <is>
          <t>Conversion from gigawatts to megawatts</t>
        </is>
      </c>
      <c r="B40" t="n">
        <v>1000</v>
      </c>
      <c r="D40" s="2" t="n"/>
      <c r="E40" s="2" t="n"/>
      <c r="F40" s="59" t="inlineStr">
        <is>
          <t>Rhode Island</t>
        </is>
      </c>
      <c r="G40" s="59" t="inlineStr">
        <is>
          <t>RI</t>
        </is>
      </c>
    </row>
    <row r="41" ht="14.25" customHeight="1" s="74">
      <c r="A41" s="2" t="n"/>
      <c r="B41" s="2" t="n"/>
      <c r="D41" s="2" t="n"/>
      <c r="E41" s="2" t="n"/>
      <c r="F41" s="59" t="inlineStr">
        <is>
          <t>South Carolina</t>
        </is>
      </c>
      <c r="G41" s="59" t="inlineStr">
        <is>
          <t>SC</t>
        </is>
      </c>
    </row>
    <row r="42" ht="14.25" customHeight="1" s="74">
      <c r="A42" s="13" t="inlineStr">
        <is>
          <t>Notes for state downscaling</t>
        </is>
      </c>
      <c r="B42" s="2" t="n"/>
      <c r="D42" s="2" t="n"/>
      <c r="E42" s="2" t="n"/>
      <c r="F42" s="59" t="inlineStr">
        <is>
          <t>South Dakota</t>
        </is>
      </c>
      <c r="G42" s="59" t="inlineStr">
        <is>
          <t>SD</t>
        </is>
      </c>
    </row>
    <row r="43" ht="14.25" customHeight="1" s="74">
      <c r="A43" s="13" t="n"/>
      <c r="B43" s="2" t="n"/>
      <c r="D43" s="2" t="n"/>
      <c r="E43" s="2" t="n"/>
      <c r="F43" s="59" t="inlineStr">
        <is>
          <t>Tennessee</t>
        </is>
      </c>
      <c r="G43" s="59" t="inlineStr">
        <is>
          <t>TN</t>
        </is>
      </c>
    </row>
    <row r="44" ht="14.25" customHeight="1" s="74">
      <c r="A44" s="14" t="inlineStr">
        <is>
          <t xml:space="preserve">EIA publishes small-scale production by state for residential, commercial, and independent </t>
        </is>
      </c>
      <c r="B44" s="2" t="n"/>
      <c r="D44" s="2" t="n"/>
      <c r="E44" s="2" t="n"/>
      <c r="F44" s="59" t="inlineStr">
        <is>
          <t>Texas</t>
        </is>
      </c>
      <c r="G44" s="59" t="inlineStr">
        <is>
          <t>TX</t>
        </is>
      </c>
    </row>
    <row r="45" ht="14.25" customHeight="1" s="74">
      <c r="A45" s="15" t="inlineStr">
        <is>
          <t>producers (e.g. residential PV generation located at https://www.eia.gov/opendata/qb.php?category=1737602)</t>
        </is>
      </c>
      <c r="B45" s="2" t="n"/>
      <c r="D45" s="2" t="n"/>
      <c r="E45" s="2" t="n"/>
      <c r="F45" s="59" t="inlineStr">
        <is>
          <t>Utah</t>
        </is>
      </c>
      <c r="G45" s="59" t="inlineStr">
        <is>
          <t>UT</t>
        </is>
      </c>
    </row>
    <row r="46" ht="14.25" customHeight="1" s="74">
      <c r="A46" s="14" t="inlineStr">
        <is>
          <t>Divide the state’s net electricity generation for a given technology (e.g. solar PV, including utility-scale) by the national total</t>
        </is>
      </c>
      <c r="B46" s="2" t="n"/>
      <c r="D46" s="2" t="n"/>
      <c r="E46" s="2" t="n"/>
      <c r="F46" s="59" t="inlineStr">
        <is>
          <t>Vermont</t>
        </is>
      </c>
      <c r="G46" s="59" t="inlineStr">
        <is>
          <t>VT</t>
        </is>
      </c>
    </row>
    <row r="47" ht="14.25" customHeight="1" s="74">
      <c r="A47" s="16" t="inlineStr">
        <is>
          <t>Where the given sector’s generation is not available (e.g. onshore wind for residential), proxy using the state’s independent power producers.</t>
        </is>
      </c>
      <c r="B47" s="2" t="n"/>
      <c r="D47" s="2" t="n"/>
      <c r="E47" s="2" t="n"/>
      <c r="F47" s="59" t="inlineStr">
        <is>
          <t>Virginia</t>
        </is>
      </c>
      <c r="G47" s="59" t="inlineStr">
        <is>
          <t>VA</t>
        </is>
      </c>
    </row>
    <row r="48" ht="14.25" customHeight="1" s="74">
      <c r="A48" s="14" t="inlineStr">
        <is>
          <t>Get national level distributed generation figures from the AEO, using the API</t>
        </is>
      </c>
      <c r="B48" s="2" t="n"/>
      <c r="D48" s="2" t="n"/>
      <c r="E48" s="2" t="n"/>
      <c r="F48" s="59" t="inlineStr">
        <is>
          <t>Washington</t>
        </is>
      </c>
      <c r="G48" s="59" t="inlineStr">
        <is>
          <t>WA</t>
        </is>
      </c>
    </row>
    <row r="49" ht="14.25" customHeight="1" s="74">
      <c r="A49" s="2" t="n"/>
      <c r="B49" s="2" t="n"/>
      <c r="D49" s="2" t="n"/>
      <c r="E49" s="2" t="n"/>
      <c r="F49" s="59" t="inlineStr">
        <is>
          <t>West Virginia</t>
        </is>
      </c>
      <c r="G49" s="59" t="inlineStr">
        <is>
          <t>WV</t>
        </is>
      </c>
    </row>
    <row r="50" ht="14.25" customHeight="1" s="74">
      <c r="A50" s="2" t="n"/>
      <c r="B50" s="2" t="n"/>
      <c r="D50" s="2" t="n"/>
      <c r="E50" s="2" t="n"/>
      <c r="F50" s="59" t="inlineStr">
        <is>
          <t>Wisconsin</t>
        </is>
      </c>
      <c r="G50" s="59" t="inlineStr">
        <is>
          <t>WI</t>
        </is>
      </c>
    </row>
    <row r="51" ht="14.25" customHeight="1" s="74">
      <c r="A51" s="2" t="n"/>
      <c r="B51" s="2" t="n"/>
      <c r="D51" s="2" t="n"/>
      <c r="E51" s="2" t="n"/>
      <c r="F51" s="59" t="inlineStr">
        <is>
          <t>Wyoming</t>
        </is>
      </c>
      <c r="G51" s="59" t="inlineStr">
        <is>
          <t>WY</t>
        </is>
      </c>
    </row>
    <row r="52" ht="14.25" customHeight="1" s="74">
      <c r="A52" s="2" t="n"/>
      <c r="B52" s="2" t="n"/>
      <c r="D52" s="2" t="n"/>
      <c r="E52" s="2" t="n"/>
    </row>
    <row r="53" ht="14.25" customHeight="1" s="74">
      <c r="A53" s="2" t="n"/>
      <c r="B53" s="2" t="n"/>
      <c r="D53" s="2" t="n"/>
      <c r="E53" s="2" t="n"/>
    </row>
    <row r="54" ht="14.25" customHeight="1" s="74">
      <c r="A54" s="2" t="n"/>
      <c r="B54" s="2" t="n"/>
      <c r="D54" s="2" t="n"/>
      <c r="E54" s="2" t="n"/>
    </row>
    <row r="55" ht="14.25" customHeight="1" s="74">
      <c r="A55" s="2" t="n"/>
      <c r="B55" s="2" t="n"/>
      <c r="D55" s="2" t="n"/>
      <c r="E55" s="2" t="n"/>
    </row>
    <row r="56" ht="14.25" customHeight="1" s="74">
      <c r="A56" s="2" t="n"/>
      <c r="B56" s="2" t="n"/>
      <c r="D56" s="2" t="n"/>
      <c r="E56" s="2" t="n"/>
    </row>
    <row r="57" ht="14.25" customHeight="1" s="74">
      <c r="A57" s="2" t="n"/>
      <c r="B57" s="2" t="n"/>
      <c r="D57" s="2" t="n"/>
      <c r="E57" s="2" t="n"/>
    </row>
    <row r="58" ht="14.25" customHeight="1" s="74">
      <c r="A58" s="2" t="n"/>
      <c r="B58" s="2" t="n"/>
      <c r="D58" s="2" t="n"/>
      <c r="E58" s="2" t="n"/>
    </row>
    <row r="59" ht="14.25" customHeight="1" s="74">
      <c r="A59" s="2" t="n"/>
      <c r="B59" s="2" t="n"/>
      <c r="D59" s="2" t="n"/>
      <c r="E59" s="2" t="n"/>
    </row>
    <row r="60" ht="14.25" customHeight="1" s="74">
      <c r="A60" s="2" t="n"/>
      <c r="B60" s="2" t="n"/>
      <c r="D60" s="2" t="n"/>
      <c r="E60" s="2" t="n"/>
    </row>
    <row r="61" ht="14.25" customHeight="1" s="74">
      <c r="A61" s="2" t="n"/>
      <c r="B61" s="2" t="n"/>
      <c r="D61" s="2" t="n"/>
      <c r="E61" s="2" t="n"/>
    </row>
    <row r="62" ht="14.25" customHeight="1" s="74">
      <c r="A62" s="2" t="n"/>
      <c r="B62" s="2" t="n"/>
      <c r="D62" s="2" t="n"/>
      <c r="E62" s="2" t="n"/>
    </row>
    <row r="63" ht="14.25" customHeight="1" s="74">
      <c r="A63" s="2" t="n"/>
      <c r="B63" s="2" t="n"/>
      <c r="D63" s="2" t="n"/>
      <c r="E63" s="2" t="n"/>
    </row>
    <row r="64" ht="14.25" customHeight="1" s="74">
      <c r="A64" s="2" t="n"/>
      <c r="B64" s="2" t="n"/>
      <c r="D64" s="2" t="n"/>
      <c r="E64" s="2" t="n"/>
    </row>
    <row r="65" ht="14.25" customHeight="1" s="74">
      <c r="A65" s="2" t="n"/>
      <c r="B65" s="2" t="n"/>
      <c r="D65" s="2" t="n"/>
      <c r="E65" s="2" t="n"/>
    </row>
    <row r="66" ht="14.25" customHeight="1" s="74">
      <c r="A66" s="2" t="n"/>
      <c r="B66" s="2" t="n"/>
      <c r="D66" s="2" t="n"/>
      <c r="E66" s="2" t="n"/>
    </row>
    <row r="67" ht="14.25" customHeight="1" s="74">
      <c r="A67" s="2" t="n"/>
      <c r="B67" s="2" t="n"/>
      <c r="D67" s="2" t="n"/>
      <c r="E67" s="2" t="n"/>
    </row>
    <row r="68" ht="14.25" customHeight="1" s="74">
      <c r="A68" s="2" t="n"/>
      <c r="B68" s="2" t="n"/>
      <c r="D68" s="2" t="n"/>
      <c r="E68" s="2" t="n"/>
    </row>
    <row r="69" ht="14.25" customHeight="1" s="74">
      <c r="A69" s="2" t="n"/>
      <c r="B69" s="2" t="n"/>
      <c r="D69" s="2" t="n"/>
      <c r="E69" s="2" t="n"/>
    </row>
    <row r="70" ht="14.25" customHeight="1" s="74">
      <c r="A70" s="2" t="n"/>
      <c r="B70" s="2" t="n"/>
      <c r="D70" s="2" t="n"/>
      <c r="E70" s="2" t="n"/>
    </row>
    <row r="71" ht="14.25" customHeight="1" s="74">
      <c r="A71" s="2" t="n"/>
      <c r="B71" s="2" t="n"/>
      <c r="D71" s="2" t="n"/>
      <c r="E71" s="2" t="n"/>
    </row>
    <row r="72" ht="14.25" customHeight="1" s="74">
      <c r="A72" s="2" t="n"/>
      <c r="B72" s="2" t="n"/>
      <c r="D72" s="2" t="n"/>
      <c r="E72" s="2" t="n"/>
    </row>
    <row r="73" ht="14.25" customHeight="1" s="74">
      <c r="A73" s="2" t="n"/>
      <c r="B73" s="2" t="n"/>
      <c r="D73" s="2" t="n"/>
      <c r="E73" s="2" t="n"/>
    </row>
    <row r="74" ht="14.25" customHeight="1" s="74">
      <c r="A74" s="2" t="n"/>
      <c r="B74" s="2" t="n"/>
      <c r="D74" s="2" t="n"/>
      <c r="E74" s="2" t="n"/>
    </row>
    <row r="75" ht="14.25" customHeight="1" s="74">
      <c r="A75" s="2" t="n"/>
      <c r="B75" s="2" t="n"/>
      <c r="D75" s="2" t="n"/>
      <c r="E75" s="2" t="n"/>
    </row>
    <row r="76" ht="14.25" customHeight="1" s="74">
      <c r="A76" s="2" t="n"/>
      <c r="B76" s="2" t="n"/>
      <c r="D76" s="2" t="n"/>
      <c r="E76" s="2" t="n"/>
    </row>
    <row r="77" ht="14.25" customHeight="1" s="74">
      <c r="A77" s="2" t="n"/>
      <c r="B77" s="2" t="n"/>
      <c r="D77" s="2" t="n"/>
      <c r="E77" s="2" t="n"/>
    </row>
    <row r="78" ht="14.25" customHeight="1" s="74">
      <c r="A78" s="2" t="n"/>
      <c r="B78" s="2" t="n"/>
      <c r="D78" s="2" t="n"/>
      <c r="E78" s="2" t="n"/>
    </row>
    <row r="79" ht="14.25" customHeight="1" s="74">
      <c r="A79" s="2" t="n"/>
      <c r="B79" s="2" t="n"/>
      <c r="D79" s="2" t="n"/>
      <c r="E79" s="2" t="n"/>
    </row>
    <row r="80" ht="14.25" customHeight="1" s="74">
      <c r="A80" s="2" t="n"/>
      <c r="B80" s="2" t="n"/>
      <c r="D80" s="2" t="n"/>
      <c r="E80" s="2" t="n"/>
    </row>
    <row r="81" ht="14.25" customHeight="1" s="74">
      <c r="A81" s="2" t="n"/>
      <c r="B81" s="2" t="n"/>
      <c r="D81" s="2" t="n"/>
      <c r="E81" s="2" t="n"/>
    </row>
    <row r="82" ht="14.25" customHeight="1" s="74">
      <c r="A82" s="2" t="n"/>
      <c r="B82" s="2" t="n"/>
      <c r="D82" s="2" t="n"/>
      <c r="E82" s="2" t="n"/>
    </row>
    <row r="83" ht="14.25" customHeight="1" s="74">
      <c r="A83" s="2" t="n"/>
      <c r="B83" s="2" t="n"/>
      <c r="D83" s="2" t="n"/>
      <c r="E83" s="2" t="n"/>
    </row>
    <row r="84" ht="14.25" customHeight="1" s="74">
      <c r="A84" s="2" t="n"/>
      <c r="B84" s="2" t="n"/>
      <c r="D84" s="2" t="n"/>
      <c r="E84" s="2" t="n"/>
    </row>
    <row r="85" ht="14.25" customHeight="1" s="74">
      <c r="A85" s="2" t="n"/>
      <c r="B85" s="2" t="n"/>
      <c r="D85" s="2" t="n"/>
      <c r="E85" s="2" t="n"/>
    </row>
    <row r="86" ht="14.25" customHeight="1" s="74">
      <c r="A86" s="2" t="n"/>
      <c r="B86" s="2" t="n"/>
      <c r="D86" s="2" t="n"/>
      <c r="E86" s="2" t="n"/>
    </row>
    <row r="87" ht="14.25" customHeight="1" s="74">
      <c r="A87" s="2" t="n"/>
      <c r="B87" s="2" t="n"/>
      <c r="D87" s="2" t="n"/>
      <c r="E87" s="2" t="n"/>
    </row>
    <row r="88" ht="14.25" customHeight="1" s="74">
      <c r="A88" s="2" t="n"/>
      <c r="B88" s="2" t="n"/>
      <c r="D88" s="2" t="n"/>
      <c r="E88" s="2" t="n"/>
    </row>
    <row r="89" ht="14.25" customHeight="1" s="74">
      <c r="A89" s="2" t="n"/>
      <c r="B89" s="2" t="n"/>
      <c r="D89" s="2" t="n"/>
      <c r="E89" s="2" t="n"/>
    </row>
    <row r="90" ht="14.25" customHeight="1" s="74">
      <c r="A90" s="2" t="n"/>
      <c r="B90" s="2" t="n"/>
      <c r="D90" s="2" t="n"/>
      <c r="E90" s="2" t="n"/>
    </row>
    <row r="91" ht="14.25" customHeight="1" s="74">
      <c r="A91" s="2" t="n"/>
      <c r="B91" s="2" t="n"/>
      <c r="D91" s="2" t="n"/>
      <c r="E91" s="2" t="n"/>
    </row>
    <row r="92" ht="14.25" customHeight="1" s="74">
      <c r="A92" s="2" t="n"/>
      <c r="B92" s="2" t="n"/>
      <c r="D92" s="2" t="n"/>
      <c r="E92" s="2" t="n"/>
    </row>
    <row r="93" ht="14.25" customHeight="1" s="74">
      <c r="A93" s="2" t="n"/>
      <c r="B93" s="2" t="n"/>
      <c r="D93" s="2" t="n"/>
      <c r="E93" s="2" t="n"/>
    </row>
    <row r="94" ht="14.25" customHeight="1" s="74">
      <c r="A94" s="2" t="n"/>
      <c r="B94" s="2" t="n"/>
      <c r="D94" s="2" t="n"/>
      <c r="E94" s="2" t="n"/>
    </row>
    <row r="95" ht="14.25" customHeight="1" s="74">
      <c r="A95" s="2" t="n"/>
      <c r="B95" s="2" t="n"/>
      <c r="D95" s="2" t="n"/>
      <c r="E95" s="2" t="n"/>
    </row>
    <row r="96" ht="14.25" customHeight="1" s="74">
      <c r="A96" s="2" t="n"/>
      <c r="B96" s="2" t="n"/>
      <c r="D96" s="2" t="n"/>
      <c r="E96" s="2" t="n"/>
    </row>
    <row r="97" ht="14.25" customHeight="1" s="74">
      <c r="A97" s="2" t="n"/>
      <c r="B97" s="2" t="n"/>
      <c r="D97" s="2" t="n"/>
      <c r="E97" s="2" t="n"/>
    </row>
    <row r="98" ht="14.25" customHeight="1" s="74">
      <c r="A98" s="2" t="n"/>
      <c r="B98" s="2" t="n"/>
      <c r="D98" s="2" t="n"/>
      <c r="E98" s="2" t="n"/>
    </row>
    <row r="99" ht="14.25" customHeight="1" s="74">
      <c r="A99" s="2" t="n"/>
      <c r="B99" s="2" t="n"/>
      <c r="D99" s="2" t="n"/>
      <c r="E99" s="2" t="n"/>
    </row>
    <row r="100" ht="14.25" customHeight="1" s="74">
      <c r="A100" s="2" t="n"/>
      <c r="B100" s="2" t="n"/>
      <c r="D100" s="2" t="n"/>
      <c r="E100" s="2" t="n"/>
    </row>
    <row r="101" ht="14.25" customHeight="1" s="74">
      <c r="A101" s="2" t="n"/>
      <c r="B101" s="2" t="n"/>
      <c r="D101" s="2" t="n"/>
      <c r="E101" s="2" t="n"/>
    </row>
    <row r="102" ht="14.25" customHeight="1" s="74">
      <c r="A102" s="2" t="n"/>
      <c r="B102" s="2" t="n"/>
      <c r="D102" s="2" t="n"/>
      <c r="E102" s="2" t="n"/>
    </row>
    <row r="103" ht="14.25" customHeight="1" s="74">
      <c r="A103" s="2" t="n"/>
      <c r="B103" s="2" t="n"/>
      <c r="D103" s="2" t="n"/>
      <c r="E103" s="2" t="n"/>
    </row>
    <row r="104" ht="14.25" customHeight="1" s="74">
      <c r="A104" s="2" t="n"/>
      <c r="B104" s="2" t="n"/>
      <c r="D104" s="2" t="n"/>
      <c r="E104" s="2" t="n"/>
    </row>
    <row r="105" ht="14.25" customHeight="1" s="74">
      <c r="A105" s="2" t="n"/>
      <c r="B105" s="2" t="n"/>
      <c r="D105" s="2" t="n"/>
      <c r="E105" s="2" t="n"/>
    </row>
    <row r="106" ht="14.25" customHeight="1" s="74">
      <c r="A106" s="2" t="n"/>
      <c r="B106" s="2" t="n"/>
      <c r="D106" s="2" t="n"/>
      <c r="E106" s="2" t="n"/>
    </row>
    <row r="107" ht="14.25" customHeight="1" s="74">
      <c r="A107" s="2" t="n"/>
      <c r="B107" s="2" t="n"/>
      <c r="D107" s="2" t="n"/>
      <c r="E107" s="2" t="n"/>
    </row>
    <row r="108" ht="14.25" customHeight="1" s="74">
      <c r="A108" s="2" t="n"/>
      <c r="B108" s="2" t="n"/>
      <c r="D108" s="2" t="n"/>
      <c r="E108" s="2" t="n"/>
    </row>
    <row r="109" ht="14.25" customHeight="1" s="74">
      <c r="A109" s="2" t="n"/>
      <c r="B109" s="2" t="n"/>
      <c r="D109" s="2" t="n"/>
      <c r="E109" s="2" t="n"/>
    </row>
    <row r="110" ht="14.25" customHeight="1" s="74">
      <c r="A110" s="2" t="n"/>
      <c r="B110" s="2" t="n"/>
      <c r="D110" s="2" t="n"/>
      <c r="E110" s="2" t="n"/>
    </row>
    <row r="111" ht="14.25" customHeight="1" s="74">
      <c r="A111" s="2" t="n"/>
      <c r="B111" s="2" t="n"/>
      <c r="D111" s="2" t="n"/>
      <c r="E111" s="2" t="n"/>
    </row>
    <row r="112" ht="14.25" customHeight="1" s="74">
      <c r="A112" s="2" t="n"/>
      <c r="B112" s="2" t="n"/>
      <c r="D112" s="2" t="n"/>
      <c r="E112" s="2" t="n"/>
    </row>
    <row r="113" ht="14.25" customHeight="1" s="74">
      <c r="A113" s="2" t="n"/>
      <c r="B113" s="2" t="n"/>
      <c r="D113" s="2" t="n"/>
      <c r="E113" s="2" t="n"/>
    </row>
    <row r="114" ht="14.25" customHeight="1" s="74">
      <c r="A114" s="2" t="n"/>
      <c r="B114" s="2" t="n"/>
      <c r="D114" s="2" t="n"/>
      <c r="E114" s="2" t="n"/>
    </row>
    <row r="115" ht="14.25" customHeight="1" s="74">
      <c r="A115" s="2" t="n"/>
      <c r="B115" s="2" t="n"/>
      <c r="D115" s="2" t="n"/>
      <c r="E115" s="2" t="n"/>
    </row>
    <row r="116" ht="14.25" customHeight="1" s="74">
      <c r="A116" s="2" t="n"/>
      <c r="B116" s="2" t="n"/>
      <c r="D116" s="2" t="n"/>
      <c r="E116" s="2" t="n"/>
    </row>
    <row r="117" ht="14.25" customHeight="1" s="74">
      <c r="A117" s="2" t="n"/>
      <c r="B117" s="2" t="n"/>
      <c r="D117" s="2" t="n"/>
      <c r="E117" s="2" t="n"/>
    </row>
    <row r="118" ht="14.25" customHeight="1" s="74">
      <c r="A118" s="2" t="n"/>
      <c r="B118" s="2" t="n"/>
      <c r="D118" s="2" t="n"/>
      <c r="E118" s="2" t="n"/>
    </row>
    <row r="119" ht="14.25" customHeight="1" s="74">
      <c r="A119" s="2" t="n"/>
      <c r="B119" s="2" t="n"/>
      <c r="D119" s="2" t="n"/>
      <c r="E119" s="2" t="n"/>
    </row>
    <row r="120" ht="14.25" customHeight="1" s="74">
      <c r="A120" s="2" t="n"/>
      <c r="B120" s="2" t="n"/>
      <c r="D120" s="2" t="n"/>
      <c r="E120" s="2" t="n"/>
    </row>
    <row r="121" ht="14.25" customHeight="1" s="74">
      <c r="A121" s="2" t="n"/>
      <c r="B121" s="2" t="n"/>
      <c r="D121" s="2" t="n"/>
      <c r="E121" s="2" t="n"/>
    </row>
    <row r="122" ht="14.25" customHeight="1" s="74">
      <c r="A122" s="2" t="n"/>
      <c r="B122" s="2" t="n"/>
      <c r="D122" s="2" t="n"/>
      <c r="E122" s="2" t="n"/>
    </row>
    <row r="123" ht="14.25" customHeight="1" s="74">
      <c r="A123" s="2" t="n"/>
      <c r="B123" s="2" t="n"/>
      <c r="D123" s="2" t="n"/>
      <c r="E123" s="2" t="n"/>
    </row>
    <row r="124" ht="14.25" customHeight="1" s="74">
      <c r="A124" s="2" t="n"/>
      <c r="B124" s="2" t="n"/>
      <c r="D124" s="2" t="n"/>
      <c r="E124" s="2" t="n"/>
    </row>
    <row r="125" ht="14.25" customHeight="1" s="74">
      <c r="A125" s="2" t="n"/>
      <c r="B125" s="2" t="n"/>
      <c r="D125" s="2" t="n"/>
      <c r="E125" s="2" t="n"/>
    </row>
    <row r="126" ht="14.25" customHeight="1" s="74">
      <c r="A126" s="2" t="n"/>
      <c r="B126" s="2" t="n"/>
      <c r="D126" s="2" t="n"/>
      <c r="E126" s="2" t="n"/>
    </row>
    <row r="127" ht="14.25" customHeight="1" s="74">
      <c r="A127" s="2" t="n"/>
      <c r="B127" s="2" t="n"/>
      <c r="D127" s="2" t="n"/>
      <c r="E127" s="2" t="n"/>
    </row>
    <row r="128" ht="14.25" customHeight="1" s="74">
      <c r="A128" s="2" t="n"/>
      <c r="B128" s="2" t="n"/>
      <c r="D128" s="2" t="n"/>
      <c r="E128" s="2" t="n"/>
    </row>
    <row r="129" ht="14.25" customHeight="1" s="74">
      <c r="A129" s="2" t="n"/>
      <c r="B129" s="2" t="n"/>
      <c r="D129" s="2" t="n"/>
      <c r="E129" s="2" t="n"/>
    </row>
    <row r="130" ht="14.25" customHeight="1" s="74">
      <c r="A130" s="2" t="n"/>
      <c r="B130" s="2" t="n"/>
      <c r="D130" s="2" t="n"/>
      <c r="E130" s="2" t="n"/>
    </row>
    <row r="131" ht="14.25" customHeight="1" s="74">
      <c r="A131" s="2" t="n"/>
      <c r="B131" s="2" t="n"/>
      <c r="D131" s="2" t="n"/>
      <c r="E131" s="2" t="n"/>
    </row>
    <row r="132" ht="14.25" customHeight="1" s="74">
      <c r="A132" s="2" t="n"/>
      <c r="B132" s="2" t="n"/>
      <c r="D132" s="2" t="n"/>
      <c r="E132" s="2" t="n"/>
    </row>
    <row r="133" ht="14.25" customHeight="1" s="74">
      <c r="A133" s="2" t="n"/>
      <c r="B133" s="2" t="n"/>
      <c r="D133" s="2" t="n"/>
      <c r="E133" s="2" t="n"/>
    </row>
    <row r="134" ht="14.25" customHeight="1" s="74">
      <c r="A134" s="2" t="n"/>
      <c r="B134" s="2" t="n"/>
      <c r="D134" s="2" t="n"/>
      <c r="E134" s="2" t="n"/>
    </row>
    <row r="135" ht="14.25" customHeight="1" s="74">
      <c r="A135" s="2" t="n"/>
      <c r="B135" s="2" t="n"/>
      <c r="D135" s="2" t="n"/>
      <c r="E135" s="2" t="n"/>
    </row>
    <row r="136" ht="14.25" customHeight="1" s="74">
      <c r="A136" s="2" t="n"/>
      <c r="B136" s="2" t="n"/>
      <c r="D136" s="2" t="n"/>
      <c r="E136" s="2" t="n"/>
    </row>
    <row r="137" ht="14.25" customHeight="1" s="74">
      <c r="A137" s="2" t="n"/>
      <c r="B137" s="2" t="n"/>
      <c r="D137" s="2" t="n"/>
      <c r="E137" s="2" t="n"/>
    </row>
    <row r="138" ht="14.25" customHeight="1" s="74">
      <c r="A138" s="2" t="n"/>
      <c r="B138" s="2" t="n"/>
      <c r="D138" s="2" t="n"/>
      <c r="E138" s="2" t="n"/>
    </row>
    <row r="139" ht="14.25" customHeight="1" s="74">
      <c r="A139" s="2" t="n"/>
      <c r="B139" s="2" t="n"/>
      <c r="D139" s="2" t="n"/>
      <c r="E139" s="2" t="n"/>
    </row>
    <row r="140" ht="14.25" customHeight="1" s="74">
      <c r="A140" s="2" t="n"/>
      <c r="B140" s="2" t="n"/>
      <c r="D140" s="2" t="n"/>
      <c r="E140" s="2" t="n"/>
    </row>
    <row r="141" ht="14.25" customHeight="1" s="74">
      <c r="A141" s="2" t="n"/>
      <c r="B141" s="2" t="n"/>
      <c r="D141" s="2" t="n"/>
      <c r="E141" s="2" t="n"/>
    </row>
    <row r="142" ht="14.25" customHeight="1" s="74">
      <c r="A142" s="2" t="n"/>
      <c r="B142" s="2" t="n"/>
      <c r="D142" s="2" t="n"/>
      <c r="E142" s="2" t="n"/>
    </row>
    <row r="143" ht="14.25" customHeight="1" s="74">
      <c r="A143" s="2" t="n"/>
      <c r="B143" s="2" t="n"/>
      <c r="D143" s="2" t="n"/>
      <c r="E143" s="2" t="n"/>
    </row>
    <row r="144" ht="14.25" customHeight="1" s="74">
      <c r="A144" s="2" t="n"/>
      <c r="B144" s="2" t="n"/>
      <c r="D144" s="2" t="n"/>
      <c r="E144" s="2" t="n"/>
    </row>
    <row r="145" ht="14.25" customHeight="1" s="74">
      <c r="A145" s="2" t="n"/>
      <c r="B145" s="2" t="n"/>
      <c r="D145" s="2" t="n"/>
      <c r="E145" s="2" t="n"/>
    </row>
    <row r="146" ht="14.25" customHeight="1" s="74">
      <c r="A146" s="2" t="n"/>
      <c r="B146" s="2" t="n"/>
      <c r="D146" s="2" t="n"/>
      <c r="E146" s="2" t="n"/>
    </row>
    <row r="147" ht="14.25" customHeight="1" s="74">
      <c r="A147" s="2" t="n"/>
      <c r="B147" s="2" t="n"/>
      <c r="D147" s="2" t="n"/>
      <c r="E147" s="2" t="n"/>
    </row>
    <row r="148" ht="14.25" customHeight="1" s="74">
      <c r="A148" s="2" t="n"/>
      <c r="B148" s="2" t="n"/>
      <c r="D148" s="2" t="n"/>
      <c r="E148" s="2" t="n"/>
    </row>
    <row r="149" ht="14.25" customHeight="1" s="74">
      <c r="A149" s="2" t="n"/>
      <c r="B149" s="2" t="n"/>
      <c r="D149" s="2" t="n"/>
      <c r="E149" s="2" t="n"/>
    </row>
    <row r="150" ht="14.25" customHeight="1" s="74">
      <c r="A150" s="2" t="n"/>
      <c r="B150" s="2" t="n"/>
      <c r="D150" s="2" t="n"/>
      <c r="E150" s="2" t="n"/>
    </row>
    <row r="151" ht="14.25" customHeight="1" s="74">
      <c r="A151" s="2" t="n"/>
      <c r="B151" s="2" t="n"/>
      <c r="D151" s="2" t="n"/>
      <c r="E151" s="2" t="n"/>
    </row>
    <row r="152" ht="14.25" customHeight="1" s="74">
      <c r="A152" s="2" t="n"/>
      <c r="B152" s="2" t="n"/>
      <c r="D152" s="2" t="n"/>
      <c r="E152" s="2" t="n"/>
    </row>
    <row r="153" ht="14.25" customHeight="1" s="74">
      <c r="A153" s="2" t="n"/>
      <c r="B153" s="2" t="n"/>
      <c r="D153" s="2" t="n"/>
      <c r="E153" s="2" t="n"/>
    </row>
    <row r="154" ht="14.25" customHeight="1" s="74">
      <c r="A154" s="2" t="n"/>
      <c r="B154" s="2" t="n"/>
      <c r="D154" s="2" t="n"/>
      <c r="E154" s="2" t="n"/>
    </row>
    <row r="155" ht="14.25" customHeight="1" s="74">
      <c r="A155" s="2" t="n"/>
      <c r="B155" s="2" t="n"/>
      <c r="D155" s="2" t="n"/>
      <c r="E155" s="2" t="n"/>
    </row>
    <row r="156" ht="14.25" customHeight="1" s="74">
      <c r="A156" s="2" t="n"/>
      <c r="B156" s="2" t="n"/>
      <c r="D156" s="2" t="n"/>
      <c r="E156" s="2" t="n"/>
    </row>
    <row r="157" ht="14.25" customHeight="1" s="74">
      <c r="A157" s="2" t="n"/>
      <c r="B157" s="2" t="n"/>
      <c r="D157" s="2" t="n"/>
      <c r="E157" s="2" t="n"/>
    </row>
    <row r="158" ht="14.25" customHeight="1" s="74">
      <c r="A158" s="2" t="n"/>
      <c r="B158" s="2" t="n"/>
      <c r="D158" s="2" t="n"/>
      <c r="E158" s="2" t="n"/>
    </row>
    <row r="159" ht="14.25" customHeight="1" s="74">
      <c r="A159" s="2" t="n"/>
      <c r="B159" s="2" t="n"/>
      <c r="D159" s="2" t="n"/>
      <c r="E159" s="2" t="n"/>
    </row>
    <row r="160" ht="14.25" customHeight="1" s="74">
      <c r="A160" s="2" t="n"/>
      <c r="B160" s="2" t="n"/>
      <c r="D160" s="2" t="n"/>
      <c r="E160" s="2" t="n"/>
    </row>
    <row r="161" ht="14.25" customHeight="1" s="74">
      <c r="A161" s="2" t="n"/>
      <c r="B161" s="2" t="n"/>
      <c r="D161" s="2" t="n"/>
      <c r="E161" s="2" t="n"/>
    </row>
    <row r="162" ht="14.25" customHeight="1" s="74">
      <c r="A162" s="2" t="n"/>
      <c r="B162" s="2" t="n"/>
      <c r="D162" s="2" t="n"/>
      <c r="E162" s="2" t="n"/>
    </row>
    <row r="163" ht="14.25" customHeight="1" s="74">
      <c r="A163" s="2" t="n"/>
      <c r="B163" s="2" t="n"/>
      <c r="D163" s="2" t="n"/>
      <c r="E163" s="2" t="n"/>
    </row>
    <row r="164" ht="14.25" customHeight="1" s="74">
      <c r="A164" s="2" t="n"/>
      <c r="B164" s="2" t="n"/>
      <c r="D164" s="2" t="n"/>
      <c r="E164" s="2" t="n"/>
    </row>
    <row r="165" ht="14.25" customHeight="1" s="74">
      <c r="A165" s="2" t="n"/>
      <c r="B165" s="2" t="n"/>
      <c r="D165" s="2" t="n"/>
      <c r="E165" s="2" t="n"/>
    </row>
    <row r="166" ht="14.25" customHeight="1" s="74">
      <c r="A166" s="2" t="n"/>
      <c r="B166" s="2" t="n"/>
      <c r="D166" s="2" t="n"/>
      <c r="E166" s="2" t="n"/>
    </row>
    <row r="167" ht="14.25" customHeight="1" s="74">
      <c r="A167" s="2" t="n"/>
      <c r="B167" s="2" t="n"/>
      <c r="D167" s="2" t="n"/>
      <c r="E167" s="2" t="n"/>
    </row>
    <row r="168" ht="14.25" customHeight="1" s="74">
      <c r="A168" s="2" t="n"/>
      <c r="B168" s="2" t="n"/>
      <c r="D168" s="2" t="n"/>
      <c r="E168" s="2" t="n"/>
    </row>
    <row r="169" ht="14.25" customHeight="1" s="74">
      <c r="A169" s="2" t="n"/>
      <c r="B169" s="2" t="n"/>
      <c r="D169" s="2" t="n"/>
      <c r="E169" s="2" t="n"/>
    </row>
    <row r="170" ht="14.25" customHeight="1" s="74">
      <c r="A170" s="2" t="n"/>
      <c r="B170" s="2" t="n"/>
      <c r="D170" s="2" t="n"/>
      <c r="E170" s="2" t="n"/>
    </row>
    <row r="171" ht="14.25" customHeight="1" s="74">
      <c r="A171" s="2" t="n"/>
      <c r="B171" s="2" t="n"/>
      <c r="D171" s="2" t="n"/>
      <c r="E171" s="2" t="n"/>
    </row>
    <row r="172" ht="14.25" customHeight="1" s="74">
      <c r="A172" s="2" t="n"/>
      <c r="B172" s="2" t="n"/>
      <c r="D172" s="2" t="n"/>
      <c r="E172" s="2" t="n"/>
    </row>
    <row r="173" ht="14.25" customHeight="1" s="74">
      <c r="A173" s="2" t="n"/>
      <c r="B173" s="2" t="n"/>
      <c r="D173" s="2" t="n"/>
      <c r="E173" s="2" t="n"/>
    </row>
    <row r="174" ht="14.25" customHeight="1" s="74">
      <c r="A174" s="2" t="n"/>
      <c r="B174" s="2" t="n"/>
      <c r="D174" s="2" t="n"/>
      <c r="E174" s="2" t="n"/>
    </row>
    <row r="175" ht="14.25" customHeight="1" s="74">
      <c r="A175" s="2" t="n"/>
      <c r="B175" s="2" t="n"/>
      <c r="D175" s="2" t="n"/>
      <c r="E175" s="2" t="n"/>
    </row>
    <row r="176" ht="14.25" customHeight="1" s="74">
      <c r="A176" s="2" t="n"/>
      <c r="B176" s="2" t="n"/>
      <c r="D176" s="2" t="n"/>
      <c r="E176" s="2" t="n"/>
    </row>
    <row r="177" ht="14.25" customHeight="1" s="74">
      <c r="A177" s="2" t="n"/>
      <c r="B177" s="2" t="n"/>
      <c r="D177" s="2" t="n"/>
      <c r="E177" s="2" t="n"/>
    </row>
    <row r="178" ht="14.25" customHeight="1" s="74">
      <c r="A178" s="2" t="n"/>
      <c r="B178" s="2" t="n"/>
      <c r="D178" s="2" t="n"/>
      <c r="E178" s="2" t="n"/>
    </row>
    <row r="179" ht="14.25" customHeight="1" s="74">
      <c r="A179" s="2" t="n"/>
      <c r="B179" s="2" t="n"/>
      <c r="D179" s="2" t="n"/>
      <c r="E179" s="2" t="n"/>
    </row>
    <row r="180" ht="14.25" customHeight="1" s="74">
      <c r="A180" s="2" t="n"/>
      <c r="B180" s="2" t="n"/>
      <c r="D180" s="2" t="n"/>
      <c r="E180" s="2" t="n"/>
    </row>
    <row r="181" ht="14.25" customHeight="1" s="74">
      <c r="A181" s="2" t="n"/>
      <c r="B181" s="2" t="n"/>
      <c r="D181" s="2" t="n"/>
      <c r="E181" s="2" t="n"/>
    </row>
    <row r="182" ht="14.25" customHeight="1" s="74">
      <c r="A182" s="2" t="n"/>
      <c r="B182" s="2" t="n"/>
      <c r="D182" s="2" t="n"/>
      <c r="E182" s="2" t="n"/>
    </row>
    <row r="183" ht="14.25" customHeight="1" s="74">
      <c r="A183" s="2" t="n"/>
      <c r="B183" s="2" t="n"/>
      <c r="D183" s="2" t="n"/>
      <c r="E183" s="2" t="n"/>
    </row>
    <row r="184" ht="14.25" customHeight="1" s="74">
      <c r="A184" s="2" t="n"/>
      <c r="B184" s="2" t="n"/>
      <c r="D184" s="2" t="n"/>
      <c r="E184" s="2" t="n"/>
    </row>
    <row r="185" ht="14.25" customHeight="1" s="74">
      <c r="A185" s="2" t="n"/>
      <c r="B185" s="2" t="n"/>
      <c r="D185" s="2" t="n"/>
      <c r="E185" s="2" t="n"/>
    </row>
    <row r="186" ht="14.25" customHeight="1" s="74">
      <c r="A186" s="2" t="n"/>
      <c r="B186" s="2" t="n"/>
      <c r="D186" s="2" t="n"/>
      <c r="E186" s="2" t="n"/>
    </row>
    <row r="187" ht="14.25" customHeight="1" s="74">
      <c r="A187" s="2" t="n"/>
      <c r="B187" s="2" t="n"/>
      <c r="D187" s="2" t="n"/>
      <c r="E187" s="2" t="n"/>
    </row>
    <row r="188" ht="14.25" customHeight="1" s="74">
      <c r="A188" s="2" t="n"/>
      <c r="B188" s="2" t="n"/>
      <c r="D188" s="2" t="n"/>
      <c r="E188" s="2" t="n"/>
    </row>
    <row r="189" ht="14.25" customHeight="1" s="74">
      <c r="A189" s="2" t="n"/>
      <c r="B189" s="2" t="n"/>
      <c r="D189" s="2" t="n"/>
      <c r="E189" s="2" t="n"/>
    </row>
    <row r="190" ht="14.25" customHeight="1" s="74">
      <c r="A190" s="2" t="n"/>
      <c r="B190" s="2" t="n"/>
      <c r="D190" s="2" t="n"/>
      <c r="E190" s="2" t="n"/>
    </row>
    <row r="191" ht="14.25" customHeight="1" s="74">
      <c r="A191" s="2" t="n"/>
      <c r="B191" s="2" t="n"/>
      <c r="D191" s="2" t="n"/>
      <c r="E191" s="2" t="n"/>
    </row>
    <row r="192" ht="14.25" customHeight="1" s="74">
      <c r="A192" s="2" t="n"/>
      <c r="B192" s="2" t="n"/>
      <c r="D192" s="2" t="n"/>
      <c r="E192" s="2" t="n"/>
    </row>
    <row r="193" ht="14.25" customHeight="1" s="74">
      <c r="A193" s="2" t="n"/>
      <c r="B193" s="2" t="n"/>
      <c r="D193" s="2" t="n"/>
      <c r="E193" s="2" t="n"/>
    </row>
    <row r="194" ht="14.25" customHeight="1" s="74">
      <c r="A194" s="2" t="n"/>
      <c r="B194" s="2" t="n"/>
      <c r="D194" s="2" t="n"/>
      <c r="E194" s="2" t="n"/>
    </row>
    <row r="195" ht="14.25" customHeight="1" s="74">
      <c r="A195" s="2" t="n"/>
      <c r="B195" s="2" t="n"/>
      <c r="D195" s="2" t="n"/>
      <c r="E195" s="2" t="n"/>
    </row>
    <row r="196" ht="14.25" customHeight="1" s="74">
      <c r="A196" s="2" t="n"/>
      <c r="B196" s="2" t="n"/>
      <c r="D196" s="2" t="n"/>
      <c r="E196" s="2" t="n"/>
    </row>
    <row r="197" ht="14.25" customHeight="1" s="74">
      <c r="A197" s="2" t="n"/>
      <c r="B197" s="2" t="n"/>
      <c r="D197" s="2" t="n"/>
      <c r="E197" s="2" t="n"/>
    </row>
    <row r="198" ht="14.25" customHeight="1" s="74">
      <c r="A198" s="2" t="n"/>
      <c r="B198" s="2" t="n"/>
      <c r="D198" s="2" t="n"/>
      <c r="E198" s="2" t="n"/>
    </row>
    <row r="199" ht="14.25" customHeight="1" s="74">
      <c r="A199" s="2" t="n"/>
      <c r="B199" s="2" t="n"/>
      <c r="D199" s="2" t="n"/>
      <c r="E199" s="2" t="n"/>
    </row>
    <row r="200" ht="14.25" customHeight="1" s="74">
      <c r="A200" s="2" t="n"/>
      <c r="B200" s="2" t="n"/>
      <c r="D200" s="2" t="n"/>
      <c r="E200" s="2" t="n"/>
    </row>
    <row r="201" ht="14.25" customHeight="1" s="74">
      <c r="A201" s="2" t="n"/>
      <c r="B201" s="2" t="n"/>
      <c r="D201" s="2" t="n"/>
      <c r="E201" s="2" t="n"/>
    </row>
    <row r="202" ht="14.25" customHeight="1" s="74">
      <c r="A202" s="2" t="n"/>
      <c r="B202" s="2" t="n"/>
      <c r="D202" s="2" t="n"/>
      <c r="E202" s="2" t="n"/>
    </row>
    <row r="203" ht="14.25" customHeight="1" s="74">
      <c r="A203" s="2" t="n"/>
      <c r="B203" s="2" t="n"/>
      <c r="D203" s="2" t="n"/>
      <c r="E203" s="2" t="n"/>
    </row>
    <row r="204" ht="14.25" customHeight="1" s="74">
      <c r="A204" s="2" t="n"/>
      <c r="B204" s="2" t="n"/>
      <c r="D204" s="2" t="n"/>
      <c r="E204" s="2" t="n"/>
    </row>
    <row r="205" ht="14.25" customHeight="1" s="74">
      <c r="A205" s="2" t="n"/>
      <c r="B205" s="2" t="n"/>
      <c r="D205" s="2" t="n"/>
      <c r="E205" s="2" t="n"/>
    </row>
    <row r="206" ht="14.25" customHeight="1" s="74">
      <c r="A206" s="2" t="n"/>
      <c r="B206" s="2" t="n"/>
      <c r="D206" s="2" t="n"/>
      <c r="E206" s="2" t="n"/>
    </row>
    <row r="207" ht="14.25" customHeight="1" s="74">
      <c r="A207" s="2" t="n"/>
      <c r="B207" s="2" t="n"/>
      <c r="D207" s="2" t="n"/>
      <c r="E207" s="2" t="n"/>
    </row>
    <row r="208" ht="14.25" customHeight="1" s="74">
      <c r="A208" s="2" t="n"/>
      <c r="B208" s="2" t="n"/>
      <c r="D208" s="2" t="n"/>
      <c r="E208" s="2" t="n"/>
    </row>
    <row r="209" ht="14.25" customHeight="1" s="74">
      <c r="A209" s="2" t="n"/>
      <c r="B209" s="2" t="n"/>
      <c r="D209" s="2" t="n"/>
      <c r="E209" s="2" t="n"/>
    </row>
    <row r="210" ht="14.25" customHeight="1" s="74">
      <c r="A210" s="2" t="n"/>
      <c r="B210" s="2" t="n"/>
      <c r="D210" s="2" t="n"/>
      <c r="E210" s="2" t="n"/>
    </row>
    <row r="211" ht="14.25" customHeight="1" s="74">
      <c r="A211" s="2" t="n"/>
      <c r="B211" s="2" t="n"/>
      <c r="D211" s="2" t="n"/>
      <c r="E211" s="2" t="n"/>
    </row>
    <row r="212" ht="14.25" customHeight="1" s="74">
      <c r="A212" s="2" t="n"/>
      <c r="B212" s="2" t="n"/>
      <c r="D212" s="2" t="n"/>
      <c r="E212" s="2" t="n"/>
    </row>
    <row r="213" ht="14.25" customHeight="1" s="74">
      <c r="A213" s="2" t="n"/>
      <c r="B213" s="2" t="n"/>
      <c r="D213" s="2" t="n"/>
      <c r="E213" s="2" t="n"/>
    </row>
    <row r="214" ht="14.25" customHeight="1" s="74">
      <c r="A214" s="2" t="n"/>
      <c r="B214" s="2" t="n"/>
      <c r="D214" s="2" t="n"/>
      <c r="E214" s="2" t="n"/>
    </row>
    <row r="215" ht="14.25" customHeight="1" s="74">
      <c r="A215" s="2" t="n"/>
      <c r="B215" s="2" t="n"/>
      <c r="D215" s="2" t="n"/>
      <c r="E215" s="2" t="n"/>
    </row>
    <row r="216" ht="14.25" customHeight="1" s="74">
      <c r="A216" s="2" t="n"/>
      <c r="B216" s="2" t="n"/>
      <c r="D216" s="2" t="n"/>
      <c r="E216" s="2" t="n"/>
    </row>
    <row r="217" ht="14.25" customHeight="1" s="74">
      <c r="A217" s="2" t="n"/>
      <c r="B217" s="2" t="n"/>
      <c r="D217" s="2" t="n"/>
      <c r="E217" s="2" t="n"/>
    </row>
    <row r="218" ht="14.25" customHeight="1" s="74">
      <c r="A218" s="2" t="n"/>
      <c r="B218" s="2" t="n"/>
      <c r="D218" s="2" t="n"/>
      <c r="E218" s="2" t="n"/>
    </row>
    <row r="219" ht="14.25" customHeight="1" s="74">
      <c r="A219" s="2" t="n"/>
      <c r="B219" s="2" t="n"/>
      <c r="D219" s="2" t="n"/>
      <c r="E219" s="2" t="n"/>
    </row>
    <row r="220" ht="14.25" customHeight="1" s="74">
      <c r="A220" s="2" t="n"/>
      <c r="B220" s="2" t="n"/>
      <c r="D220" s="2" t="n"/>
      <c r="E220" s="2" t="n"/>
    </row>
    <row r="221" ht="14.25" customHeight="1" s="74">
      <c r="A221" s="2" t="n"/>
      <c r="B221" s="2" t="n"/>
      <c r="D221" s="2" t="n"/>
      <c r="E221" s="2" t="n"/>
    </row>
    <row r="222" ht="14.25" customHeight="1" s="74">
      <c r="A222" s="2" t="n"/>
      <c r="B222" s="2" t="n"/>
      <c r="D222" s="2" t="n"/>
      <c r="E222" s="2" t="n"/>
    </row>
    <row r="223" ht="14.25" customHeight="1" s="74">
      <c r="A223" s="2" t="n"/>
      <c r="B223" s="2" t="n"/>
      <c r="D223" s="2" t="n"/>
      <c r="E223" s="2" t="n"/>
    </row>
    <row r="224" ht="14.25" customHeight="1" s="74">
      <c r="A224" s="2" t="n"/>
      <c r="B224" s="2" t="n"/>
      <c r="D224" s="2" t="n"/>
      <c r="E224" s="2" t="n"/>
    </row>
    <row r="225" ht="14.25" customHeight="1" s="74">
      <c r="A225" s="2" t="n"/>
      <c r="B225" s="2" t="n"/>
      <c r="D225" s="2" t="n"/>
      <c r="E225" s="2" t="n"/>
    </row>
    <row r="226" ht="14.25" customHeight="1" s="74">
      <c r="A226" s="2" t="n"/>
      <c r="B226" s="2" t="n"/>
      <c r="D226" s="2" t="n"/>
      <c r="E226" s="2" t="n"/>
    </row>
    <row r="227" ht="14.25" customHeight="1" s="74">
      <c r="A227" s="2" t="n"/>
      <c r="B227" s="2" t="n"/>
      <c r="D227" s="2" t="n"/>
      <c r="E227" s="2" t="n"/>
    </row>
    <row r="228" ht="14.25" customHeight="1" s="74">
      <c r="A228" s="2" t="n"/>
      <c r="B228" s="2" t="n"/>
      <c r="D228" s="2" t="n"/>
      <c r="E228" s="2" t="n"/>
    </row>
    <row r="229" ht="14.25" customHeight="1" s="74">
      <c r="A229" s="2" t="n"/>
      <c r="B229" s="2" t="n"/>
      <c r="D229" s="2" t="n"/>
      <c r="E229" s="2" t="n"/>
    </row>
    <row r="230" ht="14.25" customHeight="1" s="74">
      <c r="A230" s="2" t="n"/>
      <c r="B230" s="2" t="n"/>
      <c r="D230" s="2" t="n"/>
      <c r="E230" s="2" t="n"/>
    </row>
    <row r="231" ht="14.25" customHeight="1" s="74">
      <c r="A231" s="2" t="n"/>
      <c r="B231" s="2" t="n"/>
      <c r="D231" s="2" t="n"/>
      <c r="E231" s="2" t="n"/>
    </row>
    <row r="232" ht="14.25" customHeight="1" s="74">
      <c r="A232" s="2" t="n"/>
      <c r="B232" s="2" t="n"/>
      <c r="D232" s="2" t="n"/>
      <c r="E232" s="2" t="n"/>
    </row>
    <row r="233" ht="14.25" customHeight="1" s="74">
      <c r="A233" s="2" t="n"/>
      <c r="B233" s="2" t="n"/>
      <c r="D233" s="2" t="n"/>
      <c r="E233" s="2" t="n"/>
    </row>
    <row r="234" ht="14.25" customHeight="1" s="74">
      <c r="A234" s="2" t="n"/>
      <c r="B234" s="2" t="n"/>
      <c r="D234" s="2" t="n"/>
      <c r="E234" s="2" t="n"/>
    </row>
    <row r="235" ht="14.25" customHeight="1" s="74">
      <c r="A235" s="2" t="n"/>
      <c r="B235" s="2" t="n"/>
      <c r="D235" s="2" t="n"/>
      <c r="E235" s="2" t="n"/>
    </row>
    <row r="236" ht="14.25" customHeight="1" s="74">
      <c r="A236" s="2" t="n"/>
      <c r="B236" s="2" t="n"/>
      <c r="D236" s="2" t="n"/>
      <c r="E236" s="2" t="n"/>
    </row>
    <row r="237" ht="14.25" customHeight="1" s="74">
      <c r="A237" s="2" t="n"/>
      <c r="B237" s="2" t="n"/>
      <c r="D237" s="2" t="n"/>
      <c r="E237" s="2" t="n"/>
    </row>
    <row r="238" ht="14.25" customHeight="1" s="74">
      <c r="A238" s="2" t="n"/>
      <c r="B238" s="2" t="n"/>
      <c r="D238" s="2" t="n"/>
      <c r="E238" s="2" t="n"/>
    </row>
    <row r="239" ht="14.25" customHeight="1" s="74">
      <c r="A239" s="2" t="n"/>
      <c r="B239" s="2" t="n"/>
      <c r="D239" s="2" t="n"/>
      <c r="E239" s="2" t="n"/>
    </row>
    <row r="240" ht="14.25" customHeight="1" s="74">
      <c r="A240" s="2" t="n"/>
      <c r="B240" s="2" t="n"/>
      <c r="D240" s="2" t="n"/>
      <c r="E240" s="2" t="n"/>
    </row>
    <row r="241" ht="14.25" customHeight="1" s="74">
      <c r="A241" s="2" t="n"/>
      <c r="B241" s="2" t="n"/>
      <c r="D241" s="2" t="n"/>
      <c r="E241" s="2" t="n"/>
    </row>
    <row r="242" ht="14.25" customHeight="1" s="74">
      <c r="A242" s="2" t="n"/>
      <c r="B242" s="2" t="n"/>
      <c r="D242" s="2" t="n"/>
      <c r="E242" s="2" t="n"/>
    </row>
    <row r="243" ht="14.25" customHeight="1" s="74">
      <c r="A243" s="2" t="n"/>
      <c r="B243" s="2" t="n"/>
      <c r="D243" s="2" t="n"/>
      <c r="E243" s="2" t="n"/>
    </row>
    <row r="244" ht="14.25" customHeight="1" s="74">
      <c r="A244" s="2" t="n"/>
      <c r="B244" s="2" t="n"/>
      <c r="D244" s="2" t="n"/>
      <c r="E244" s="2" t="n"/>
    </row>
    <row r="245" ht="14.25" customHeight="1" s="74">
      <c r="A245" s="2" t="n"/>
      <c r="B245" s="2" t="n"/>
      <c r="D245" s="2" t="n"/>
      <c r="E245" s="2" t="n"/>
    </row>
    <row r="246" ht="14.25" customHeight="1" s="74">
      <c r="A246" s="2" t="n"/>
      <c r="B246" s="2" t="n"/>
      <c r="D246" s="2" t="n"/>
      <c r="E246" s="2" t="n"/>
    </row>
    <row r="247" ht="14.25" customHeight="1" s="74">
      <c r="A247" s="2" t="n"/>
      <c r="B247" s="2" t="n"/>
      <c r="D247" s="2" t="n"/>
      <c r="E247" s="2" t="n"/>
    </row>
    <row r="248" ht="14.25" customHeight="1" s="74">
      <c r="A248" s="2" t="n"/>
      <c r="B248" s="2" t="n"/>
      <c r="D248" s="2" t="n"/>
      <c r="E248" s="2" t="n"/>
    </row>
    <row r="249" ht="14.25" customHeight="1" s="74">
      <c r="A249" s="2" t="n"/>
      <c r="B249" s="2" t="n"/>
      <c r="D249" s="2" t="n"/>
      <c r="E249" s="2" t="n"/>
    </row>
    <row r="250" ht="14.25" customHeight="1" s="74">
      <c r="A250" s="2" t="n"/>
      <c r="B250" s="2" t="n"/>
      <c r="D250" s="2" t="n"/>
      <c r="E250" s="2" t="n"/>
    </row>
    <row r="251" ht="14.25" customHeight="1" s="74">
      <c r="A251" s="2" t="n"/>
      <c r="B251" s="2" t="n"/>
      <c r="D251" s="2" t="n"/>
      <c r="E251" s="2" t="n"/>
    </row>
    <row r="252" ht="14.25" customHeight="1" s="74">
      <c r="A252" s="2" t="n"/>
      <c r="B252" s="2" t="n"/>
      <c r="D252" s="2" t="n"/>
      <c r="E252" s="2" t="n"/>
    </row>
    <row r="253" ht="14.25" customHeight="1" s="74">
      <c r="A253" s="2" t="n"/>
      <c r="B253" s="2" t="n"/>
      <c r="D253" s="2" t="n"/>
      <c r="E253" s="2" t="n"/>
    </row>
    <row r="254" ht="14.25" customHeight="1" s="74">
      <c r="A254" s="2" t="n"/>
      <c r="B254" s="2" t="n"/>
      <c r="D254" s="2" t="n"/>
      <c r="E254" s="2" t="n"/>
    </row>
    <row r="255" ht="14.25" customHeight="1" s="74">
      <c r="A255" s="2" t="n"/>
      <c r="B255" s="2" t="n"/>
      <c r="D255" s="2" t="n"/>
      <c r="E255" s="2" t="n"/>
    </row>
    <row r="256" ht="14.25" customHeight="1" s="74">
      <c r="A256" s="2" t="n"/>
      <c r="B256" s="2" t="n"/>
      <c r="D256" s="2" t="n"/>
      <c r="E256" s="2" t="n"/>
    </row>
    <row r="257" ht="14.25" customHeight="1" s="74">
      <c r="A257" s="2" t="n"/>
      <c r="B257" s="2" t="n"/>
      <c r="D257" s="2" t="n"/>
      <c r="E257" s="2" t="n"/>
    </row>
    <row r="258" ht="14.25" customHeight="1" s="74">
      <c r="A258" s="2" t="n"/>
      <c r="B258" s="2" t="n"/>
      <c r="D258" s="2" t="n"/>
      <c r="E258" s="2" t="n"/>
    </row>
    <row r="259" ht="14.25" customHeight="1" s="74">
      <c r="A259" s="2" t="n"/>
      <c r="B259" s="2" t="n"/>
      <c r="D259" s="2" t="n"/>
      <c r="E259" s="2" t="n"/>
    </row>
    <row r="260" ht="14.25" customHeight="1" s="74">
      <c r="A260" s="2" t="n"/>
      <c r="B260" s="2" t="n"/>
      <c r="D260" s="2" t="n"/>
      <c r="E260" s="2" t="n"/>
    </row>
    <row r="261" ht="14.25" customHeight="1" s="74">
      <c r="A261" s="2" t="n"/>
      <c r="B261" s="2" t="n"/>
      <c r="D261" s="2" t="n"/>
      <c r="E261" s="2" t="n"/>
    </row>
    <row r="262" ht="14.25" customHeight="1" s="74">
      <c r="A262" s="2" t="n"/>
      <c r="B262" s="2" t="n"/>
      <c r="D262" s="2" t="n"/>
      <c r="E262" s="2" t="n"/>
    </row>
    <row r="263" ht="14.25" customHeight="1" s="74">
      <c r="A263" s="2" t="n"/>
      <c r="B263" s="2" t="n"/>
      <c r="D263" s="2" t="n"/>
      <c r="E263" s="2" t="n"/>
    </row>
    <row r="264" ht="14.25" customHeight="1" s="74">
      <c r="A264" s="2" t="n"/>
      <c r="B264" s="2" t="n"/>
      <c r="D264" s="2" t="n"/>
      <c r="E264" s="2" t="n"/>
    </row>
    <row r="265" ht="14.25" customHeight="1" s="74">
      <c r="A265" s="2" t="n"/>
      <c r="B265" s="2" t="n"/>
      <c r="D265" s="2" t="n"/>
      <c r="E265" s="2" t="n"/>
    </row>
    <row r="266" ht="14.25" customHeight="1" s="74">
      <c r="A266" s="2" t="n"/>
      <c r="B266" s="2" t="n"/>
      <c r="D266" s="2" t="n"/>
      <c r="E266" s="2" t="n"/>
    </row>
    <row r="267" ht="14.25" customHeight="1" s="74">
      <c r="A267" s="2" t="n"/>
      <c r="B267" s="2" t="n"/>
      <c r="D267" s="2" t="n"/>
      <c r="E267" s="2" t="n"/>
    </row>
    <row r="268" ht="14.25" customHeight="1" s="74">
      <c r="A268" s="2" t="n"/>
      <c r="B268" s="2" t="n"/>
      <c r="D268" s="2" t="n"/>
      <c r="E268" s="2" t="n"/>
    </row>
    <row r="269" ht="14.25" customHeight="1" s="74">
      <c r="A269" s="2" t="n"/>
      <c r="B269" s="2" t="n"/>
      <c r="D269" s="2" t="n"/>
      <c r="E269" s="2" t="n"/>
    </row>
    <row r="270" ht="14.25" customHeight="1" s="74">
      <c r="A270" s="2" t="n"/>
      <c r="B270" s="2" t="n"/>
      <c r="D270" s="2" t="n"/>
      <c r="E270" s="2" t="n"/>
    </row>
    <row r="271" ht="14.25" customHeight="1" s="74">
      <c r="A271" s="2" t="n"/>
      <c r="B271" s="2" t="n"/>
      <c r="D271" s="2" t="n"/>
      <c r="E271" s="2" t="n"/>
    </row>
    <row r="272" ht="14.25" customHeight="1" s="74">
      <c r="A272" s="2" t="n"/>
      <c r="B272" s="2" t="n"/>
      <c r="D272" s="2" t="n"/>
      <c r="E272" s="2" t="n"/>
    </row>
    <row r="273" ht="14.25" customHeight="1" s="74">
      <c r="A273" s="2" t="n"/>
      <c r="B273" s="2" t="n"/>
      <c r="D273" s="2" t="n"/>
      <c r="E273" s="2" t="n"/>
    </row>
    <row r="274" ht="14.25" customHeight="1" s="74">
      <c r="A274" s="2" t="n"/>
      <c r="B274" s="2" t="n"/>
      <c r="D274" s="2" t="n"/>
      <c r="E274" s="2" t="n"/>
    </row>
    <row r="275" ht="14.25" customHeight="1" s="74">
      <c r="A275" s="2" t="n"/>
      <c r="B275" s="2" t="n"/>
      <c r="D275" s="2" t="n"/>
      <c r="E275" s="2" t="n"/>
    </row>
    <row r="276" ht="14.25" customHeight="1" s="74">
      <c r="A276" s="2" t="n"/>
      <c r="B276" s="2" t="n"/>
      <c r="D276" s="2" t="n"/>
      <c r="E276" s="2" t="n"/>
    </row>
    <row r="277" ht="14.25" customHeight="1" s="74">
      <c r="A277" s="2" t="n"/>
      <c r="B277" s="2" t="n"/>
      <c r="D277" s="2" t="n"/>
      <c r="E277" s="2" t="n"/>
    </row>
    <row r="278" ht="14.25" customHeight="1" s="74">
      <c r="A278" s="2" t="n"/>
      <c r="B278" s="2" t="n"/>
      <c r="D278" s="2" t="n"/>
      <c r="E278" s="2" t="n"/>
    </row>
    <row r="279" ht="14.25" customHeight="1" s="74">
      <c r="A279" s="2" t="n"/>
      <c r="B279" s="2" t="n"/>
      <c r="D279" s="2" t="n"/>
      <c r="E279" s="2" t="n"/>
    </row>
    <row r="280" ht="14.25" customHeight="1" s="74">
      <c r="A280" s="2" t="n"/>
      <c r="B280" s="2" t="n"/>
      <c r="D280" s="2" t="n"/>
      <c r="E280" s="2" t="n"/>
    </row>
    <row r="281" ht="14.25" customHeight="1" s="74">
      <c r="A281" s="2" t="n"/>
      <c r="B281" s="2" t="n"/>
      <c r="D281" s="2" t="n"/>
      <c r="E281" s="2" t="n"/>
    </row>
    <row r="282" ht="14.25" customHeight="1" s="74">
      <c r="A282" s="2" t="n"/>
      <c r="B282" s="2" t="n"/>
      <c r="D282" s="2" t="n"/>
      <c r="E282" s="2" t="n"/>
    </row>
    <row r="283" ht="14.25" customHeight="1" s="74">
      <c r="A283" s="2" t="n"/>
      <c r="B283" s="2" t="n"/>
      <c r="D283" s="2" t="n"/>
      <c r="E283" s="2" t="n"/>
    </row>
    <row r="284" ht="14.25" customHeight="1" s="74">
      <c r="A284" s="2" t="n"/>
      <c r="B284" s="2" t="n"/>
      <c r="D284" s="2" t="n"/>
      <c r="E284" s="2" t="n"/>
    </row>
    <row r="285" ht="14.25" customHeight="1" s="74">
      <c r="A285" s="2" t="n"/>
      <c r="B285" s="2" t="n"/>
      <c r="D285" s="2" t="n"/>
      <c r="E285" s="2" t="n"/>
    </row>
    <row r="286" ht="14.25" customHeight="1" s="74">
      <c r="A286" s="2" t="n"/>
      <c r="B286" s="2" t="n"/>
      <c r="D286" s="2" t="n"/>
      <c r="E286" s="2" t="n"/>
    </row>
    <row r="287" ht="14.25" customHeight="1" s="74">
      <c r="A287" s="2" t="n"/>
      <c r="B287" s="2" t="n"/>
      <c r="D287" s="2" t="n"/>
      <c r="E287" s="2" t="n"/>
    </row>
    <row r="288" ht="14.25" customHeight="1" s="74">
      <c r="A288" s="2" t="n"/>
      <c r="B288" s="2" t="n"/>
      <c r="D288" s="2" t="n"/>
      <c r="E288" s="2" t="n"/>
    </row>
    <row r="289" ht="14.25" customHeight="1" s="74">
      <c r="A289" s="2" t="n"/>
      <c r="B289" s="2" t="n"/>
      <c r="D289" s="2" t="n"/>
      <c r="E289" s="2" t="n"/>
    </row>
    <row r="290" ht="14.25" customHeight="1" s="74">
      <c r="A290" s="2" t="n"/>
      <c r="B290" s="2" t="n"/>
      <c r="D290" s="2" t="n"/>
      <c r="E290" s="2" t="n"/>
    </row>
    <row r="291" ht="14.25" customHeight="1" s="74">
      <c r="A291" s="2" t="n"/>
      <c r="B291" s="2" t="n"/>
      <c r="D291" s="2" t="n"/>
      <c r="E291" s="2" t="n"/>
    </row>
    <row r="292" ht="14.25" customHeight="1" s="74">
      <c r="A292" s="2" t="n"/>
      <c r="B292" s="2" t="n"/>
      <c r="D292" s="2" t="n"/>
      <c r="E292" s="2" t="n"/>
    </row>
    <row r="293" ht="14.25" customHeight="1" s="74">
      <c r="A293" s="2" t="n"/>
      <c r="B293" s="2" t="n"/>
      <c r="D293" s="2" t="n"/>
      <c r="E293" s="2" t="n"/>
    </row>
    <row r="294" ht="14.25" customHeight="1" s="74">
      <c r="A294" s="2" t="n"/>
      <c r="B294" s="2" t="n"/>
      <c r="D294" s="2" t="n"/>
      <c r="E294" s="2" t="n"/>
    </row>
    <row r="295" ht="14.25" customHeight="1" s="74">
      <c r="A295" s="2" t="n"/>
      <c r="B295" s="2" t="n"/>
      <c r="D295" s="2" t="n"/>
      <c r="E295" s="2" t="n"/>
    </row>
    <row r="296" ht="14.25" customHeight="1" s="74">
      <c r="A296" s="2" t="n"/>
      <c r="B296" s="2" t="n"/>
      <c r="D296" s="2" t="n"/>
      <c r="E296" s="2" t="n"/>
    </row>
    <row r="297" ht="14.25" customHeight="1" s="74">
      <c r="A297" s="2" t="n"/>
      <c r="B297" s="2" t="n"/>
      <c r="D297" s="2" t="n"/>
      <c r="E297" s="2" t="n"/>
    </row>
    <row r="298" ht="14.25" customHeight="1" s="74">
      <c r="A298" s="2" t="n"/>
      <c r="B298" s="2" t="n"/>
      <c r="D298" s="2" t="n"/>
      <c r="E298" s="2" t="n"/>
    </row>
    <row r="299" ht="14.25" customHeight="1" s="74">
      <c r="A299" s="2" t="n"/>
      <c r="B299" s="2" t="n"/>
      <c r="D299" s="2" t="n"/>
      <c r="E299" s="2" t="n"/>
    </row>
    <row r="300" ht="14.25" customHeight="1" s="74">
      <c r="A300" s="2" t="n"/>
      <c r="B300" s="2" t="n"/>
      <c r="D300" s="2" t="n"/>
      <c r="E300" s="2" t="n"/>
    </row>
    <row r="301" ht="14.25" customHeight="1" s="74">
      <c r="A301" s="2" t="n"/>
      <c r="B301" s="2" t="n"/>
      <c r="D301" s="2" t="n"/>
      <c r="E301" s="2" t="n"/>
    </row>
    <row r="302" ht="14.25" customHeight="1" s="74">
      <c r="A302" s="2" t="n"/>
      <c r="B302" s="2" t="n"/>
      <c r="D302" s="2" t="n"/>
      <c r="E302" s="2" t="n"/>
    </row>
    <row r="303" ht="14.25" customHeight="1" s="74">
      <c r="A303" s="2" t="n"/>
      <c r="B303" s="2" t="n"/>
      <c r="D303" s="2" t="n"/>
      <c r="E303" s="2" t="n"/>
    </row>
    <row r="304" ht="14.25" customHeight="1" s="74">
      <c r="A304" s="2" t="n"/>
      <c r="B304" s="2" t="n"/>
      <c r="D304" s="2" t="n"/>
      <c r="E304" s="2" t="n"/>
    </row>
    <row r="305" ht="14.25" customHeight="1" s="74">
      <c r="A305" s="2" t="n"/>
      <c r="B305" s="2" t="n"/>
      <c r="D305" s="2" t="n"/>
      <c r="E305" s="2" t="n"/>
    </row>
    <row r="306" ht="14.25" customHeight="1" s="74">
      <c r="A306" s="2" t="n"/>
      <c r="B306" s="2" t="n"/>
      <c r="D306" s="2" t="n"/>
      <c r="E306" s="2" t="n"/>
    </row>
    <row r="307" ht="14.25" customHeight="1" s="74">
      <c r="A307" s="2" t="n"/>
      <c r="B307" s="2" t="n"/>
      <c r="D307" s="2" t="n"/>
      <c r="E307" s="2" t="n"/>
    </row>
    <row r="308" ht="14.25" customHeight="1" s="74">
      <c r="A308" s="2" t="n"/>
      <c r="B308" s="2" t="n"/>
      <c r="D308" s="2" t="n"/>
      <c r="E308" s="2" t="n"/>
    </row>
    <row r="309" ht="14.25" customHeight="1" s="74">
      <c r="A309" s="2" t="n"/>
      <c r="B309" s="2" t="n"/>
      <c r="D309" s="2" t="n"/>
      <c r="E309" s="2" t="n"/>
    </row>
    <row r="310" ht="14.25" customHeight="1" s="74">
      <c r="A310" s="2" t="n"/>
      <c r="B310" s="2" t="n"/>
      <c r="D310" s="2" t="n"/>
      <c r="E310" s="2" t="n"/>
    </row>
    <row r="311" ht="14.25" customHeight="1" s="74">
      <c r="A311" s="2" t="n"/>
      <c r="B311" s="2" t="n"/>
      <c r="D311" s="2" t="n"/>
      <c r="E311" s="2" t="n"/>
    </row>
    <row r="312" ht="14.25" customHeight="1" s="74">
      <c r="A312" s="2" t="n"/>
      <c r="B312" s="2" t="n"/>
      <c r="D312" s="2" t="n"/>
      <c r="E312" s="2" t="n"/>
    </row>
    <row r="313" ht="14.25" customHeight="1" s="74">
      <c r="A313" s="2" t="n"/>
      <c r="B313" s="2" t="n"/>
      <c r="D313" s="2" t="n"/>
      <c r="E313" s="2" t="n"/>
    </row>
    <row r="314" ht="14.25" customHeight="1" s="74">
      <c r="A314" s="2" t="n"/>
      <c r="B314" s="2" t="n"/>
      <c r="D314" s="2" t="n"/>
      <c r="E314" s="2" t="n"/>
    </row>
    <row r="315" ht="14.25" customHeight="1" s="74">
      <c r="A315" s="2" t="n"/>
      <c r="B315" s="2" t="n"/>
      <c r="D315" s="2" t="n"/>
      <c r="E315" s="2" t="n"/>
    </row>
    <row r="316" ht="14.25" customHeight="1" s="74">
      <c r="A316" s="2" t="n"/>
      <c r="B316" s="2" t="n"/>
      <c r="D316" s="2" t="n"/>
      <c r="E316" s="2" t="n"/>
    </row>
    <row r="317" ht="14.25" customHeight="1" s="74">
      <c r="A317" s="2" t="n"/>
      <c r="B317" s="2" t="n"/>
      <c r="D317" s="2" t="n"/>
      <c r="E317" s="2" t="n"/>
    </row>
    <row r="318" ht="14.25" customHeight="1" s="74">
      <c r="A318" s="2" t="n"/>
      <c r="B318" s="2" t="n"/>
      <c r="D318" s="2" t="n"/>
      <c r="E318" s="2" t="n"/>
    </row>
    <row r="319" ht="14.25" customHeight="1" s="74">
      <c r="A319" s="2" t="n"/>
      <c r="B319" s="2" t="n"/>
      <c r="D319" s="2" t="n"/>
      <c r="E319" s="2" t="n"/>
    </row>
    <row r="320" ht="14.25" customHeight="1" s="74">
      <c r="A320" s="2" t="n"/>
      <c r="B320" s="2" t="n"/>
      <c r="D320" s="2" t="n"/>
      <c r="E320" s="2" t="n"/>
    </row>
    <row r="321" ht="14.25" customHeight="1" s="74">
      <c r="A321" s="2" t="n"/>
      <c r="B321" s="2" t="n"/>
      <c r="D321" s="2" t="n"/>
      <c r="E321" s="2" t="n"/>
    </row>
    <row r="322" ht="14.25" customHeight="1" s="74">
      <c r="A322" s="2" t="n"/>
      <c r="B322" s="2" t="n"/>
      <c r="D322" s="2" t="n"/>
      <c r="E322" s="2" t="n"/>
    </row>
    <row r="323" ht="14.25" customHeight="1" s="74">
      <c r="A323" s="2" t="n"/>
      <c r="B323" s="2" t="n"/>
      <c r="D323" s="2" t="n"/>
      <c r="E323" s="2" t="n"/>
    </row>
    <row r="324" ht="14.25" customHeight="1" s="74">
      <c r="A324" s="2" t="n"/>
      <c r="B324" s="2" t="n"/>
      <c r="D324" s="2" t="n"/>
      <c r="E324" s="2" t="n"/>
    </row>
    <row r="325" ht="14.25" customHeight="1" s="74">
      <c r="A325" s="2" t="n"/>
      <c r="B325" s="2" t="n"/>
      <c r="D325" s="2" t="n"/>
      <c r="E325" s="2" t="n"/>
    </row>
    <row r="326" ht="14.25" customHeight="1" s="74">
      <c r="A326" s="2" t="n"/>
      <c r="B326" s="2" t="n"/>
      <c r="D326" s="2" t="n"/>
      <c r="E326" s="2" t="n"/>
    </row>
    <row r="327" ht="14.25" customHeight="1" s="74">
      <c r="A327" s="2" t="n"/>
      <c r="B327" s="2" t="n"/>
      <c r="D327" s="2" t="n"/>
      <c r="E327" s="2" t="n"/>
    </row>
    <row r="328" ht="14.25" customHeight="1" s="74">
      <c r="A328" s="2" t="n"/>
      <c r="B328" s="2" t="n"/>
      <c r="D328" s="2" t="n"/>
      <c r="E328" s="2" t="n"/>
    </row>
    <row r="329" ht="14.25" customHeight="1" s="74">
      <c r="A329" s="2" t="n"/>
      <c r="B329" s="2" t="n"/>
      <c r="D329" s="2" t="n"/>
      <c r="E329" s="2" t="n"/>
    </row>
    <row r="330" ht="14.25" customHeight="1" s="74">
      <c r="A330" s="2" t="n"/>
      <c r="B330" s="2" t="n"/>
      <c r="D330" s="2" t="n"/>
      <c r="E330" s="2" t="n"/>
    </row>
    <row r="331" ht="14.25" customHeight="1" s="74">
      <c r="A331" s="2" t="n"/>
      <c r="B331" s="2" t="n"/>
      <c r="D331" s="2" t="n"/>
      <c r="E331" s="2" t="n"/>
    </row>
    <row r="332" ht="14.25" customHeight="1" s="74">
      <c r="A332" s="2" t="n"/>
      <c r="B332" s="2" t="n"/>
      <c r="D332" s="2" t="n"/>
      <c r="E332" s="2" t="n"/>
    </row>
    <row r="333" ht="14.25" customHeight="1" s="74">
      <c r="A333" s="2" t="n"/>
      <c r="B333" s="2" t="n"/>
      <c r="D333" s="2" t="n"/>
      <c r="E333" s="2" t="n"/>
    </row>
    <row r="334" ht="14.25" customHeight="1" s="74">
      <c r="A334" s="2" t="n"/>
      <c r="B334" s="2" t="n"/>
      <c r="D334" s="2" t="n"/>
      <c r="E334" s="2" t="n"/>
    </row>
    <row r="335" ht="14.25" customHeight="1" s="74">
      <c r="A335" s="2" t="n"/>
      <c r="B335" s="2" t="n"/>
      <c r="D335" s="2" t="n"/>
      <c r="E335" s="2" t="n"/>
    </row>
    <row r="336" ht="14.25" customHeight="1" s="74">
      <c r="A336" s="2" t="n"/>
      <c r="B336" s="2" t="n"/>
      <c r="D336" s="2" t="n"/>
      <c r="E336" s="2" t="n"/>
    </row>
    <row r="337" ht="14.25" customHeight="1" s="74">
      <c r="A337" s="2" t="n"/>
      <c r="B337" s="2" t="n"/>
      <c r="D337" s="2" t="n"/>
      <c r="E337" s="2" t="n"/>
    </row>
    <row r="338" ht="14.25" customHeight="1" s="74">
      <c r="A338" s="2" t="n"/>
      <c r="B338" s="2" t="n"/>
      <c r="D338" s="2" t="n"/>
      <c r="E338" s="2" t="n"/>
    </row>
    <row r="339" ht="14.25" customHeight="1" s="74">
      <c r="A339" s="2" t="n"/>
      <c r="B339" s="2" t="n"/>
      <c r="D339" s="2" t="n"/>
      <c r="E339" s="2" t="n"/>
    </row>
    <row r="340" ht="14.25" customHeight="1" s="74">
      <c r="A340" s="2" t="n"/>
      <c r="B340" s="2" t="n"/>
      <c r="D340" s="2" t="n"/>
      <c r="E340" s="2" t="n"/>
    </row>
    <row r="341" ht="14.25" customHeight="1" s="74">
      <c r="A341" s="2" t="n"/>
      <c r="B341" s="2" t="n"/>
      <c r="D341" s="2" t="n"/>
      <c r="E341" s="2" t="n"/>
    </row>
    <row r="342" ht="14.25" customHeight="1" s="74">
      <c r="A342" s="2" t="n"/>
      <c r="B342" s="2" t="n"/>
      <c r="D342" s="2" t="n"/>
      <c r="E342" s="2" t="n"/>
    </row>
    <row r="343" ht="14.25" customHeight="1" s="74">
      <c r="A343" s="2" t="n"/>
      <c r="B343" s="2" t="n"/>
      <c r="D343" s="2" t="n"/>
      <c r="E343" s="2" t="n"/>
    </row>
    <row r="344" ht="14.25" customHeight="1" s="74">
      <c r="A344" s="2" t="n"/>
      <c r="B344" s="2" t="n"/>
      <c r="D344" s="2" t="n"/>
      <c r="E344" s="2" t="n"/>
    </row>
    <row r="345" ht="14.25" customHeight="1" s="74">
      <c r="A345" s="2" t="n"/>
      <c r="B345" s="2" t="n"/>
      <c r="D345" s="2" t="n"/>
      <c r="E345" s="2" t="n"/>
    </row>
    <row r="346" ht="14.25" customHeight="1" s="74">
      <c r="A346" s="2" t="n"/>
      <c r="B346" s="2" t="n"/>
      <c r="D346" s="2" t="n"/>
      <c r="E346" s="2" t="n"/>
    </row>
    <row r="347" ht="14.25" customHeight="1" s="74">
      <c r="A347" s="2" t="n"/>
      <c r="B347" s="2" t="n"/>
      <c r="D347" s="2" t="n"/>
      <c r="E347" s="2" t="n"/>
    </row>
    <row r="348" ht="14.25" customHeight="1" s="74">
      <c r="A348" s="2" t="n"/>
      <c r="B348" s="2" t="n"/>
      <c r="D348" s="2" t="n"/>
      <c r="E348" s="2" t="n"/>
    </row>
    <row r="349" ht="14.25" customHeight="1" s="74">
      <c r="A349" s="2" t="n"/>
      <c r="B349" s="2" t="n"/>
      <c r="D349" s="2" t="n"/>
      <c r="E349" s="2" t="n"/>
    </row>
    <row r="350" ht="14.25" customHeight="1" s="74">
      <c r="A350" s="2" t="n"/>
      <c r="B350" s="2" t="n"/>
      <c r="D350" s="2" t="n"/>
      <c r="E350" s="2" t="n"/>
    </row>
    <row r="351" ht="14.25" customHeight="1" s="74">
      <c r="A351" s="2" t="n"/>
      <c r="B351" s="2" t="n"/>
      <c r="D351" s="2" t="n"/>
      <c r="E351" s="2" t="n"/>
    </row>
    <row r="352" ht="14.25" customHeight="1" s="74">
      <c r="A352" s="2" t="n"/>
      <c r="B352" s="2" t="n"/>
      <c r="D352" s="2" t="n"/>
      <c r="E352" s="2" t="n"/>
    </row>
    <row r="353" ht="14.25" customHeight="1" s="74">
      <c r="A353" s="2" t="n"/>
      <c r="B353" s="2" t="n"/>
      <c r="D353" s="2" t="n"/>
      <c r="E353" s="2" t="n"/>
    </row>
    <row r="354" ht="14.25" customHeight="1" s="74">
      <c r="A354" s="2" t="n"/>
      <c r="B354" s="2" t="n"/>
      <c r="D354" s="2" t="n"/>
      <c r="E354" s="2" t="n"/>
    </row>
    <row r="355" ht="14.25" customHeight="1" s="74">
      <c r="A355" s="2" t="n"/>
      <c r="B355" s="2" t="n"/>
      <c r="D355" s="2" t="n"/>
      <c r="E355" s="2" t="n"/>
    </row>
    <row r="356" ht="14.25" customHeight="1" s="74">
      <c r="A356" s="2" t="n"/>
      <c r="B356" s="2" t="n"/>
      <c r="D356" s="2" t="n"/>
      <c r="E356" s="2" t="n"/>
    </row>
    <row r="357" ht="14.25" customHeight="1" s="74">
      <c r="A357" s="2" t="n"/>
      <c r="B357" s="2" t="n"/>
      <c r="D357" s="2" t="n"/>
      <c r="E357" s="2" t="n"/>
    </row>
    <row r="358" ht="14.25" customHeight="1" s="74">
      <c r="A358" s="2" t="n"/>
      <c r="B358" s="2" t="n"/>
      <c r="D358" s="2" t="n"/>
      <c r="E358" s="2" t="n"/>
    </row>
    <row r="359" ht="14.25" customHeight="1" s="74">
      <c r="A359" s="2" t="n"/>
      <c r="B359" s="2" t="n"/>
      <c r="D359" s="2" t="n"/>
      <c r="E359" s="2" t="n"/>
    </row>
    <row r="360" ht="14.25" customHeight="1" s="74">
      <c r="A360" s="2" t="n"/>
      <c r="B360" s="2" t="n"/>
      <c r="D360" s="2" t="n"/>
      <c r="E360" s="2" t="n"/>
    </row>
    <row r="361" ht="14.25" customHeight="1" s="74">
      <c r="A361" s="2" t="n"/>
      <c r="B361" s="2" t="n"/>
      <c r="D361" s="2" t="n"/>
      <c r="E361" s="2" t="n"/>
    </row>
    <row r="362" ht="14.25" customHeight="1" s="74">
      <c r="A362" s="2" t="n"/>
      <c r="B362" s="2" t="n"/>
      <c r="D362" s="2" t="n"/>
      <c r="E362" s="2" t="n"/>
    </row>
    <row r="363" ht="14.25" customHeight="1" s="74">
      <c r="A363" s="2" t="n"/>
      <c r="B363" s="2" t="n"/>
      <c r="D363" s="2" t="n"/>
      <c r="E363" s="2" t="n"/>
    </row>
    <row r="364" ht="14.25" customHeight="1" s="74">
      <c r="A364" s="2" t="n"/>
      <c r="B364" s="2" t="n"/>
      <c r="D364" s="2" t="n"/>
      <c r="E364" s="2" t="n"/>
    </row>
    <row r="365" ht="14.25" customHeight="1" s="74">
      <c r="A365" s="2" t="n"/>
      <c r="B365" s="2" t="n"/>
      <c r="D365" s="2" t="n"/>
      <c r="E365" s="2" t="n"/>
    </row>
    <row r="366" ht="14.25" customHeight="1" s="74">
      <c r="A366" s="2" t="n"/>
      <c r="B366" s="2" t="n"/>
      <c r="D366" s="2" t="n"/>
      <c r="E366" s="2" t="n"/>
    </row>
    <row r="367" ht="14.25" customHeight="1" s="74">
      <c r="A367" s="2" t="n"/>
      <c r="B367" s="2" t="n"/>
      <c r="D367" s="2" t="n"/>
      <c r="E367" s="2" t="n"/>
    </row>
    <row r="368" ht="14.25" customHeight="1" s="74">
      <c r="A368" s="2" t="n"/>
      <c r="B368" s="2" t="n"/>
      <c r="D368" s="2" t="n"/>
      <c r="E368" s="2" t="n"/>
    </row>
    <row r="369" ht="14.25" customHeight="1" s="74">
      <c r="A369" s="2" t="n"/>
      <c r="B369" s="2" t="n"/>
      <c r="D369" s="2" t="n"/>
      <c r="E369" s="2" t="n"/>
    </row>
    <row r="370" ht="14.25" customHeight="1" s="74">
      <c r="A370" s="2" t="n"/>
      <c r="B370" s="2" t="n"/>
      <c r="D370" s="2" t="n"/>
      <c r="E370" s="2" t="n"/>
    </row>
    <row r="371" ht="14.25" customHeight="1" s="74">
      <c r="A371" s="2" t="n"/>
      <c r="B371" s="2" t="n"/>
      <c r="D371" s="2" t="n"/>
      <c r="E371" s="2" t="n"/>
    </row>
    <row r="372" ht="14.25" customHeight="1" s="74">
      <c r="A372" s="2" t="n"/>
      <c r="B372" s="2" t="n"/>
      <c r="D372" s="2" t="n"/>
      <c r="E372" s="2" t="n"/>
    </row>
    <row r="373" ht="14.25" customHeight="1" s="74">
      <c r="A373" s="2" t="n"/>
      <c r="B373" s="2" t="n"/>
      <c r="D373" s="2" t="n"/>
      <c r="E373" s="2" t="n"/>
    </row>
    <row r="374" ht="14.25" customHeight="1" s="74">
      <c r="A374" s="2" t="n"/>
      <c r="B374" s="2" t="n"/>
      <c r="D374" s="2" t="n"/>
      <c r="E374" s="2" t="n"/>
    </row>
    <row r="375" ht="14.25" customHeight="1" s="74">
      <c r="A375" s="2" t="n"/>
      <c r="B375" s="2" t="n"/>
      <c r="D375" s="2" t="n"/>
      <c r="E375" s="2" t="n"/>
    </row>
    <row r="376" ht="14.25" customHeight="1" s="74">
      <c r="A376" s="2" t="n"/>
      <c r="B376" s="2" t="n"/>
      <c r="D376" s="2" t="n"/>
      <c r="E376" s="2" t="n"/>
    </row>
    <row r="377" ht="14.25" customHeight="1" s="74">
      <c r="A377" s="2" t="n"/>
      <c r="B377" s="2" t="n"/>
      <c r="D377" s="2" t="n"/>
      <c r="E377" s="2" t="n"/>
    </row>
    <row r="378" ht="14.25" customHeight="1" s="74">
      <c r="A378" s="2" t="n"/>
      <c r="B378" s="2" t="n"/>
      <c r="D378" s="2" t="n"/>
      <c r="E378" s="2" t="n"/>
    </row>
    <row r="379" ht="14.25" customHeight="1" s="74">
      <c r="A379" s="2" t="n"/>
      <c r="B379" s="2" t="n"/>
      <c r="D379" s="2" t="n"/>
      <c r="E379" s="2" t="n"/>
    </row>
    <row r="380" ht="14.25" customHeight="1" s="74">
      <c r="A380" s="2" t="n"/>
      <c r="B380" s="2" t="n"/>
      <c r="D380" s="2" t="n"/>
      <c r="E380" s="2" t="n"/>
    </row>
    <row r="381" ht="14.25" customHeight="1" s="74">
      <c r="A381" s="2" t="n"/>
      <c r="B381" s="2" t="n"/>
      <c r="D381" s="2" t="n"/>
      <c r="E381" s="2" t="n"/>
    </row>
    <row r="382" ht="14.25" customHeight="1" s="74">
      <c r="A382" s="2" t="n"/>
      <c r="B382" s="2" t="n"/>
      <c r="D382" s="2" t="n"/>
      <c r="E382" s="2" t="n"/>
    </row>
    <row r="383" ht="14.25" customHeight="1" s="74">
      <c r="A383" s="2" t="n"/>
      <c r="B383" s="2" t="n"/>
      <c r="D383" s="2" t="n"/>
      <c r="E383" s="2" t="n"/>
    </row>
    <row r="384" ht="14.25" customHeight="1" s="74">
      <c r="A384" s="2" t="n"/>
      <c r="B384" s="2" t="n"/>
      <c r="D384" s="2" t="n"/>
      <c r="E384" s="2" t="n"/>
    </row>
    <row r="385" ht="14.25" customHeight="1" s="74">
      <c r="A385" s="2" t="n"/>
      <c r="B385" s="2" t="n"/>
      <c r="D385" s="2" t="n"/>
      <c r="E385" s="2" t="n"/>
    </row>
    <row r="386" ht="14.25" customHeight="1" s="74">
      <c r="A386" s="2" t="n"/>
      <c r="B386" s="2" t="n"/>
      <c r="D386" s="2" t="n"/>
      <c r="E386" s="2" t="n"/>
    </row>
    <row r="387" ht="14.25" customHeight="1" s="74">
      <c r="A387" s="2" t="n"/>
      <c r="B387" s="2" t="n"/>
      <c r="D387" s="2" t="n"/>
      <c r="E387" s="2" t="n"/>
    </row>
    <row r="388" ht="14.25" customHeight="1" s="74">
      <c r="A388" s="2" t="n"/>
      <c r="B388" s="2" t="n"/>
      <c r="D388" s="2" t="n"/>
      <c r="E388" s="2" t="n"/>
    </row>
    <row r="389" ht="14.25" customHeight="1" s="74">
      <c r="A389" s="2" t="n"/>
      <c r="B389" s="2" t="n"/>
      <c r="D389" s="2" t="n"/>
      <c r="E389" s="2" t="n"/>
    </row>
    <row r="390" ht="14.25" customHeight="1" s="74">
      <c r="A390" s="2" t="n"/>
      <c r="B390" s="2" t="n"/>
      <c r="D390" s="2" t="n"/>
      <c r="E390" s="2" t="n"/>
    </row>
    <row r="391" ht="14.25" customHeight="1" s="74">
      <c r="A391" s="2" t="n"/>
      <c r="B391" s="2" t="n"/>
      <c r="D391" s="2" t="n"/>
      <c r="E391" s="2" t="n"/>
    </row>
    <row r="392" ht="14.25" customHeight="1" s="74">
      <c r="A392" s="2" t="n"/>
      <c r="B392" s="2" t="n"/>
      <c r="D392" s="2" t="n"/>
      <c r="E392" s="2" t="n"/>
    </row>
    <row r="393" ht="14.25" customHeight="1" s="74">
      <c r="A393" s="2" t="n"/>
      <c r="B393" s="2" t="n"/>
      <c r="D393" s="2" t="n"/>
      <c r="E393" s="2" t="n"/>
    </row>
    <row r="394" ht="14.25" customHeight="1" s="74">
      <c r="A394" s="2" t="n"/>
      <c r="B394" s="2" t="n"/>
      <c r="D394" s="2" t="n"/>
      <c r="E394" s="2" t="n"/>
    </row>
    <row r="395" ht="14.25" customHeight="1" s="74">
      <c r="A395" s="2" t="n"/>
      <c r="B395" s="2" t="n"/>
      <c r="D395" s="2" t="n"/>
      <c r="E395" s="2" t="n"/>
    </row>
    <row r="396" ht="14.25" customHeight="1" s="74">
      <c r="A396" s="2" t="n"/>
      <c r="B396" s="2" t="n"/>
      <c r="D396" s="2" t="n"/>
      <c r="E396" s="2" t="n"/>
    </row>
    <row r="397" ht="14.25" customHeight="1" s="74">
      <c r="A397" s="2" t="n"/>
      <c r="B397" s="2" t="n"/>
      <c r="D397" s="2" t="n"/>
      <c r="E397" s="2" t="n"/>
    </row>
    <row r="398" ht="14.25" customHeight="1" s="74">
      <c r="A398" s="2" t="n"/>
      <c r="B398" s="2" t="n"/>
      <c r="D398" s="2" t="n"/>
      <c r="E398" s="2" t="n"/>
    </row>
    <row r="399" ht="14.25" customHeight="1" s="74">
      <c r="A399" s="2" t="n"/>
      <c r="B399" s="2" t="n"/>
      <c r="D399" s="2" t="n"/>
      <c r="E399" s="2" t="n"/>
    </row>
    <row r="400" ht="14.25" customHeight="1" s="74">
      <c r="A400" s="2" t="n"/>
      <c r="B400" s="2" t="n"/>
      <c r="D400" s="2" t="n"/>
      <c r="E400" s="2" t="n"/>
    </row>
    <row r="401" ht="14.25" customHeight="1" s="74">
      <c r="A401" s="2" t="n"/>
      <c r="B401" s="2" t="n"/>
      <c r="D401" s="2" t="n"/>
      <c r="E401" s="2" t="n"/>
    </row>
    <row r="402" ht="14.25" customHeight="1" s="74">
      <c r="A402" s="2" t="n"/>
      <c r="B402" s="2" t="n"/>
      <c r="D402" s="2" t="n"/>
      <c r="E402" s="2" t="n"/>
    </row>
    <row r="403" ht="14.25" customHeight="1" s="74">
      <c r="A403" s="2" t="n"/>
      <c r="B403" s="2" t="n"/>
      <c r="D403" s="2" t="n"/>
      <c r="E403" s="2" t="n"/>
    </row>
    <row r="404" ht="14.25" customHeight="1" s="74">
      <c r="A404" s="2" t="n"/>
      <c r="B404" s="2" t="n"/>
      <c r="D404" s="2" t="n"/>
      <c r="E404" s="2" t="n"/>
    </row>
    <row r="405" ht="14.25" customHeight="1" s="74">
      <c r="A405" s="2" t="n"/>
      <c r="B405" s="2" t="n"/>
      <c r="D405" s="2" t="n"/>
      <c r="E405" s="2" t="n"/>
    </row>
    <row r="406" ht="14.25" customHeight="1" s="74">
      <c r="A406" s="2" t="n"/>
      <c r="B406" s="2" t="n"/>
      <c r="D406" s="2" t="n"/>
      <c r="E406" s="2" t="n"/>
    </row>
    <row r="407" ht="14.25" customHeight="1" s="74">
      <c r="A407" s="2" t="n"/>
      <c r="B407" s="2" t="n"/>
      <c r="D407" s="2" t="n"/>
      <c r="E407" s="2" t="n"/>
    </row>
    <row r="408" ht="14.25" customHeight="1" s="74">
      <c r="A408" s="2" t="n"/>
      <c r="B408" s="2" t="n"/>
      <c r="D408" s="2" t="n"/>
      <c r="E408" s="2" t="n"/>
    </row>
    <row r="409" ht="14.25" customHeight="1" s="74">
      <c r="A409" s="2" t="n"/>
      <c r="B409" s="2" t="n"/>
      <c r="D409" s="2" t="n"/>
      <c r="E409" s="2" t="n"/>
    </row>
    <row r="410" ht="14.25" customHeight="1" s="74">
      <c r="A410" s="2" t="n"/>
      <c r="B410" s="2" t="n"/>
      <c r="D410" s="2" t="n"/>
      <c r="E410" s="2" t="n"/>
    </row>
    <row r="411" ht="14.25" customHeight="1" s="74">
      <c r="A411" s="2" t="n"/>
      <c r="B411" s="2" t="n"/>
      <c r="D411" s="2" t="n"/>
      <c r="E411" s="2" t="n"/>
    </row>
    <row r="412" ht="14.25" customHeight="1" s="74">
      <c r="A412" s="2" t="n"/>
      <c r="B412" s="2" t="n"/>
      <c r="D412" s="2" t="n"/>
      <c r="E412" s="2" t="n"/>
    </row>
    <row r="413" ht="14.25" customHeight="1" s="74">
      <c r="A413" s="2" t="n"/>
      <c r="B413" s="2" t="n"/>
      <c r="D413" s="2" t="n"/>
      <c r="E413" s="2" t="n"/>
    </row>
    <row r="414" ht="14.25" customHeight="1" s="74">
      <c r="A414" s="2" t="n"/>
      <c r="B414" s="2" t="n"/>
      <c r="D414" s="2" t="n"/>
      <c r="E414" s="2" t="n"/>
    </row>
    <row r="415" ht="14.25" customHeight="1" s="74">
      <c r="A415" s="2" t="n"/>
      <c r="B415" s="2" t="n"/>
      <c r="D415" s="2" t="n"/>
      <c r="E415" s="2" t="n"/>
    </row>
    <row r="416" ht="14.25" customHeight="1" s="74">
      <c r="A416" s="2" t="n"/>
      <c r="B416" s="2" t="n"/>
      <c r="D416" s="2" t="n"/>
      <c r="E416" s="2" t="n"/>
    </row>
    <row r="417" ht="14.25" customHeight="1" s="74">
      <c r="A417" s="2" t="n"/>
      <c r="B417" s="2" t="n"/>
      <c r="D417" s="2" t="n"/>
      <c r="E417" s="2" t="n"/>
    </row>
    <row r="418" ht="14.25" customHeight="1" s="74">
      <c r="A418" s="2" t="n"/>
      <c r="B418" s="2" t="n"/>
      <c r="D418" s="2" t="n"/>
      <c r="E418" s="2" t="n"/>
    </row>
    <row r="419" ht="14.25" customHeight="1" s="74">
      <c r="A419" s="2" t="n"/>
      <c r="B419" s="2" t="n"/>
      <c r="D419" s="2" t="n"/>
      <c r="E419" s="2" t="n"/>
    </row>
    <row r="420" ht="14.25" customHeight="1" s="74">
      <c r="A420" s="2" t="n"/>
      <c r="B420" s="2" t="n"/>
      <c r="D420" s="2" t="n"/>
      <c r="E420" s="2" t="n"/>
    </row>
    <row r="421" ht="14.25" customHeight="1" s="74">
      <c r="A421" s="2" t="n"/>
      <c r="B421" s="2" t="n"/>
      <c r="D421" s="2" t="n"/>
      <c r="E421" s="2" t="n"/>
    </row>
    <row r="422" ht="14.25" customHeight="1" s="74">
      <c r="A422" s="2" t="n"/>
      <c r="B422" s="2" t="n"/>
      <c r="D422" s="2" t="n"/>
      <c r="E422" s="2" t="n"/>
    </row>
    <row r="423" ht="14.25" customHeight="1" s="74">
      <c r="A423" s="2" t="n"/>
      <c r="B423" s="2" t="n"/>
      <c r="D423" s="2" t="n"/>
      <c r="E423" s="2" t="n"/>
    </row>
    <row r="424" ht="14.25" customHeight="1" s="74">
      <c r="A424" s="2" t="n"/>
      <c r="B424" s="2" t="n"/>
      <c r="D424" s="2" t="n"/>
      <c r="E424" s="2" t="n"/>
    </row>
    <row r="425" ht="14.25" customHeight="1" s="74">
      <c r="A425" s="2" t="n"/>
      <c r="B425" s="2" t="n"/>
      <c r="D425" s="2" t="n"/>
      <c r="E425" s="2" t="n"/>
    </row>
    <row r="426" ht="14.25" customHeight="1" s="74">
      <c r="A426" s="2" t="n"/>
      <c r="B426" s="2" t="n"/>
      <c r="D426" s="2" t="n"/>
      <c r="E426" s="2" t="n"/>
    </row>
    <row r="427" ht="14.25" customHeight="1" s="74">
      <c r="A427" s="2" t="n"/>
      <c r="B427" s="2" t="n"/>
      <c r="D427" s="2" t="n"/>
      <c r="E427" s="2" t="n"/>
    </row>
    <row r="428" ht="14.25" customHeight="1" s="74">
      <c r="A428" s="2" t="n"/>
      <c r="B428" s="2" t="n"/>
      <c r="D428" s="2" t="n"/>
      <c r="E428" s="2" t="n"/>
    </row>
    <row r="429" ht="14.25" customHeight="1" s="74">
      <c r="A429" s="2" t="n"/>
      <c r="B429" s="2" t="n"/>
      <c r="D429" s="2" t="n"/>
      <c r="E429" s="2" t="n"/>
    </row>
    <row r="430" ht="14.25" customHeight="1" s="74">
      <c r="A430" s="2" t="n"/>
      <c r="B430" s="2" t="n"/>
      <c r="D430" s="2" t="n"/>
      <c r="E430" s="2" t="n"/>
    </row>
    <row r="431" ht="14.25" customHeight="1" s="74">
      <c r="A431" s="2" t="n"/>
      <c r="B431" s="2" t="n"/>
      <c r="D431" s="2" t="n"/>
      <c r="E431" s="2" t="n"/>
    </row>
    <row r="432" ht="14.25" customHeight="1" s="74">
      <c r="A432" s="2" t="n"/>
      <c r="B432" s="2" t="n"/>
      <c r="D432" s="2" t="n"/>
      <c r="E432" s="2" t="n"/>
    </row>
    <row r="433" ht="14.25" customHeight="1" s="74">
      <c r="A433" s="2" t="n"/>
      <c r="B433" s="2" t="n"/>
      <c r="D433" s="2" t="n"/>
      <c r="E433" s="2" t="n"/>
    </row>
    <row r="434" ht="14.25" customHeight="1" s="74">
      <c r="A434" s="2" t="n"/>
      <c r="B434" s="2" t="n"/>
      <c r="D434" s="2" t="n"/>
      <c r="E434" s="2" t="n"/>
    </row>
    <row r="435" ht="14.25" customHeight="1" s="74">
      <c r="A435" s="2" t="n"/>
      <c r="B435" s="2" t="n"/>
      <c r="D435" s="2" t="n"/>
      <c r="E435" s="2" t="n"/>
    </row>
    <row r="436" ht="14.25" customHeight="1" s="74">
      <c r="A436" s="2" t="n"/>
      <c r="B436" s="2" t="n"/>
      <c r="D436" s="2" t="n"/>
      <c r="E436" s="2" t="n"/>
    </row>
    <row r="437" ht="14.25" customHeight="1" s="74">
      <c r="A437" s="2" t="n"/>
      <c r="B437" s="2" t="n"/>
      <c r="D437" s="2" t="n"/>
      <c r="E437" s="2" t="n"/>
    </row>
    <row r="438" ht="14.25" customHeight="1" s="74">
      <c r="A438" s="2" t="n"/>
      <c r="B438" s="2" t="n"/>
      <c r="D438" s="2" t="n"/>
      <c r="E438" s="2" t="n"/>
    </row>
    <row r="439" ht="14.25" customHeight="1" s="74">
      <c r="A439" s="2" t="n"/>
      <c r="B439" s="2" t="n"/>
      <c r="D439" s="2" t="n"/>
      <c r="E439" s="2" t="n"/>
    </row>
    <row r="440" ht="14.25" customHeight="1" s="74">
      <c r="A440" s="2" t="n"/>
      <c r="B440" s="2" t="n"/>
      <c r="D440" s="2" t="n"/>
      <c r="E440" s="2" t="n"/>
    </row>
    <row r="441" ht="14.25" customHeight="1" s="74">
      <c r="A441" s="2" t="n"/>
      <c r="B441" s="2" t="n"/>
      <c r="D441" s="2" t="n"/>
      <c r="E441" s="2" t="n"/>
    </row>
    <row r="442" ht="14.25" customHeight="1" s="74">
      <c r="A442" s="2" t="n"/>
      <c r="B442" s="2" t="n"/>
      <c r="D442" s="2" t="n"/>
      <c r="E442" s="2" t="n"/>
    </row>
    <row r="443" ht="14.25" customHeight="1" s="74">
      <c r="A443" s="2" t="n"/>
      <c r="B443" s="2" t="n"/>
      <c r="D443" s="2" t="n"/>
      <c r="E443" s="2" t="n"/>
    </row>
    <row r="444" ht="14.25" customHeight="1" s="74">
      <c r="A444" s="2" t="n"/>
      <c r="B444" s="2" t="n"/>
      <c r="D444" s="2" t="n"/>
      <c r="E444" s="2" t="n"/>
    </row>
    <row r="445" ht="14.25" customHeight="1" s="74">
      <c r="A445" s="2" t="n"/>
      <c r="B445" s="2" t="n"/>
      <c r="D445" s="2" t="n"/>
      <c r="E445" s="2" t="n"/>
    </row>
    <row r="446" ht="14.25" customHeight="1" s="74">
      <c r="A446" s="2" t="n"/>
      <c r="B446" s="2" t="n"/>
      <c r="D446" s="2" t="n"/>
      <c r="E446" s="2" t="n"/>
    </row>
    <row r="447" ht="14.25" customHeight="1" s="74">
      <c r="A447" s="2" t="n"/>
      <c r="B447" s="2" t="n"/>
      <c r="D447" s="2" t="n"/>
      <c r="E447" s="2" t="n"/>
    </row>
    <row r="448" ht="14.25" customHeight="1" s="74">
      <c r="A448" s="2" t="n"/>
      <c r="B448" s="2" t="n"/>
      <c r="D448" s="2" t="n"/>
      <c r="E448" s="2" t="n"/>
    </row>
    <row r="449" ht="14.25" customHeight="1" s="74">
      <c r="A449" s="2" t="n"/>
      <c r="B449" s="2" t="n"/>
      <c r="D449" s="2" t="n"/>
      <c r="E449" s="2" t="n"/>
    </row>
    <row r="450" ht="14.25" customHeight="1" s="74">
      <c r="A450" s="2" t="n"/>
      <c r="B450" s="2" t="n"/>
      <c r="D450" s="2" t="n"/>
      <c r="E450" s="2" t="n"/>
    </row>
    <row r="451" ht="14.25" customHeight="1" s="74">
      <c r="A451" s="2" t="n"/>
      <c r="B451" s="2" t="n"/>
      <c r="D451" s="2" t="n"/>
      <c r="E451" s="2" t="n"/>
    </row>
    <row r="452" ht="14.25" customHeight="1" s="74">
      <c r="A452" s="2" t="n"/>
      <c r="B452" s="2" t="n"/>
      <c r="D452" s="2" t="n"/>
      <c r="E452" s="2" t="n"/>
    </row>
    <row r="453" ht="14.25" customHeight="1" s="74">
      <c r="A453" s="2" t="n"/>
      <c r="B453" s="2" t="n"/>
      <c r="D453" s="2" t="n"/>
      <c r="E453" s="2" t="n"/>
    </row>
    <row r="454" ht="14.25" customHeight="1" s="74">
      <c r="A454" s="2" t="n"/>
      <c r="B454" s="2" t="n"/>
      <c r="D454" s="2" t="n"/>
      <c r="E454" s="2" t="n"/>
    </row>
    <row r="455" ht="14.25" customHeight="1" s="74">
      <c r="A455" s="2" t="n"/>
      <c r="B455" s="2" t="n"/>
      <c r="D455" s="2" t="n"/>
      <c r="E455" s="2" t="n"/>
    </row>
    <row r="456" ht="14.25" customHeight="1" s="74">
      <c r="A456" s="2" t="n"/>
      <c r="B456" s="2" t="n"/>
      <c r="D456" s="2" t="n"/>
      <c r="E456" s="2" t="n"/>
    </row>
    <row r="457" ht="14.25" customHeight="1" s="74">
      <c r="A457" s="2" t="n"/>
      <c r="B457" s="2" t="n"/>
      <c r="D457" s="2" t="n"/>
      <c r="E457" s="2" t="n"/>
    </row>
    <row r="458" ht="14.25" customHeight="1" s="74">
      <c r="A458" s="2" t="n"/>
      <c r="B458" s="2" t="n"/>
      <c r="D458" s="2" t="n"/>
      <c r="E458" s="2" t="n"/>
    </row>
    <row r="459" ht="14.25" customHeight="1" s="74">
      <c r="A459" s="2" t="n"/>
      <c r="B459" s="2" t="n"/>
      <c r="D459" s="2" t="n"/>
      <c r="E459" s="2" t="n"/>
    </row>
    <row r="460" ht="14.25" customHeight="1" s="74">
      <c r="A460" s="2" t="n"/>
      <c r="B460" s="2" t="n"/>
      <c r="D460" s="2" t="n"/>
      <c r="E460" s="2" t="n"/>
    </row>
    <row r="461" ht="14.25" customHeight="1" s="74">
      <c r="A461" s="2" t="n"/>
      <c r="B461" s="2" t="n"/>
      <c r="D461" s="2" t="n"/>
      <c r="E461" s="2" t="n"/>
    </row>
    <row r="462" ht="14.25" customHeight="1" s="74">
      <c r="A462" s="2" t="n"/>
      <c r="B462" s="2" t="n"/>
      <c r="D462" s="2" t="n"/>
      <c r="E462" s="2" t="n"/>
    </row>
    <row r="463" ht="14.25" customHeight="1" s="74">
      <c r="A463" s="2" t="n"/>
      <c r="B463" s="2" t="n"/>
      <c r="D463" s="2" t="n"/>
      <c r="E463" s="2" t="n"/>
    </row>
    <row r="464" ht="14.25" customHeight="1" s="74">
      <c r="A464" s="2" t="n"/>
      <c r="B464" s="2" t="n"/>
      <c r="D464" s="2" t="n"/>
      <c r="E464" s="2" t="n"/>
    </row>
    <row r="465" ht="14.25" customHeight="1" s="74">
      <c r="A465" s="2" t="n"/>
      <c r="B465" s="2" t="n"/>
      <c r="D465" s="2" t="n"/>
      <c r="E465" s="2" t="n"/>
    </row>
    <row r="466" ht="14.25" customHeight="1" s="74">
      <c r="A466" s="2" t="n"/>
      <c r="B466" s="2" t="n"/>
      <c r="D466" s="2" t="n"/>
      <c r="E466" s="2" t="n"/>
    </row>
    <row r="467" ht="14.25" customHeight="1" s="74">
      <c r="A467" s="2" t="n"/>
      <c r="B467" s="2" t="n"/>
      <c r="D467" s="2" t="n"/>
      <c r="E467" s="2" t="n"/>
    </row>
    <row r="468" ht="14.25" customHeight="1" s="74">
      <c r="A468" s="2" t="n"/>
      <c r="B468" s="2" t="n"/>
      <c r="D468" s="2" t="n"/>
      <c r="E468" s="2" t="n"/>
    </row>
    <row r="469" ht="14.25" customHeight="1" s="74">
      <c r="A469" s="2" t="n"/>
      <c r="B469" s="2" t="n"/>
      <c r="D469" s="2" t="n"/>
      <c r="E469" s="2" t="n"/>
    </row>
    <row r="470" ht="14.25" customHeight="1" s="74">
      <c r="A470" s="2" t="n"/>
      <c r="B470" s="2" t="n"/>
      <c r="D470" s="2" t="n"/>
      <c r="E470" s="2" t="n"/>
    </row>
    <row r="471" ht="14.25" customHeight="1" s="74">
      <c r="A471" s="2" t="n"/>
      <c r="B471" s="2" t="n"/>
      <c r="D471" s="2" t="n"/>
      <c r="E471" s="2" t="n"/>
    </row>
    <row r="472" ht="14.25" customHeight="1" s="74">
      <c r="A472" s="2" t="n"/>
      <c r="B472" s="2" t="n"/>
      <c r="D472" s="2" t="n"/>
      <c r="E472" s="2" t="n"/>
    </row>
    <row r="473" ht="14.25" customHeight="1" s="74">
      <c r="A473" s="2" t="n"/>
      <c r="B473" s="2" t="n"/>
      <c r="D473" s="2" t="n"/>
      <c r="E473" s="2" t="n"/>
    </row>
    <row r="474" ht="14.25" customHeight="1" s="74">
      <c r="A474" s="2" t="n"/>
      <c r="B474" s="2" t="n"/>
      <c r="D474" s="2" t="n"/>
      <c r="E474" s="2" t="n"/>
    </row>
    <row r="475" ht="14.25" customHeight="1" s="74">
      <c r="A475" s="2" t="n"/>
      <c r="B475" s="2" t="n"/>
      <c r="D475" s="2" t="n"/>
      <c r="E475" s="2" t="n"/>
    </row>
    <row r="476" ht="14.25" customHeight="1" s="74">
      <c r="A476" s="2" t="n"/>
      <c r="B476" s="2" t="n"/>
      <c r="D476" s="2" t="n"/>
      <c r="E476" s="2" t="n"/>
    </row>
    <row r="477" ht="14.25" customHeight="1" s="74">
      <c r="A477" s="2" t="n"/>
      <c r="B477" s="2" t="n"/>
      <c r="D477" s="2" t="n"/>
      <c r="E477" s="2" t="n"/>
    </row>
    <row r="478" ht="14.25" customHeight="1" s="74">
      <c r="A478" s="2" t="n"/>
      <c r="B478" s="2" t="n"/>
      <c r="D478" s="2" t="n"/>
      <c r="E478" s="2" t="n"/>
    </row>
    <row r="479" ht="14.25" customHeight="1" s="74">
      <c r="A479" s="2" t="n"/>
      <c r="B479" s="2" t="n"/>
      <c r="D479" s="2" t="n"/>
      <c r="E479" s="2" t="n"/>
    </row>
    <row r="480" ht="14.25" customHeight="1" s="74">
      <c r="A480" s="2" t="n"/>
      <c r="B480" s="2" t="n"/>
      <c r="D480" s="2" t="n"/>
      <c r="E480" s="2" t="n"/>
    </row>
    <row r="481" ht="14.25" customHeight="1" s="74">
      <c r="A481" s="2" t="n"/>
      <c r="B481" s="2" t="n"/>
      <c r="D481" s="2" t="n"/>
      <c r="E481" s="2" t="n"/>
    </row>
    <row r="482" ht="14.25" customHeight="1" s="74">
      <c r="A482" s="2" t="n"/>
      <c r="B482" s="2" t="n"/>
      <c r="D482" s="2" t="n"/>
      <c r="E482" s="2" t="n"/>
    </row>
    <row r="483" ht="14.25" customHeight="1" s="74">
      <c r="A483" s="2" t="n"/>
      <c r="B483" s="2" t="n"/>
      <c r="D483" s="2" t="n"/>
      <c r="E483" s="2" t="n"/>
    </row>
    <row r="484" ht="14.25" customHeight="1" s="74">
      <c r="A484" s="2" t="n"/>
      <c r="B484" s="2" t="n"/>
      <c r="D484" s="2" t="n"/>
      <c r="E484" s="2" t="n"/>
    </row>
    <row r="485" ht="14.25" customHeight="1" s="74">
      <c r="A485" s="2" t="n"/>
      <c r="B485" s="2" t="n"/>
      <c r="D485" s="2" t="n"/>
      <c r="E485" s="2" t="n"/>
    </row>
    <row r="486" ht="14.25" customHeight="1" s="74">
      <c r="A486" s="2" t="n"/>
      <c r="B486" s="2" t="n"/>
      <c r="D486" s="2" t="n"/>
      <c r="E486" s="2" t="n"/>
    </row>
    <row r="487" ht="14.25" customHeight="1" s="74">
      <c r="A487" s="2" t="n"/>
      <c r="B487" s="2" t="n"/>
      <c r="D487" s="2" t="n"/>
      <c r="E487" s="2" t="n"/>
    </row>
    <row r="488" ht="14.25" customHeight="1" s="74">
      <c r="A488" s="2" t="n"/>
      <c r="B488" s="2" t="n"/>
      <c r="D488" s="2" t="n"/>
      <c r="E488" s="2" t="n"/>
    </row>
    <row r="489" ht="14.25" customHeight="1" s="74">
      <c r="A489" s="2" t="n"/>
      <c r="B489" s="2" t="n"/>
      <c r="D489" s="2" t="n"/>
      <c r="E489" s="2" t="n"/>
    </row>
    <row r="490" ht="14.25" customHeight="1" s="74">
      <c r="A490" s="2" t="n"/>
      <c r="B490" s="2" t="n"/>
      <c r="D490" s="2" t="n"/>
      <c r="E490" s="2" t="n"/>
    </row>
    <row r="491" ht="14.25" customHeight="1" s="74">
      <c r="A491" s="2" t="n"/>
      <c r="B491" s="2" t="n"/>
      <c r="D491" s="2" t="n"/>
      <c r="E491" s="2" t="n"/>
    </row>
    <row r="492" ht="14.25" customHeight="1" s="74">
      <c r="A492" s="2" t="n"/>
      <c r="B492" s="2" t="n"/>
      <c r="D492" s="2" t="n"/>
      <c r="E492" s="2" t="n"/>
    </row>
    <row r="493" ht="14.25" customHeight="1" s="74">
      <c r="A493" s="2" t="n"/>
      <c r="B493" s="2" t="n"/>
      <c r="D493" s="2" t="n"/>
      <c r="E493" s="2" t="n"/>
    </row>
    <row r="494" ht="14.25" customHeight="1" s="74">
      <c r="A494" s="2" t="n"/>
      <c r="B494" s="2" t="n"/>
      <c r="D494" s="2" t="n"/>
      <c r="E494" s="2" t="n"/>
    </row>
    <row r="495" ht="14.25" customHeight="1" s="74">
      <c r="A495" s="2" t="n"/>
      <c r="B495" s="2" t="n"/>
      <c r="D495" s="2" t="n"/>
      <c r="E495" s="2" t="n"/>
    </row>
    <row r="496" ht="14.25" customHeight="1" s="74">
      <c r="A496" s="2" t="n"/>
      <c r="B496" s="2" t="n"/>
      <c r="D496" s="2" t="n"/>
      <c r="E496" s="2" t="n"/>
    </row>
    <row r="497" ht="14.25" customHeight="1" s="74">
      <c r="A497" s="2" t="n"/>
      <c r="B497" s="2" t="n"/>
      <c r="D497" s="2" t="n"/>
      <c r="E497" s="2" t="n"/>
    </row>
    <row r="498" ht="14.25" customHeight="1" s="74">
      <c r="A498" s="2" t="n"/>
      <c r="B498" s="2" t="n"/>
      <c r="D498" s="2" t="n"/>
      <c r="E498" s="2" t="n"/>
    </row>
    <row r="499" ht="14.25" customHeight="1" s="74">
      <c r="A499" s="2" t="n"/>
      <c r="B499" s="2" t="n"/>
      <c r="D499" s="2" t="n"/>
      <c r="E499" s="2" t="n"/>
    </row>
    <row r="500" ht="14.25" customHeight="1" s="74">
      <c r="A500" s="2" t="n"/>
      <c r="B500" s="2" t="n"/>
      <c r="D500" s="2" t="n"/>
      <c r="E500" s="2" t="n"/>
    </row>
    <row r="501" ht="14.25" customHeight="1" s="74">
      <c r="A501" s="2" t="n"/>
      <c r="B501" s="2" t="n"/>
      <c r="D501" s="2" t="n"/>
      <c r="E501" s="2" t="n"/>
    </row>
    <row r="502" ht="14.25" customHeight="1" s="74">
      <c r="A502" s="2" t="n"/>
      <c r="B502" s="2" t="n"/>
      <c r="D502" s="2" t="n"/>
      <c r="E502" s="2" t="n"/>
    </row>
    <row r="503" ht="14.25" customHeight="1" s="74">
      <c r="A503" s="2" t="n"/>
      <c r="B503" s="2" t="n"/>
      <c r="D503" s="2" t="n"/>
      <c r="E503" s="2" t="n"/>
    </row>
    <row r="504" ht="14.25" customHeight="1" s="74">
      <c r="A504" s="2" t="n"/>
      <c r="B504" s="2" t="n"/>
      <c r="D504" s="2" t="n"/>
      <c r="E504" s="2" t="n"/>
    </row>
    <row r="505" ht="14.25" customHeight="1" s="74">
      <c r="A505" s="2" t="n"/>
      <c r="B505" s="2" t="n"/>
      <c r="D505" s="2" t="n"/>
      <c r="E505" s="2" t="n"/>
    </row>
    <row r="506" ht="14.25" customHeight="1" s="74">
      <c r="A506" s="2" t="n"/>
      <c r="B506" s="2" t="n"/>
      <c r="D506" s="2" t="n"/>
      <c r="E506" s="2" t="n"/>
    </row>
    <row r="507" ht="14.25" customHeight="1" s="74">
      <c r="A507" s="2" t="n"/>
      <c r="B507" s="2" t="n"/>
      <c r="D507" s="2" t="n"/>
      <c r="E507" s="2" t="n"/>
    </row>
    <row r="508" ht="14.25" customHeight="1" s="74">
      <c r="A508" s="2" t="n"/>
      <c r="B508" s="2" t="n"/>
      <c r="D508" s="2" t="n"/>
      <c r="E508" s="2" t="n"/>
    </row>
    <row r="509" ht="14.25" customHeight="1" s="74">
      <c r="A509" s="2" t="n"/>
      <c r="B509" s="2" t="n"/>
      <c r="D509" s="2" t="n"/>
      <c r="E509" s="2" t="n"/>
    </row>
    <row r="510" ht="14.25" customHeight="1" s="74">
      <c r="A510" s="2" t="n"/>
      <c r="B510" s="2" t="n"/>
      <c r="D510" s="2" t="n"/>
      <c r="E510" s="2" t="n"/>
    </row>
    <row r="511" ht="14.25" customHeight="1" s="74">
      <c r="A511" s="2" t="n"/>
      <c r="B511" s="2" t="n"/>
      <c r="D511" s="2" t="n"/>
      <c r="E511" s="2" t="n"/>
    </row>
    <row r="512" ht="14.25" customHeight="1" s="74">
      <c r="A512" s="2" t="n"/>
      <c r="B512" s="2" t="n"/>
      <c r="D512" s="2" t="n"/>
      <c r="E512" s="2" t="n"/>
    </row>
    <row r="513" ht="14.25" customHeight="1" s="74">
      <c r="A513" s="2" t="n"/>
      <c r="B513" s="2" t="n"/>
      <c r="D513" s="2" t="n"/>
      <c r="E513" s="2" t="n"/>
    </row>
    <row r="514" ht="14.25" customHeight="1" s="74">
      <c r="A514" s="2" t="n"/>
      <c r="B514" s="2" t="n"/>
      <c r="D514" s="2" t="n"/>
      <c r="E514" s="2" t="n"/>
    </row>
    <row r="515" ht="14.25" customHeight="1" s="74">
      <c r="A515" s="2" t="n"/>
      <c r="B515" s="2" t="n"/>
      <c r="D515" s="2" t="n"/>
      <c r="E515" s="2" t="n"/>
    </row>
    <row r="516" ht="14.25" customHeight="1" s="74">
      <c r="A516" s="2" t="n"/>
      <c r="B516" s="2" t="n"/>
      <c r="D516" s="2" t="n"/>
      <c r="E516" s="2" t="n"/>
    </row>
    <row r="517" ht="14.25" customHeight="1" s="74">
      <c r="A517" s="2" t="n"/>
      <c r="B517" s="2" t="n"/>
      <c r="D517" s="2" t="n"/>
      <c r="E517" s="2" t="n"/>
    </row>
    <row r="518" ht="14.25" customHeight="1" s="74">
      <c r="A518" s="2" t="n"/>
      <c r="B518" s="2" t="n"/>
      <c r="D518" s="2" t="n"/>
      <c r="E518" s="2" t="n"/>
    </row>
    <row r="519" ht="14.25" customHeight="1" s="74">
      <c r="A519" s="2" t="n"/>
      <c r="B519" s="2" t="n"/>
      <c r="D519" s="2" t="n"/>
      <c r="E519" s="2" t="n"/>
    </row>
    <row r="520" ht="14.25" customHeight="1" s="74">
      <c r="A520" s="2" t="n"/>
      <c r="B520" s="2" t="n"/>
      <c r="D520" s="2" t="n"/>
      <c r="E520" s="2" t="n"/>
    </row>
    <row r="521" ht="14.25" customHeight="1" s="74">
      <c r="A521" s="2" t="n"/>
      <c r="B521" s="2" t="n"/>
      <c r="D521" s="2" t="n"/>
      <c r="E521" s="2" t="n"/>
    </row>
    <row r="522" ht="14.25" customHeight="1" s="74">
      <c r="A522" s="2" t="n"/>
      <c r="B522" s="2" t="n"/>
      <c r="D522" s="2" t="n"/>
      <c r="E522" s="2" t="n"/>
    </row>
    <row r="523" ht="14.25" customHeight="1" s="74">
      <c r="A523" s="2" t="n"/>
      <c r="B523" s="2" t="n"/>
      <c r="D523" s="2" t="n"/>
      <c r="E523" s="2" t="n"/>
    </row>
    <row r="524" ht="14.25" customHeight="1" s="74">
      <c r="A524" s="2" t="n"/>
      <c r="B524" s="2" t="n"/>
      <c r="D524" s="2" t="n"/>
      <c r="E524" s="2" t="n"/>
    </row>
    <row r="525" ht="14.25" customHeight="1" s="74">
      <c r="A525" s="2" t="n"/>
      <c r="B525" s="2" t="n"/>
      <c r="D525" s="2" t="n"/>
      <c r="E525" s="2" t="n"/>
    </row>
    <row r="526" ht="14.25" customHeight="1" s="74">
      <c r="A526" s="2" t="n"/>
      <c r="B526" s="2" t="n"/>
      <c r="D526" s="2" t="n"/>
      <c r="E526" s="2" t="n"/>
    </row>
    <row r="527" ht="14.25" customHeight="1" s="74">
      <c r="A527" s="2" t="n"/>
      <c r="B527" s="2" t="n"/>
      <c r="D527" s="2" t="n"/>
      <c r="E527" s="2" t="n"/>
    </row>
    <row r="528" ht="14.25" customHeight="1" s="74">
      <c r="A528" s="2" t="n"/>
      <c r="B528" s="2" t="n"/>
      <c r="D528" s="2" t="n"/>
      <c r="E528" s="2" t="n"/>
    </row>
    <row r="529" ht="14.25" customHeight="1" s="74">
      <c r="A529" s="2" t="n"/>
      <c r="B529" s="2" t="n"/>
      <c r="D529" s="2" t="n"/>
      <c r="E529" s="2" t="n"/>
    </row>
    <row r="530" ht="14.25" customHeight="1" s="74">
      <c r="A530" s="2" t="n"/>
      <c r="B530" s="2" t="n"/>
      <c r="D530" s="2" t="n"/>
      <c r="E530" s="2" t="n"/>
    </row>
    <row r="531" ht="14.25" customHeight="1" s="74">
      <c r="A531" s="2" t="n"/>
      <c r="B531" s="2" t="n"/>
      <c r="D531" s="2" t="n"/>
      <c r="E531" s="2" t="n"/>
    </row>
    <row r="532" ht="14.25" customHeight="1" s="74">
      <c r="A532" s="2" t="n"/>
      <c r="B532" s="2" t="n"/>
      <c r="D532" s="2" t="n"/>
      <c r="E532" s="2" t="n"/>
    </row>
    <row r="533" ht="14.25" customHeight="1" s="74">
      <c r="A533" s="2" t="n"/>
      <c r="B533" s="2" t="n"/>
      <c r="D533" s="2" t="n"/>
      <c r="E533" s="2" t="n"/>
    </row>
    <row r="534" ht="14.25" customHeight="1" s="74">
      <c r="A534" s="2" t="n"/>
      <c r="B534" s="2" t="n"/>
      <c r="D534" s="2" t="n"/>
      <c r="E534" s="2" t="n"/>
    </row>
    <row r="535" ht="14.25" customHeight="1" s="74">
      <c r="A535" s="2" t="n"/>
      <c r="B535" s="2" t="n"/>
      <c r="D535" s="2" t="n"/>
      <c r="E535" s="2" t="n"/>
    </row>
    <row r="536" ht="14.25" customHeight="1" s="74">
      <c r="A536" s="2" t="n"/>
      <c r="B536" s="2" t="n"/>
      <c r="D536" s="2" t="n"/>
      <c r="E536" s="2" t="n"/>
    </row>
    <row r="537" ht="14.25" customHeight="1" s="74">
      <c r="A537" s="2" t="n"/>
      <c r="B537" s="2" t="n"/>
      <c r="D537" s="2" t="n"/>
      <c r="E537" s="2" t="n"/>
    </row>
    <row r="538" ht="14.25" customHeight="1" s="74">
      <c r="A538" s="2" t="n"/>
      <c r="B538" s="2" t="n"/>
      <c r="D538" s="2" t="n"/>
      <c r="E538" s="2" t="n"/>
    </row>
    <row r="539" ht="14.25" customHeight="1" s="74">
      <c r="A539" s="2" t="n"/>
      <c r="B539" s="2" t="n"/>
      <c r="D539" s="2" t="n"/>
      <c r="E539" s="2" t="n"/>
    </row>
    <row r="540" ht="14.25" customHeight="1" s="74">
      <c r="A540" s="2" t="n"/>
      <c r="B540" s="2" t="n"/>
      <c r="D540" s="2" t="n"/>
      <c r="E540" s="2" t="n"/>
    </row>
    <row r="541" ht="14.25" customHeight="1" s="74">
      <c r="A541" s="2" t="n"/>
      <c r="B541" s="2" t="n"/>
      <c r="D541" s="2" t="n"/>
      <c r="E541" s="2" t="n"/>
    </row>
    <row r="542" ht="14.25" customHeight="1" s="74">
      <c r="A542" s="2" t="n"/>
      <c r="B542" s="2" t="n"/>
      <c r="D542" s="2" t="n"/>
      <c r="E542" s="2" t="n"/>
    </row>
    <row r="543" ht="14.25" customHeight="1" s="74">
      <c r="A543" s="2" t="n"/>
      <c r="B543" s="2" t="n"/>
      <c r="D543" s="2" t="n"/>
      <c r="E543" s="2" t="n"/>
    </row>
    <row r="544" ht="14.25" customHeight="1" s="74">
      <c r="A544" s="2" t="n"/>
      <c r="B544" s="2" t="n"/>
      <c r="D544" s="2" t="n"/>
      <c r="E544" s="2" t="n"/>
    </row>
    <row r="545" ht="14.25" customHeight="1" s="74">
      <c r="A545" s="2" t="n"/>
      <c r="B545" s="2" t="n"/>
      <c r="D545" s="2" t="n"/>
      <c r="E545" s="2" t="n"/>
    </row>
    <row r="546" ht="14.25" customHeight="1" s="74">
      <c r="A546" s="2" t="n"/>
      <c r="B546" s="2" t="n"/>
      <c r="D546" s="2" t="n"/>
      <c r="E546" s="2" t="n"/>
    </row>
    <row r="547" ht="14.25" customHeight="1" s="74">
      <c r="A547" s="2" t="n"/>
      <c r="B547" s="2" t="n"/>
      <c r="D547" s="2" t="n"/>
      <c r="E547" s="2" t="n"/>
    </row>
    <row r="548" ht="14.25" customHeight="1" s="74">
      <c r="A548" s="2" t="n"/>
      <c r="B548" s="2" t="n"/>
      <c r="D548" s="2" t="n"/>
      <c r="E548" s="2" t="n"/>
    </row>
    <row r="549" ht="14.25" customHeight="1" s="74">
      <c r="A549" s="2" t="n"/>
      <c r="B549" s="2" t="n"/>
      <c r="D549" s="2" t="n"/>
      <c r="E549" s="2" t="n"/>
    </row>
    <row r="550" ht="14.25" customHeight="1" s="74">
      <c r="A550" s="2" t="n"/>
      <c r="B550" s="2" t="n"/>
      <c r="D550" s="2" t="n"/>
      <c r="E550" s="2" t="n"/>
    </row>
    <row r="551" ht="14.25" customHeight="1" s="74">
      <c r="A551" s="2" t="n"/>
      <c r="B551" s="2" t="n"/>
      <c r="D551" s="2" t="n"/>
      <c r="E551" s="2" t="n"/>
    </row>
    <row r="552" ht="14.25" customHeight="1" s="74">
      <c r="A552" s="2" t="n"/>
      <c r="B552" s="2" t="n"/>
      <c r="D552" s="2" t="n"/>
      <c r="E552" s="2" t="n"/>
    </row>
    <row r="553" ht="14.25" customHeight="1" s="74">
      <c r="A553" s="2" t="n"/>
      <c r="B553" s="2" t="n"/>
      <c r="D553" s="2" t="n"/>
      <c r="E553" s="2" t="n"/>
    </row>
    <row r="554" ht="14.25" customHeight="1" s="74">
      <c r="A554" s="2" t="n"/>
      <c r="B554" s="2" t="n"/>
      <c r="D554" s="2" t="n"/>
      <c r="E554" s="2" t="n"/>
    </row>
    <row r="555" ht="14.25" customHeight="1" s="74">
      <c r="A555" s="2" t="n"/>
      <c r="B555" s="2" t="n"/>
      <c r="D555" s="2" t="n"/>
      <c r="E555" s="2" t="n"/>
    </row>
    <row r="556" ht="14.25" customHeight="1" s="74">
      <c r="A556" s="2" t="n"/>
      <c r="B556" s="2" t="n"/>
      <c r="D556" s="2" t="n"/>
      <c r="E556" s="2" t="n"/>
    </row>
    <row r="557" ht="14.25" customHeight="1" s="74">
      <c r="A557" s="2" t="n"/>
      <c r="B557" s="2" t="n"/>
      <c r="D557" s="2" t="n"/>
      <c r="E557" s="2" t="n"/>
    </row>
    <row r="558" ht="14.25" customHeight="1" s="74">
      <c r="A558" s="2" t="n"/>
      <c r="B558" s="2" t="n"/>
      <c r="D558" s="2" t="n"/>
      <c r="E558" s="2" t="n"/>
    </row>
    <row r="559" ht="14.25" customHeight="1" s="74">
      <c r="A559" s="2" t="n"/>
      <c r="B559" s="2" t="n"/>
      <c r="D559" s="2" t="n"/>
      <c r="E559" s="2" t="n"/>
    </row>
    <row r="560" ht="14.25" customHeight="1" s="74">
      <c r="A560" s="2" t="n"/>
      <c r="B560" s="2" t="n"/>
      <c r="D560" s="2" t="n"/>
      <c r="E560" s="2" t="n"/>
    </row>
    <row r="561" ht="14.25" customHeight="1" s="74">
      <c r="A561" s="2" t="n"/>
      <c r="B561" s="2" t="n"/>
      <c r="D561" s="2" t="n"/>
      <c r="E561" s="2" t="n"/>
    </row>
    <row r="562" ht="14.25" customHeight="1" s="74">
      <c r="A562" s="2" t="n"/>
      <c r="B562" s="2" t="n"/>
      <c r="D562" s="2" t="n"/>
      <c r="E562" s="2" t="n"/>
    </row>
    <row r="563" ht="14.25" customHeight="1" s="74">
      <c r="A563" s="2" t="n"/>
      <c r="B563" s="2" t="n"/>
      <c r="D563" s="2" t="n"/>
      <c r="E563" s="2" t="n"/>
    </row>
    <row r="564" ht="14.25" customHeight="1" s="74">
      <c r="A564" s="2" t="n"/>
      <c r="B564" s="2" t="n"/>
      <c r="D564" s="2" t="n"/>
      <c r="E564" s="2" t="n"/>
    </row>
    <row r="565" ht="14.25" customHeight="1" s="74">
      <c r="A565" s="2" t="n"/>
      <c r="B565" s="2" t="n"/>
      <c r="D565" s="2" t="n"/>
      <c r="E565" s="2" t="n"/>
    </row>
    <row r="566" ht="14.25" customHeight="1" s="74">
      <c r="A566" s="2" t="n"/>
      <c r="B566" s="2" t="n"/>
      <c r="D566" s="2" t="n"/>
      <c r="E566" s="2" t="n"/>
    </row>
    <row r="567" ht="14.25" customHeight="1" s="74">
      <c r="A567" s="2" t="n"/>
      <c r="B567" s="2" t="n"/>
      <c r="D567" s="2" t="n"/>
      <c r="E567" s="2" t="n"/>
    </row>
    <row r="568" ht="14.25" customHeight="1" s="74">
      <c r="A568" s="2" t="n"/>
      <c r="B568" s="2" t="n"/>
      <c r="D568" s="2" t="n"/>
      <c r="E568" s="2" t="n"/>
    </row>
    <row r="569" ht="14.25" customHeight="1" s="74">
      <c r="A569" s="2" t="n"/>
      <c r="B569" s="2" t="n"/>
      <c r="D569" s="2" t="n"/>
      <c r="E569" s="2" t="n"/>
    </row>
    <row r="570" ht="14.25" customHeight="1" s="74">
      <c r="A570" s="2" t="n"/>
      <c r="B570" s="2" t="n"/>
      <c r="D570" s="2" t="n"/>
      <c r="E570" s="2" t="n"/>
    </row>
    <row r="571" ht="14.25" customHeight="1" s="74">
      <c r="A571" s="2" t="n"/>
      <c r="B571" s="2" t="n"/>
      <c r="D571" s="2" t="n"/>
      <c r="E571" s="2" t="n"/>
    </row>
    <row r="572" ht="14.25" customHeight="1" s="74">
      <c r="A572" s="2" t="n"/>
      <c r="B572" s="2" t="n"/>
      <c r="D572" s="2" t="n"/>
      <c r="E572" s="2" t="n"/>
    </row>
    <row r="573" ht="14.25" customHeight="1" s="74">
      <c r="A573" s="2" t="n"/>
      <c r="B573" s="2" t="n"/>
      <c r="D573" s="2" t="n"/>
      <c r="E573" s="2" t="n"/>
    </row>
    <row r="574" ht="14.25" customHeight="1" s="74">
      <c r="A574" s="2" t="n"/>
      <c r="B574" s="2" t="n"/>
      <c r="D574" s="2" t="n"/>
      <c r="E574" s="2" t="n"/>
    </row>
    <row r="575" ht="14.25" customHeight="1" s="74">
      <c r="A575" s="2" t="n"/>
      <c r="B575" s="2" t="n"/>
      <c r="D575" s="2" t="n"/>
      <c r="E575" s="2" t="n"/>
    </row>
    <row r="576" ht="14.25" customHeight="1" s="74">
      <c r="A576" s="2" t="n"/>
      <c r="B576" s="2" t="n"/>
      <c r="D576" s="2" t="n"/>
      <c r="E576" s="2" t="n"/>
    </row>
    <row r="577" ht="14.25" customHeight="1" s="74">
      <c r="A577" s="2" t="n"/>
      <c r="B577" s="2" t="n"/>
      <c r="D577" s="2" t="n"/>
      <c r="E577" s="2" t="n"/>
    </row>
    <row r="578" ht="14.25" customHeight="1" s="74">
      <c r="A578" s="2" t="n"/>
      <c r="B578" s="2" t="n"/>
      <c r="D578" s="2" t="n"/>
      <c r="E578" s="2" t="n"/>
    </row>
    <row r="579" ht="14.25" customHeight="1" s="74">
      <c r="A579" s="2" t="n"/>
      <c r="B579" s="2" t="n"/>
      <c r="D579" s="2" t="n"/>
      <c r="E579" s="2" t="n"/>
    </row>
    <row r="580" ht="14.25" customHeight="1" s="74">
      <c r="A580" s="2" t="n"/>
      <c r="B580" s="2" t="n"/>
      <c r="D580" s="2" t="n"/>
      <c r="E580" s="2" t="n"/>
    </row>
    <row r="581" ht="14.25" customHeight="1" s="74">
      <c r="A581" s="2" t="n"/>
      <c r="B581" s="2" t="n"/>
      <c r="D581" s="2" t="n"/>
      <c r="E581" s="2" t="n"/>
    </row>
    <row r="582" ht="14.25" customHeight="1" s="74">
      <c r="A582" s="2" t="n"/>
      <c r="B582" s="2" t="n"/>
      <c r="D582" s="2" t="n"/>
      <c r="E582" s="2" t="n"/>
    </row>
    <row r="583" ht="14.25" customHeight="1" s="74">
      <c r="A583" s="2" t="n"/>
      <c r="B583" s="2" t="n"/>
      <c r="D583" s="2" t="n"/>
      <c r="E583" s="2" t="n"/>
    </row>
    <row r="584" ht="14.25" customHeight="1" s="74">
      <c r="A584" s="2" t="n"/>
      <c r="B584" s="2" t="n"/>
      <c r="D584" s="2" t="n"/>
      <c r="E584" s="2" t="n"/>
    </row>
    <row r="585" ht="14.25" customHeight="1" s="74">
      <c r="A585" s="2" t="n"/>
      <c r="B585" s="2" t="n"/>
      <c r="D585" s="2" t="n"/>
      <c r="E585" s="2" t="n"/>
    </row>
    <row r="586" ht="14.25" customHeight="1" s="74">
      <c r="A586" s="2" t="n"/>
      <c r="B586" s="2" t="n"/>
      <c r="D586" s="2" t="n"/>
      <c r="E586" s="2" t="n"/>
    </row>
    <row r="587" ht="14.25" customHeight="1" s="74">
      <c r="A587" s="2" t="n"/>
      <c r="B587" s="2" t="n"/>
      <c r="D587" s="2" t="n"/>
      <c r="E587" s="2" t="n"/>
    </row>
    <row r="588" ht="14.25" customHeight="1" s="74">
      <c r="A588" s="2" t="n"/>
      <c r="B588" s="2" t="n"/>
      <c r="D588" s="2" t="n"/>
      <c r="E588" s="2" t="n"/>
    </row>
    <row r="589" ht="14.25" customHeight="1" s="74">
      <c r="A589" s="2" t="n"/>
      <c r="B589" s="2" t="n"/>
      <c r="D589" s="2" t="n"/>
      <c r="E589" s="2" t="n"/>
    </row>
    <row r="590" ht="14.25" customHeight="1" s="74">
      <c r="A590" s="2" t="n"/>
      <c r="B590" s="2" t="n"/>
      <c r="D590" s="2" t="n"/>
      <c r="E590" s="2" t="n"/>
    </row>
    <row r="591" ht="14.25" customHeight="1" s="74">
      <c r="A591" s="2" t="n"/>
      <c r="B591" s="2" t="n"/>
      <c r="D591" s="2" t="n"/>
      <c r="E591" s="2" t="n"/>
    </row>
    <row r="592" ht="14.25" customHeight="1" s="74">
      <c r="A592" s="2" t="n"/>
      <c r="B592" s="2" t="n"/>
      <c r="D592" s="2" t="n"/>
      <c r="E592" s="2" t="n"/>
    </row>
    <row r="593" ht="14.25" customHeight="1" s="74">
      <c r="A593" s="2" t="n"/>
      <c r="B593" s="2" t="n"/>
      <c r="D593" s="2" t="n"/>
      <c r="E593" s="2" t="n"/>
    </row>
    <row r="594" ht="14.25" customHeight="1" s="74">
      <c r="A594" s="2" t="n"/>
      <c r="B594" s="2" t="n"/>
      <c r="D594" s="2" t="n"/>
      <c r="E594" s="2" t="n"/>
    </row>
    <row r="595" ht="14.25" customHeight="1" s="74">
      <c r="A595" s="2" t="n"/>
      <c r="B595" s="2" t="n"/>
      <c r="D595" s="2" t="n"/>
      <c r="E595" s="2" t="n"/>
    </row>
    <row r="596" ht="14.25" customHeight="1" s="74">
      <c r="A596" s="2" t="n"/>
      <c r="B596" s="2" t="n"/>
      <c r="D596" s="2" t="n"/>
      <c r="E596" s="2" t="n"/>
    </row>
    <row r="597" ht="14.25" customHeight="1" s="74">
      <c r="A597" s="2" t="n"/>
      <c r="B597" s="2" t="n"/>
      <c r="D597" s="2" t="n"/>
      <c r="E597" s="2" t="n"/>
    </row>
    <row r="598" ht="14.25" customHeight="1" s="74">
      <c r="A598" s="2" t="n"/>
      <c r="B598" s="2" t="n"/>
      <c r="D598" s="2" t="n"/>
      <c r="E598" s="2" t="n"/>
    </row>
    <row r="599" ht="14.25" customHeight="1" s="74">
      <c r="A599" s="2" t="n"/>
      <c r="B599" s="2" t="n"/>
      <c r="D599" s="2" t="n"/>
      <c r="E599" s="2" t="n"/>
    </row>
    <row r="600" ht="14.25" customHeight="1" s="74">
      <c r="A600" s="2" t="n"/>
      <c r="B600" s="2" t="n"/>
      <c r="D600" s="2" t="n"/>
      <c r="E600" s="2" t="n"/>
    </row>
    <row r="601" ht="14.25" customHeight="1" s="74">
      <c r="A601" s="2" t="n"/>
      <c r="B601" s="2" t="n"/>
      <c r="D601" s="2" t="n"/>
      <c r="E601" s="2" t="n"/>
    </row>
    <row r="602" ht="14.25" customHeight="1" s="74">
      <c r="A602" s="2" t="n"/>
      <c r="B602" s="2" t="n"/>
      <c r="D602" s="2" t="n"/>
      <c r="E602" s="2" t="n"/>
    </row>
    <row r="603" ht="14.25" customHeight="1" s="74">
      <c r="A603" s="2" t="n"/>
      <c r="B603" s="2" t="n"/>
      <c r="D603" s="2" t="n"/>
      <c r="E603" s="2" t="n"/>
    </row>
    <row r="604" ht="14.25" customHeight="1" s="74">
      <c r="A604" s="2" t="n"/>
      <c r="B604" s="2" t="n"/>
      <c r="D604" s="2" t="n"/>
      <c r="E604" s="2" t="n"/>
    </row>
    <row r="605" ht="14.25" customHeight="1" s="74">
      <c r="A605" s="2" t="n"/>
      <c r="B605" s="2" t="n"/>
      <c r="D605" s="2" t="n"/>
      <c r="E605" s="2" t="n"/>
    </row>
    <row r="606" ht="14.25" customHeight="1" s="74">
      <c r="A606" s="2" t="n"/>
      <c r="B606" s="2" t="n"/>
      <c r="D606" s="2" t="n"/>
      <c r="E606" s="2" t="n"/>
    </row>
    <row r="607" ht="14.25" customHeight="1" s="74">
      <c r="A607" s="2" t="n"/>
      <c r="B607" s="2" t="n"/>
      <c r="D607" s="2" t="n"/>
      <c r="E607" s="2" t="n"/>
    </row>
    <row r="608" ht="14.25" customHeight="1" s="74">
      <c r="A608" s="2" t="n"/>
      <c r="B608" s="2" t="n"/>
      <c r="D608" s="2" t="n"/>
      <c r="E608" s="2" t="n"/>
    </row>
    <row r="609" ht="14.25" customHeight="1" s="74">
      <c r="A609" s="2" t="n"/>
      <c r="B609" s="2" t="n"/>
      <c r="D609" s="2" t="n"/>
      <c r="E609" s="2" t="n"/>
    </row>
    <row r="610" ht="14.25" customHeight="1" s="74">
      <c r="A610" s="2" t="n"/>
      <c r="B610" s="2" t="n"/>
      <c r="D610" s="2" t="n"/>
      <c r="E610" s="2" t="n"/>
    </row>
    <row r="611" ht="14.25" customHeight="1" s="74">
      <c r="A611" s="2" t="n"/>
      <c r="B611" s="2" t="n"/>
      <c r="D611" s="2" t="n"/>
      <c r="E611" s="2" t="n"/>
    </row>
    <row r="612" ht="14.25" customHeight="1" s="74">
      <c r="A612" s="2" t="n"/>
      <c r="B612" s="2" t="n"/>
      <c r="D612" s="2" t="n"/>
      <c r="E612" s="2" t="n"/>
    </row>
    <row r="613" ht="14.25" customHeight="1" s="74">
      <c r="A613" s="2" t="n"/>
      <c r="B613" s="2" t="n"/>
      <c r="D613" s="2" t="n"/>
      <c r="E613" s="2" t="n"/>
    </row>
    <row r="614" ht="14.25" customHeight="1" s="74">
      <c r="A614" s="2" t="n"/>
      <c r="B614" s="2" t="n"/>
      <c r="D614" s="2" t="n"/>
      <c r="E614" s="2" t="n"/>
    </row>
    <row r="615" ht="14.25" customHeight="1" s="74">
      <c r="A615" s="2" t="n"/>
      <c r="B615" s="2" t="n"/>
      <c r="D615" s="2" t="n"/>
      <c r="E615" s="2" t="n"/>
    </row>
    <row r="616" ht="14.25" customHeight="1" s="74">
      <c r="A616" s="2" t="n"/>
      <c r="B616" s="2" t="n"/>
      <c r="D616" s="2" t="n"/>
      <c r="E616" s="2" t="n"/>
    </row>
    <row r="617" ht="14.25" customHeight="1" s="74">
      <c r="A617" s="2" t="n"/>
      <c r="B617" s="2" t="n"/>
      <c r="D617" s="2" t="n"/>
      <c r="E617" s="2" t="n"/>
    </row>
    <row r="618" ht="14.25" customHeight="1" s="74">
      <c r="A618" s="2" t="n"/>
      <c r="B618" s="2" t="n"/>
      <c r="D618" s="2" t="n"/>
      <c r="E618" s="2" t="n"/>
    </row>
    <row r="619" ht="14.25" customHeight="1" s="74">
      <c r="A619" s="2" t="n"/>
      <c r="B619" s="2" t="n"/>
      <c r="D619" s="2" t="n"/>
      <c r="E619" s="2" t="n"/>
    </row>
    <row r="620" ht="14.25" customHeight="1" s="74">
      <c r="A620" s="2" t="n"/>
      <c r="B620" s="2" t="n"/>
      <c r="D620" s="2" t="n"/>
      <c r="E620" s="2" t="n"/>
    </row>
    <row r="621" ht="14.25" customHeight="1" s="74">
      <c r="A621" s="2" t="n"/>
      <c r="B621" s="2" t="n"/>
      <c r="D621" s="2" t="n"/>
      <c r="E621" s="2" t="n"/>
    </row>
    <row r="622" ht="14.25" customHeight="1" s="74">
      <c r="A622" s="2" t="n"/>
      <c r="B622" s="2" t="n"/>
      <c r="D622" s="2" t="n"/>
      <c r="E622" s="2" t="n"/>
    </row>
    <row r="623" ht="14.25" customHeight="1" s="74">
      <c r="A623" s="2" t="n"/>
      <c r="B623" s="2" t="n"/>
      <c r="D623" s="2" t="n"/>
      <c r="E623" s="2" t="n"/>
    </row>
    <row r="624" ht="14.25" customHeight="1" s="74">
      <c r="A624" s="2" t="n"/>
      <c r="B624" s="2" t="n"/>
      <c r="D624" s="2" t="n"/>
      <c r="E624" s="2" t="n"/>
    </row>
    <row r="625" ht="14.25" customHeight="1" s="74">
      <c r="A625" s="2" t="n"/>
      <c r="B625" s="2" t="n"/>
      <c r="D625" s="2" t="n"/>
      <c r="E625" s="2" t="n"/>
    </row>
    <row r="626" ht="14.25" customHeight="1" s="74">
      <c r="A626" s="2" t="n"/>
      <c r="B626" s="2" t="n"/>
      <c r="D626" s="2" t="n"/>
      <c r="E626" s="2" t="n"/>
    </row>
    <row r="627" ht="14.25" customHeight="1" s="74">
      <c r="A627" s="2" t="n"/>
      <c r="B627" s="2" t="n"/>
      <c r="D627" s="2" t="n"/>
      <c r="E627" s="2" t="n"/>
    </row>
    <row r="628" ht="14.25" customHeight="1" s="74">
      <c r="A628" s="2" t="n"/>
      <c r="B628" s="2" t="n"/>
      <c r="D628" s="2" t="n"/>
      <c r="E628" s="2" t="n"/>
    </row>
    <row r="629" ht="14.25" customHeight="1" s="74">
      <c r="A629" s="2" t="n"/>
      <c r="B629" s="2" t="n"/>
      <c r="D629" s="2" t="n"/>
      <c r="E629" s="2" t="n"/>
    </row>
    <row r="630" ht="14.25" customHeight="1" s="74">
      <c r="A630" s="2" t="n"/>
      <c r="B630" s="2" t="n"/>
      <c r="D630" s="2" t="n"/>
      <c r="E630" s="2" t="n"/>
    </row>
    <row r="631" ht="14.25" customHeight="1" s="74">
      <c r="A631" s="2" t="n"/>
      <c r="B631" s="2" t="n"/>
      <c r="D631" s="2" t="n"/>
      <c r="E631" s="2" t="n"/>
    </row>
    <row r="632" ht="14.25" customHeight="1" s="74">
      <c r="A632" s="2" t="n"/>
      <c r="B632" s="2" t="n"/>
      <c r="D632" s="2" t="n"/>
      <c r="E632" s="2" t="n"/>
    </row>
    <row r="633" ht="14.25" customHeight="1" s="74">
      <c r="A633" s="2" t="n"/>
      <c r="B633" s="2" t="n"/>
      <c r="D633" s="2" t="n"/>
      <c r="E633" s="2" t="n"/>
    </row>
    <row r="634" ht="14.25" customHeight="1" s="74">
      <c r="A634" s="2" t="n"/>
      <c r="B634" s="2" t="n"/>
      <c r="D634" s="2" t="n"/>
      <c r="E634" s="2" t="n"/>
    </row>
    <row r="635" ht="14.25" customHeight="1" s="74">
      <c r="A635" s="2" t="n"/>
      <c r="B635" s="2" t="n"/>
      <c r="D635" s="2" t="n"/>
      <c r="E635" s="2" t="n"/>
    </row>
    <row r="636" ht="14.25" customHeight="1" s="74">
      <c r="A636" s="2" t="n"/>
      <c r="B636" s="2" t="n"/>
      <c r="D636" s="2" t="n"/>
      <c r="E636" s="2" t="n"/>
    </row>
    <row r="637" ht="14.25" customHeight="1" s="74">
      <c r="A637" s="2" t="n"/>
      <c r="B637" s="2" t="n"/>
      <c r="D637" s="2" t="n"/>
      <c r="E637" s="2" t="n"/>
    </row>
    <row r="638" ht="14.25" customHeight="1" s="74">
      <c r="A638" s="2" t="n"/>
      <c r="B638" s="2" t="n"/>
      <c r="D638" s="2" t="n"/>
      <c r="E638" s="2" t="n"/>
    </row>
    <row r="639" ht="14.25" customHeight="1" s="74">
      <c r="A639" s="2" t="n"/>
      <c r="B639" s="2" t="n"/>
      <c r="D639" s="2" t="n"/>
      <c r="E639" s="2" t="n"/>
    </row>
    <row r="640" ht="14.25" customHeight="1" s="74">
      <c r="A640" s="2" t="n"/>
      <c r="B640" s="2" t="n"/>
      <c r="D640" s="2" t="n"/>
      <c r="E640" s="2" t="n"/>
    </row>
    <row r="641" ht="14.25" customHeight="1" s="74">
      <c r="A641" s="2" t="n"/>
      <c r="B641" s="2" t="n"/>
      <c r="D641" s="2" t="n"/>
      <c r="E641" s="2" t="n"/>
    </row>
    <row r="642" ht="14.25" customHeight="1" s="74">
      <c r="A642" s="2" t="n"/>
      <c r="B642" s="2" t="n"/>
      <c r="D642" s="2" t="n"/>
      <c r="E642" s="2" t="n"/>
    </row>
    <row r="643" ht="14.25" customHeight="1" s="74">
      <c r="A643" s="2" t="n"/>
      <c r="B643" s="2" t="n"/>
      <c r="D643" s="2" t="n"/>
      <c r="E643" s="2" t="n"/>
    </row>
    <row r="644" ht="14.25" customHeight="1" s="74">
      <c r="A644" s="2" t="n"/>
      <c r="B644" s="2" t="n"/>
      <c r="D644" s="2" t="n"/>
      <c r="E644" s="2" t="n"/>
    </row>
    <row r="645" ht="14.25" customHeight="1" s="74">
      <c r="A645" s="2" t="n"/>
      <c r="B645" s="2" t="n"/>
      <c r="D645" s="2" t="n"/>
      <c r="E645" s="2" t="n"/>
    </row>
    <row r="646" ht="14.25" customHeight="1" s="74">
      <c r="A646" s="2" t="n"/>
      <c r="B646" s="2" t="n"/>
      <c r="D646" s="2" t="n"/>
      <c r="E646" s="2" t="n"/>
    </row>
    <row r="647" ht="14.25" customHeight="1" s="74">
      <c r="A647" s="2" t="n"/>
      <c r="B647" s="2" t="n"/>
      <c r="D647" s="2" t="n"/>
      <c r="E647" s="2" t="n"/>
    </row>
    <row r="648" ht="14.25" customHeight="1" s="74">
      <c r="A648" s="2" t="n"/>
      <c r="B648" s="2" t="n"/>
      <c r="D648" s="2" t="n"/>
      <c r="E648" s="2" t="n"/>
    </row>
    <row r="649" ht="14.25" customHeight="1" s="74">
      <c r="A649" s="2" t="n"/>
      <c r="B649" s="2" t="n"/>
      <c r="D649" s="2" t="n"/>
      <c r="E649" s="2" t="n"/>
    </row>
    <row r="650" ht="14.25" customHeight="1" s="74">
      <c r="A650" s="2" t="n"/>
      <c r="B650" s="2" t="n"/>
      <c r="D650" s="2" t="n"/>
      <c r="E650" s="2" t="n"/>
    </row>
    <row r="651" ht="14.25" customHeight="1" s="74">
      <c r="A651" s="2" t="n"/>
      <c r="B651" s="2" t="n"/>
      <c r="D651" s="2" t="n"/>
      <c r="E651" s="2" t="n"/>
    </row>
    <row r="652" ht="14.25" customHeight="1" s="74">
      <c r="A652" s="2" t="n"/>
      <c r="B652" s="2" t="n"/>
      <c r="D652" s="2" t="n"/>
      <c r="E652" s="2" t="n"/>
    </row>
    <row r="653" ht="14.25" customHeight="1" s="74">
      <c r="A653" s="2" t="n"/>
      <c r="B653" s="2" t="n"/>
      <c r="D653" s="2" t="n"/>
      <c r="E653" s="2" t="n"/>
    </row>
    <row r="654" ht="14.25" customHeight="1" s="74">
      <c r="A654" s="2" t="n"/>
      <c r="B654" s="2" t="n"/>
      <c r="D654" s="2" t="n"/>
      <c r="E654" s="2" t="n"/>
    </row>
    <row r="655" ht="14.25" customHeight="1" s="74">
      <c r="A655" s="2" t="n"/>
      <c r="B655" s="2" t="n"/>
      <c r="D655" s="2" t="n"/>
      <c r="E655" s="2" t="n"/>
    </row>
    <row r="656" ht="14.25" customHeight="1" s="74">
      <c r="A656" s="2" t="n"/>
      <c r="B656" s="2" t="n"/>
      <c r="D656" s="2" t="n"/>
      <c r="E656" s="2" t="n"/>
    </row>
    <row r="657" ht="14.25" customHeight="1" s="74">
      <c r="A657" s="2" t="n"/>
      <c r="B657" s="2" t="n"/>
      <c r="D657" s="2" t="n"/>
      <c r="E657" s="2" t="n"/>
    </row>
    <row r="658" ht="14.25" customHeight="1" s="74">
      <c r="A658" s="2" t="n"/>
      <c r="B658" s="2" t="n"/>
      <c r="D658" s="2" t="n"/>
      <c r="E658" s="2" t="n"/>
    </row>
    <row r="659" ht="14.25" customHeight="1" s="74">
      <c r="A659" s="2" t="n"/>
      <c r="B659" s="2" t="n"/>
      <c r="D659" s="2" t="n"/>
      <c r="E659" s="2" t="n"/>
    </row>
    <row r="660" ht="14.25" customHeight="1" s="74">
      <c r="A660" s="2" t="n"/>
      <c r="B660" s="2" t="n"/>
      <c r="D660" s="2" t="n"/>
      <c r="E660" s="2" t="n"/>
    </row>
    <row r="661" ht="14.25" customHeight="1" s="74">
      <c r="A661" s="2" t="n"/>
      <c r="B661" s="2" t="n"/>
      <c r="D661" s="2" t="n"/>
      <c r="E661" s="2" t="n"/>
    </row>
    <row r="662" ht="14.25" customHeight="1" s="74">
      <c r="A662" s="2" t="n"/>
      <c r="B662" s="2" t="n"/>
      <c r="D662" s="2" t="n"/>
      <c r="E662" s="2" t="n"/>
    </row>
    <row r="663" ht="14.25" customHeight="1" s="74">
      <c r="A663" s="2" t="n"/>
      <c r="B663" s="2" t="n"/>
      <c r="D663" s="2" t="n"/>
      <c r="E663" s="2" t="n"/>
    </row>
    <row r="664" ht="14.25" customHeight="1" s="74">
      <c r="A664" s="2" t="n"/>
      <c r="B664" s="2" t="n"/>
      <c r="D664" s="2" t="n"/>
      <c r="E664" s="2" t="n"/>
    </row>
    <row r="665" ht="14.25" customHeight="1" s="74">
      <c r="A665" s="2" t="n"/>
      <c r="B665" s="2" t="n"/>
      <c r="D665" s="2" t="n"/>
      <c r="E665" s="2" t="n"/>
    </row>
    <row r="666" ht="14.25" customHeight="1" s="74">
      <c r="A666" s="2" t="n"/>
      <c r="B666" s="2" t="n"/>
      <c r="D666" s="2" t="n"/>
      <c r="E666" s="2" t="n"/>
    </row>
    <row r="667" ht="14.25" customHeight="1" s="74">
      <c r="A667" s="2" t="n"/>
      <c r="B667" s="2" t="n"/>
      <c r="D667" s="2" t="n"/>
      <c r="E667" s="2" t="n"/>
    </row>
    <row r="668" ht="14.25" customHeight="1" s="74">
      <c r="A668" s="2" t="n"/>
      <c r="B668" s="2" t="n"/>
      <c r="D668" s="2" t="n"/>
      <c r="E668" s="2" t="n"/>
    </row>
    <row r="669" ht="14.25" customHeight="1" s="74">
      <c r="A669" s="2" t="n"/>
      <c r="B669" s="2" t="n"/>
      <c r="D669" s="2" t="n"/>
      <c r="E669" s="2" t="n"/>
    </row>
    <row r="670" ht="14.25" customHeight="1" s="74">
      <c r="A670" s="2" t="n"/>
      <c r="B670" s="2" t="n"/>
      <c r="D670" s="2" t="n"/>
      <c r="E670" s="2" t="n"/>
    </row>
    <row r="671" ht="14.25" customHeight="1" s="74">
      <c r="A671" s="2" t="n"/>
      <c r="B671" s="2" t="n"/>
      <c r="D671" s="2" t="n"/>
      <c r="E671" s="2" t="n"/>
    </row>
    <row r="672" ht="14.25" customHeight="1" s="74">
      <c r="A672" s="2" t="n"/>
      <c r="B672" s="2" t="n"/>
      <c r="D672" s="2" t="n"/>
      <c r="E672" s="2" t="n"/>
    </row>
    <row r="673" ht="14.25" customHeight="1" s="74">
      <c r="A673" s="2" t="n"/>
      <c r="B673" s="2" t="n"/>
      <c r="D673" s="2" t="n"/>
      <c r="E673" s="2" t="n"/>
    </row>
    <row r="674" ht="14.25" customHeight="1" s="74">
      <c r="A674" s="2" t="n"/>
      <c r="B674" s="2" t="n"/>
      <c r="D674" s="2" t="n"/>
      <c r="E674" s="2" t="n"/>
    </row>
    <row r="675" ht="14.25" customHeight="1" s="74">
      <c r="A675" s="2" t="n"/>
      <c r="B675" s="2" t="n"/>
      <c r="D675" s="2" t="n"/>
      <c r="E675" s="2" t="n"/>
    </row>
    <row r="676" ht="14.25" customHeight="1" s="74">
      <c r="A676" s="2" t="n"/>
      <c r="B676" s="2" t="n"/>
      <c r="D676" s="2" t="n"/>
      <c r="E676" s="2" t="n"/>
    </row>
    <row r="677" ht="14.25" customHeight="1" s="74">
      <c r="A677" s="2" t="n"/>
      <c r="B677" s="2" t="n"/>
      <c r="D677" s="2" t="n"/>
      <c r="E677" s="2" t="n"/>
    </row>
    <row r="678" ht="14.25" customHeight="1" s="74">
      <c r="A678" s="2" t="n"/>
      <c r="B678" s="2" t="n"/>
      <c r="D678" s="2" t="n"/>
      <c r="E678" s="2" t="n"/>
    </row>
    <row r="679" ht="14.25" customHeight="1" s="74">
      <c r="A679" s="2" t="n"/>
      <c r="B679" s="2" t="n"/>
      <c r="D679" s="2" t="n"/>
      <c r="E679" s="2" t="n"/>
    </row>
    <row r="680" ht="14.25" customHeight="1" s="74">
      <c r="A680" s="2" t="n"/>
      <c r="B680" s="2" t="n"/>
      <c r="D680" s="2" t="n"/>
      <c r="E680" s="2" t="n"/>
    </row>
    <row r="681" ht="14.25" customHeight="1" s="74">
      <c r="A681" s="2" t="n"/>
      <c r="B681" s="2" t="n"/>
      <c r="D681" s="2" t="n"/>
      <c r="E681" s="2" t="n"/>
    </row>
    <row r="682" ht="14.25" customHeight="1" s="74">
      <c r="A682" s="2" t="n"/>
      <c r="B682" s="2" t="n"/>
      <c r="D682" s="2" t="n"/>
      <c r="E682" s="2" t="n"/>
    </row>
    <row r="683" ht="14.25" customHeight="1" s="74">
      <c r="A683" s="2" t="n"/>
      <c r="B683" s="2" t="n"/>
      <c r="D683" s="2" t="n"/>
      <c r="E683" s="2" t="n"/>
    </row>
    <row r="684" ht="14.25" customHeight="1" s="74">
      <c r="A684" s="2" t="n"/>
      <c r="B684" s="2" t="n"/>
      <c r="D684" s="2" t="n"/>
      <c r="E684" s="2" t="n"/>
    </row>
    <row r="685" ht="14.25" customHeight="1" s="74">
      <c r="A685" s="2" t="n"/>
      <c r="B685" s="2" t="n"/>
      <c r="D685" s="2" t="n"/>
      <c r="E685" s="2" t="n"/>
    </row>
    <row r="686" ht="14.25" customHeight="1" s="74">
      <c r="A686" s="2" t="n"/>
      <c r="B686" s="2" t="n"/>
      <c r="D686" s="2" t="n"/>
      <c r="E686" s="2" t="n"/>
    </row>
    <row r="687" ht="14.25" customHeight="1" s="74">
      <c r="A687" s="2" t="n"/>
      <c r="B687" s="2" t="n"/>
      <c r="D687" s="2" t="n"/>
      <c r="E687" s="2" t="n"/>
    </row>
    <row r="688" ht="14.25" customHeight="1" s="74">
      <c r="A688" s="2" t="n"/>
      <c r="B688" s="2" t="n"/>
      <c r="D688" s="2" t="n"/>
      <c r="E688" s="2" t="n"/>
    </row>
    <row r="689" ht="14.25" customHeight="1" s="74">
      <c r="A689" s="2" t="n"/>
      <c r="B689" s="2" t="n"/>
      <c r="D689" s="2" t="n"/>
      <c r="E689" s="2" t="n"/>
    </row>
    <row r="690" ht="14.25" customHeight="1" s="74">
      <c r="A690" s="2" t="n"/>
      <c r="B690" s="2" t="n"/>
      <c r="D690" s="2" t="n"/>
      <c r="E690" s="2" t="n"/>
    </row>
    <row r="691" ht="14.25" customHeight="1" s="74">
      <c r="A691" s="2" t="n"/>
      <c r="B691" s="2" t="n"/>
      <c r="D691" s="2" t="n"/>
      <c r="E691" s="2" t="n"/>
    </row>
    <row r="692" ht="14.25" customHeight="1" s="74">
      <c r="A692" s="2" t="n"/>
      <c r="B692" s="2" t="n"/>
      <c r="D692" s="2" t="n"/>
      <c r="E692" s="2" t="n"/>
    </row>
    <row r="693" ht="14.25" customHeight="1" s="74">
      <c r="A693" s="2" t="n"/>
      <c r="B693" s="2" t="n"/>
      <c r="D693" s="2" t="n"/>
      <c r="E693" s="2" t="n"/>
    </row>
    <row r="694" ht="14.25" customHeight="1" s="74">
      <c r="A694" s="2" t="n"/>
      <c r="B694" s="2" t="n"/>
      <c r="D694" s="2" t="n"/>
      <c r="E694" s="2" t="n"/>
    </row>
    <row r="695" ht="14.25" customHeight="1" s="74">
      <c r="A695" s="2" t="n"/>
      <c r="B695" s="2" t="n"/>
      <c r="D695" s="2" t="n"/>
      <c r="E695" s="2" t="n"/>
    </row>
    <row r="696" ht="14.25" customHeight="1" s="74">
      <c r="A696" s="2" t="n"/>
      <c r="B696" s="2" t="n"/>
      <c r="D696" s="2" t="n"/>
      <c r="E696" s="2" t="n"/>
    </row>
    <row r="697" ht="14.25" customHeight="1" s="74">
      <c r="A697" s="2" t="n"/>
      <c r="B697" s="2" t="n"/>
      <c r="D697" s="2" t="n"/>
      <c r="E697" s="2" t="n"/>
    </row>
    <row r="698" ht="14.25" customHeight="1" s="74">
      <c r="A698" s="2" t="n"/>
      <c r="B698" s="2" t="n"/>
      <c r="D698" s="2" t="n"/>
      <c r="E698" s="2" t="n"/>
    </row>
    <row r="699" ht="14.25" customHeight="1" s="74">
      <c r="A699" s="2" t="n"/>
      <c r="B699" s="2" t="n"/>
      <c r="D699" s="2" t="n"/>
      <c r="E699" s="2" t="n"/>
    </row>
    <row r="700" ht="14.25" customHeight="1" s="74">
      <c r="A700" s="2" t="n"/>
      <c r="B700" s="2" t="n"/>
      <c r="D700" s="2" t="n"/>
      <c r="E700" s="2" t="n"/>
    </row>
    <row r="701" ht="14.25" customHeight="1" s="74">
      <c r="A701" s="2" t="n"/>
      <c r="B701" s="2" t="n"/>
      <c r="D701" s="2" t="n"/>
      <c r="E701" s="2" t="n"/>
    </row>
    <row r="702" ht="14.25" customHeight="1" s="74">
      <c r="A702" s="2" t="n"/>
      <c r="B702" s="2" t="n"/>
      <c r="D702" s="2" t="n"/>
      <c r="E702" s="2" t="n"/>
    </row>
    <row r="703" ht="14.25" customHeight="1" s="74">
      <c r="A703" s="2" t="n"/>
      <c r="B703" s="2" t="n"/>
      <c r="D703" s="2" t="n"/>
      <c r="E703" s="2" t="n"/>
    </row>
    <row r="704" ht="14.25" customHeight="1" s="74">
      <c r="A704" s="2" t="n"/>
      <c r="B704" s="2" t="n"/>
      <c r="D704" s="2" t="n"/>
      <c r="E704" s="2" t="n"/>
    </row>
    <row r="705" ht="14.25" customHeight="1" s="74">
      <c r="A705" s="2" t="n"/>
      <c r="B705" s="2" t="n"/>
      <c r="D705" s="2" t="n"/>
      <c r="E705" s="2" t="n"/>
    </row>
    <row r="706" ht="14.25" customHeight="1" s="74">
      <c r="A706" s="2" t="n"/>
      <c r="B706" s="2" t="n"/>
      <c r="D706" s="2" t="n"/>
      <c r="E706" s="2" t="n"/>
    </row>
    <row r="707" ht="14.25" customHeight="1" s="74">
      <c r="A707" s="2" t="n"/>
      <c r="B707" s="2" t="n"/>
      <c r="D707" s="2" t="n"/>
      <c r="E707" s="2" t="n"/>
    </row>
    <row r="708" ht="14.25" customHeight="1" s="74">
      <c r="A708" s="2" t="n"/>
      <c r="B708" s="2" t="n"/>
      <c r="D708" s="2" t="n"/>
      <c r="E708" s="2" t="n"/>
    </row>
    <row r="709" ht="14.25" customHeight="1" s="74">
      <c r="A709" s="2" t="n"/>
      <c r="B709" s="2" t="n"/>
      <c r="D709" s="2" t="n"/>
      <c r="E709" s="2" t="n"/>
    </row>
    <row r="710" ht="14.25" customHeight="1" s="74">
      <c r="A710" s="2" t="n"/>
      <c r="B710" s="2" t="n"/>
      <c r="D710" s="2" t="n"/>
      <c r="E710" s="2" t="n"/>
    </row>
    <row r="711" ht="14.25" customHeight="1" s="74">
      <c r="A711" s="2" t="n"/>
      <c r="B711" s="2" t="n"/>
      <c r="D711" s="2" t="n"/>
      <c r="E711" s="2" t="n"/>
    </row>
    <row r="712" ht="14.25" customHeight="1" s="74">
      <c r="A712" s="2" t="n"/>
      <c r="B712" s="2" t="n"/>
      <c r="D712" s="2" t="n"/>
      <c r="E712" s="2" t="n"/>
    </row>
    <row r="713" ht="14.25" customHeight="1" s="74">
      <c r="A713" s="2" t="n"/>
      <c r="B713" s="2" t="n"/>
      <c r="D713" s="2" t="n"/>
      <c r="E713" s="2" t="n"/>
    </row>
    <row r="714" ht="14.25" customHeight="1" s="74">
      <c r="A714" s="2" t="n"/>
      <c r="B714" s="2" t="n"/>
      <c r="D714" s="2" t="n"/>
      <c r="E714" s="2" t="n"/>
    </row>
    <row r="715" ht="14.25" customHeight="1" s="74">
      <c r="A715" s="2" t="n"/>
      <c r="B715" s="2" t="n"/>
      <c r="D715" s="2" t="n"/>
      <c r="E715" s="2" t="n"/>
    </row>
    <row r="716" ht="14.25" customHeight="1" s="74">
      <c r="A716" s="2" t="n"/>
      <c r="B716" s="2" t="n"/>
      <c r="D716" s="2" t="n"/>
      <c r="E716" s="2" t="n"/>
    </row>
    <row r="717" ht="14.25" customHeight="1" s="74">
      <c r="A717" s="2" t="n"/>
      <c r="B717" s="2" t="n"/>
      <c r="D717" s="2" t="n"/>
      <c r="E717" s="2" t="n"/>
    </row>
    <row r="718" ht="14.25" customHeight="1" s="74">
      <c r="A718" s="2" t="n"/>
      <c r="B718" s="2" t="n"/>
      <c r="D718" s="2" t="n"/>
      <c r="E718" s="2" t="n"/>
    </row>
    <row r="719" ht="14.25" customHeight="1" s="74">
      <c r="A719" s="2" t="n"/>
      <c r="B719" s="2" t="n"/>
      <c r="D719" s="2" t="n"/>
      <c r="E719" s="2" t="n"/>
    </row>
    <row r="720" ht="14.25" customHeight="1" s="74">
      <c r="A720" s="2" t="n"/>
      <c r="B720" s="2" t="n"/>
      <c r="D720" s="2" t="n"/>
      <c r="E720" s="2" t="n"/>
    </row>
    <row r="721" ht="14.25" customHeight="1" s="74">
      <c r="A721" s="2" t="n"/>
      <c r="B721" s="2" t="n"/>
      <c r="D721" s="2" t="n"/>
      <c r="E721" s="2" t="n"/>
    </row>
    <row r="722" ht="14.25" customHeight="1" s="74">
      <c r="A722" s="2" t="n"/>
      <c r="B722" s="2" t="n"/>
      <c r="D722" s="2" t="n"/>
      <c r="E722" s="2" t="n"/>
    </row>
    <row r="723" ht="14.25" customHeight="1" s="74">
      <c r="A723" s="2" t="n"/>
      <c r="B723" s="2" t="n"/>
      <c r="D723" s="2" t="n"/>
      <c r="E723" s="2" t="n"/>
    </row>
    <row r="724" ht="14.25" customHeight="1" s="74">
      <c r="A724" s="2" t="n"/>
      <c r="B724" s="2" t="n"/>
      <c r="D724" s="2" t="n"/>
      <c r="E724" s="2" t="n"/>
    </row>
    <row r="725" ht="14.25" customHeight="1" s="74">
      <c r="A725" s="2" t="n"/>
      <c r="B725" s="2" t="n"/>
      <c r="D725" s="2" t="n"/>
      <c r="E725" s="2" t="n"/>
    </row>
    <row r="726" ht="14.25" customHeight="1" s="74">
      <c r="A726" s="2" t="n"/>
      <c r="B726" s="2" t="n"/>
      <c r="D726" s="2" t="n"/>
      <c r="E726" s="2" t="n"/>
    </row>
    <row r="727" ht="14.25" customHeight="1" s="74">
      <c r="A727" s="2" t="n"/>
      <c r="B727" s="2" t="n"/>
      <c r="D727" s="2" t="n"/>
      <c r="E727" s="2" t="n"/>
    </row>
    <row r="728" ht="14.25" customHeight="1" s="74">
      <c r="A728" s="2" t="n"/>
      <c r="B728" s="2" t="n"/>
      <c r="D728" s="2" t="n"/>
      <c r="E728" s="2" t="n"/>
    </row>
    <row r="729" ht="14.25" customHeight="1" s="74">
      <c r="A729" s="2" t="n"/>
      <c r="B729" s="2" t="n"/>
      <c r="D729" s="2" t="n"/>
      <c r="E729" s="2" t="n"/>
    </row>
    <row r="730" ht="14.25" customHeight="1" s="74">
      <c r="A730" s="2" t="n"/>
      <c r="B730" s="2" t="n"/>
      <c r="D730" s="2" t="n"/>
      <c r="E730" s="2" t="n"/>
    </row>
    <row r="731" ht="14.25" customHeight="1" s="74">
      <c r="A731" s="2" t="n"/>
      <c r="B731" s="2" t="n"/>
      <c r="D731" s="2" t="n"/>
      <c r="E731" s="2" t="n"/>
    </row>
    <row r="732" ht="14.25" customHeight="1" s="74">
      <c r="A732" s="2" t="n"/>
      <c r="B732" s="2" t="n"/>
      <c r="D732" s="2" t="n"/>
      <c r="E732" s="2" t="n"/>
    </row>
    <row r="733" ht="14.25" customHeight="1" s="74">
      <c r="A733" s="2" t="n"/>
      <c r="B733" s="2" t="n"/>
      <c r="D733" s="2" t="n"/>
      <c r="E733" s="2" t="n"/>
    </row>
    <row r="734" ht="14.25" customHeight="1" s="74">
      <c r="A734" s="2" t="n"/>
      <c r="B734" s="2" t="n"/>
      <c r="D734" s="2" t="n"/>
      <c r="E734" s="2" t="n"/>
    </row>
    <row r="735" ht="14.25" customHeight="1" s="74">
      <c r="A735" s="2" t="n"/>
      <c r="B735" s="2" t="n"/>
      <c r="D735" s="2" t="n"/>
      <c r="E735" s="2" t="n"/>
    </row>
    <row r="736" ht="14.25" customHeight="1" s="74">
      <c r="A736" s="2" t="n"/>
      <c r="B736" s="2" t="n"/>
      <c r="D736" s="2" t="n"/>
      <c r="E736" s="2" t="n"/>
    </row>
    <row r="737" ht="14.25" customHeight="1" s="74">
      <c r="A737" s="2" t="n"/>
      <c r="B737" s="2" t="n"/>
      <c r="D737" s="2" t="n"/>
      <c r="E737" s="2" t="n"/>
    </row>
    <row r="738" ht="14.25" customHeight="1" s="74">
      <c r="A738" s="2" t="n"/>
      <c r="B738" s="2" t="n"/>
      <c r="D738" s="2" t="n"/>
      <c r="E738" s="2" t="n"/>
    </row>
    <row r="739" ht="14.25" customHeight="1" s="74">
      <c r="A739" s="2" t="n"/>
      <c r="B739" s="2" t="n"/>
      <c r="D739" s="2" t="n"/>
      <c r="E739" s="2" t="n"/>
    </row>
    <row r="740" ht="14.25" customHeight="1" s="74">
      <c r="A740" s="2" t="n"/>
      <c r="B740" s="2" t="n"/>
      <c r="D740" s="2" t="n"/>
      <c r="E740" s="2" t="n"/>
    </row>
    <row r="741" ht="14.25" customHeight="1" s="74">
      <c r="A741" s="2" t="n"/>
      <c r="B741" s="2" t="n"/>
      <c r="D741" s="2" t="n"/>
      <c r="E741" s="2" t="n"/>
    </row>
    <row r="742" ht="14.25" customHeight="1" s="74">
      <c r="A742" s="2" t="n"/>
      <c r="B742" s="2" t="n"/>
      <c r="D742" s="2" t="n"/>
      <c r="E742" s="2" t="n"/>
    </row>
    <row r="743" ht="14.25" customHeight="1" s="74">
      <c r="A743" s="2" t="n"/>
      <c r="B743" s="2" t="n"/>
      <c r="D743" s="2" t="n"/>
      <c r="E743" s="2" t="n"/>
    </row>
    <row r="744" ht="14.25" customHeight="1" s="74">
      <c r="A744" s="2" t="n"/>
      <c r="B744" s="2" t="n"/>
      <c r="D744" s="2" t="n"/>
      <c r="E744" s="2" t="n"/>
    </row>
    <row r="745" ht="14.25" customHeight="1" s="74">
      <c r="A745" s="2" t="n"/>
      <c r="B745" s="2" t="n"/>
      <c r="D745" s="2" t="n"/>
      <c r="E745" s="2" t="n"/>
    </row>
    <row r="746" ht="14.25" customHeight="1" s="74">
      <c r="A746" s="2" t="n"/>
      <c r="B746" s="2" t="n"/>
      <c r="D746" s="2" t="n"/>
      <c r="E746" s="2" t="n"/>
    </row>
    <row r="747" ht="14.25" customHeight="1" s="74">
      <c r="A747" s="2" t="n"/>
      <c r="B747" s="2" t="n"/>
      <c r="D747" s="2" t="n"/>
      <c r="E747" s="2" t="n"/>
    </row>
    <row r="748" ht="14.25" customHeight="1" s="74">
      <c r="A748" s="2" t="n"/>
      <c r="B748" s="2" t="n"/>
      <c r="D748" s="2" t="n"/>
      <c r="E748" s="2" t="n"/>
    </row>
    <row r="749" ht="14.25" customHeight="1" s="74">
      <c r="A749" s="2" t="n"/>
      <c r="B749" s="2" t="n"/>
      <c r="D749" s="2" t="n"/>
      <c r="E749" s="2" t="n"/>
    </row>
    <row r="750" ht="14.25" customHeight="1" s="74">
      <c r="A750" s="2" t="n"/>
      <c r="B750" s="2" t="n"/>
      <c r="D750" s="2" t="n"/>
      <c r="E750" s="2" t="n"/>
    </row>
    <row r="751" ht="14.25" customHeight="1" s="74">
      <c r="A751" s="2" t="n"/>
      <c r="B751" s="2" t="n"/>
      <c r="D751" s="2" t="n"/>
      <c r="E751" s="2" t="n"/>
    </row>
    <row r="752" ht="14.25" customHeight="1" s="74">
      <c r="A752" s="2" t="n"/>
      <c r="B752" s="2" t="n"/>
      <c r="D752" s="2" t="n"/>
      <c r="E752" s="2" t="n"/>
    </row>
    <row r="753" ht="14.25" customHeight="1" s="74">
      <c r="A753" s="2" t="n"/>
      <c r="B753" s="2" t="n"/>
      <c r="D753" s="2" t="n"/>
      <c r="E753" s="2" t="n"/>
    </row>
    <row r="754" ht="14.25" customHeight="1" s="74">
      <c r="A754" s="2" t="n"/>
      <c r="B754" s="2" t="n"/>
      <c r="D754" s="2" t="n"/>
      <c r="E754" s="2" t="n"/>
    </row>
    <row r="755" ht="14.25" customHeight="1" s="74">
      <c r="A755" s="2" t="n"/>
      <c r="B755" s="2" t="n"/>
      <c r="D755" s="2" t="n"/>
      <c r="E755" s="2" t="n"/>
    </row>
    <row r="756" ht="14.25" customHeight="1" s="74">
      <c r="A756" s="2" t="n"/>
      <c r="B756" s="2" t="n"/>
      <c r="D756" s="2" t="n"/>
      <c r="E756" s="2" t="n"/>
    </row>
    <row r="757" ht="14.25" customHeight="1" s="74">
      <c r="A757" s="2" t="n"/>
      <c r="B757" s="2" t="n"/>
      <c r="D757" s="2" t="n"/>
      <c r="E757" s="2" t="n"/>
    </row>
    <row r="758" ht="14.25" customHeight="1" s="74">
      <c r="A758" s="2" t="n"/>
      <c r="B758" s="2" t="n"/>
      <c r="D758" s="2" t="n"/>
      <c r="E758" s="2" t="n"/>
    </row>
    <row r="759" ht="14.25" customHeight="1" s="74">
      <c r="A759" s="2" t="n"/>
      <c r="B759" s="2" t="n"/>
      <c r="D759" s="2" t="n"/>
      <c r="E759" s="2" t="n"/>
    </row>
    <row r="760" ht="14.25" customHeight="1" s="74">
      <c r="A760" s="2" t="n"/>
      <c r="B760" s="2" t="n"/>
      <c r="D760" s="2" t="n"/>
      <c r="E760" s="2" t="n"/>
    </row>
    <row r="761" ht="14.25" customHeight="1" s="74">
      <c r="A761" s="2" t="n"/>
      <c r="B761" s="2" t="n"/>
      <c r="D761" s="2" t="n"/>
      <c r="E761" s="2" t="n"/>
    </row>
    <row r="762" ht="14.25" customHeight="1" s="74">
      <c r="A762" s="2" t="n"/>
      <c r="B762" s="2" t="n"/>
      <c r="D762" s="2" t="n"/>
      <c r="E762" s="2" t="n"/>
    </row>
    <row r="763" ht="14.25" customHeight="1" s="74">
      <c r="A763" s="2" t="n"/>
      <c r="B763" s="2" t="n"/>
      <c r="D763" s="2" t="n"/>
      <c r="E763" s="2" t="n"/>
    </row>
    <row r="764" ht="14.25" customHeight="1" s="74">
      <c r="A764" s="2" t="n"/>
      <c r="B764" s="2" t="n"/>
      <c r="D764" s="2" t="n"/>
      <c r="E764" s="2" t="n"/>
    </row>
    <row r="765" ht="14.25" customHeight="1" s="74">
      <c r="A765" s="2" t="n"/>
      <c r="B765" s="2" t="n"/>
      <c r="D765" s="2" t="n"/>
      <c r="E765" s="2" t="n"/>
    </row>
    <row r="766" ht="14.25" customHeight="1" s="74">
      <c r="A766" s="2" t="n"/>
      <c r="B766" s="2" t="n"/>
      <c r="D766" s="2" t="n"/>
      <c r="E766" s="2" t="n"/>
    </row>
    <row r="767" ht="14.25" customHeight="1" s="74">
      <c r="A767" s="2" t="n"/>
      <c r="B767" s="2" t="n"/>
      <c r="D767" s="2" t="n"/>
      <c r="E767" s="2" t="n"/>
    </row>
    <row r="768" ht="14.25" customHeight="1" s="74">
      <c r="A768" s="2" t="n"/>
      <c r="B768" s="2" t="n"/>
      <c r="D768" s="2" t="n"/>
      <c r="E768" s="2" t="n"/>
    </row>
    <row r="769" ht="14.25" customHeight="1" s="74">
      <c r="A769" s="2" t="n"/>
      <c r="B769" s="2" t="n"/>
      <c r="D769" s="2" t="n"/>
      <c r="E769" s="2" t="n"/>
    </row>
    <row r="770" ht="14.25" customHeight="1" s="74">
      <c r="A770" s="2" t="n"/>
      <c r="B770" s="2" t="n"/>
      <c r="D770" s="2" t="n"/>
      <c r="E770" s="2" t="n"/>
    </row>
    <row r="771" ht="14.25" customHeight="1" s="74">
      <c r="A771" s="2" t="n"/>
      <c r="B771" s="2" t="n"/>
      <c r="D771" s="2" t="n"/>
      <c r="E771" s="2" t="n"/>
    </row>
    <row r="772" ht="14.25" customHeight="1" s="74">
      <c r="A772" s="2" t="n"/>
      <c r="B772" s="2" t="n"/>
      <c r="D772" s="2" t="n"/>
      <c r="E772" s="2" t="n"/>
    </row>
    <row r="773" ht="14.25" customHeight="1" s="74">
      <c r="A773" s="2" t="n"/>
      <c r="B773" s="2" t="n"/>
      <c r="D773" s="2" t="n"/>
      <c r="E773" s="2" t="n"/>
    </row>
    <row r="774" ht="14.25" customHeight="1" s="74">
      <c r="A774" s="2" t="n"/>
      <c r="B774" s="2" t="n"/>
      <c r="D774" s="2" t="n"/>
      <c r="E774" s="2" t="n"/>
    </row>
    <row r="775" ht="14.25" customHeight="1" s="74">
      <c r="A775" s="2" t="n"/>
      <c r="B775" s="2" t="n"/>
      <c r="D775" s="2" t="n"/>
      <c r="E775" s="2" t="n"/>
    </row>
    <row r="776" ht="14.25" customHeight="1" s="74">
      <c r="A776" s="2" t="n"/>
      <c r="B776" s="2" t="n"/>
      <c r="D776" s="2" t="n"/>
      <c r="E776" s="2" t="n"/>
    </row>
    <row r="777" ht="14.25" customHeight="1" s="74">
      <c r="A777" s="2" t="n"/>
      <c r="B777" s="2" t="n"/>
      <c r="D777" s="2" t="n"/>
      <c r="E777" s="2" t="n"/>
    </row>
    <row r="778" ht="14.25" customHeight="1" s="74">
      <c r="A778" s="2" t="n"/>
      <c r="B778" s="2" t="n"/>
      <c r="D778" s="2" t="n"/>
      <c r="E778" s="2" t="n"/>
    </row>
    <row r="779" ht="14.25" customHeight="1" s="74">
      <c r="A779" s="2" t="n"/>
      <c r="B779" s="2" t="n"/>
      <c r="D779" s="2" t="n"/>
      <c r="E779" s="2" t="n"/>
    </row>
    <row r="780" ht="14.25" customHeight="1" s="74">
      <c r="A780" s="2" t="n"/>
      <c r="B780" s="2" t="n"/>
      <c r="D780" s="2" t="n"/>
      <c r="E780" s="2" t="n"/>
    </row>
    <row r="781" ht="14.25" customHeight="1" s="74">
      <c r="A781" s="2" t="n"/>
      <c r="B781" s="2" t="n"/>
      <c r="D781" s="2" t="n"/>
      <c r="E781" s="2" t="n"/>
    </row>
    <row r="782" ht="14.25" customHeight="1" s="74">
      <c r="A782" s="2" t="n"/>
      <c r="B782" s="2" t="n"/>
      <c r="D782" s="2" t="n"/>
      <c r="E782" s="2" t="n"/>
    </row>
    <row r="783" ht="14.25" customHeight="1" s="74">
      <c r="A783" s="2" t="n"/>
      <c r="B783" s="2" t="n"/>
      <c r="D783" s="2" t="n"/>
      <c r="E783" s="2" t="n"/>
    </row>
    <row r="784" ht="14.25" customHeight="1" s="74">
      <c r="A784" s="2" t="n"/>
      <c r="B784" s="2" t="n"/>
      <c r="D784" s="2" t="n"/>
      <c r="E784" s="2" t="n"/>
    </row>
    <row r="785" ht="14.25" customHeight="1" s="74">
      <c r="A785" s="2" t="n"/>
      <c r="B785" s="2" t="n"/>
      <c r="D785" s="2" t="n"/>
      <c r="E785" s="2" t="n"/>
    </row>
    <row r="786" ht="14.25" customHeight="1" s="74">
      <c r="A786" s="2" t="n"/>
      <c r="B786" s="2" t="n"/>
      <c r="D786" s="2" t="n"/>
      <c r="E786" s="2" t="n"/>
    </row>
    <row r="787" ht="14.25" customHeight="1" s="74">
      <c r="A787" s="2" t="n"/>
      <c r="B787" s="2" t="n"/>
      <c r="D787" s="2" t="n"/>
      <c r="E787" s="2" t="n"/>
    </row>
    <row r="788" ht="14.25" customHeight="1" s="74">
      <c r="A788" s="2" t="n"/>
      <c r="B788" s="2" t="n"/>
      <c r="D788" s="2" t="n"/>
      <c r="E788" s="2" t="n"/>
    </row>
    <row r="789" ht="14.25" customHeight="1" s="74">
      <c r="A789" s="2" t="n"/>
      <c r="B789" s="2" t="n"/>
      <c r="D789" s="2" t="n"/>
      <c r="E789" s="2" t="n"/>
    </row>
    <row r="790" ht="14.25" customHeight="1" s="74">
      <c r="A790" s="2" t="n"/>
      <c r="B790" s="2" t="n"/>
      <c r="D790" s="2" t="n"/>
      <c r="E790" s="2" t="n"/>
    </row>
    <row r="791" ht="14.25" customHeight="1" s="74">
      <c r="A791" s="2" t="n"/>
      <c r="B791" s="2" t="n"/>
      <c r="D791" s="2" t="n"/>
      <c r="E791" s="2" t="n"/>
    </row>
    <row r="792" ht="14.25" customHeight="1" s="74">
      <c r="A792" s="2" t="n"/>
      <c r="B792" s="2" t="n"/>
      <c r="D792" s="2" t="n"/>
      <c r="E792" s="2" t="n"/>
    </row>
    <row r="793" ht="14.25" customHeight="1" s="74">
      <c r="A793" s="2" t="n"/>
      <c r="B793" s="2" t="n"/>
      <c r="D793" s="2" t="n"/>
      <c r="E793" s="2" t="n"/>
    </row>
    <row r="794" ht="14.25" customHeight="1" s="74">
      <c r="A794" s="2" t="n"/>
      <c r="B794" s="2" t="n"/>
      <c r="D794" s="2" t="n"/>
      <c r="E794" s="2" t="n"/>
    </row>
    <row r="795" ht="14.25" customHeight="1" s="74">
      <c r="A795" s="2" t="n"/>
      <c r="B795" s="2" t="n"/>
      <c r="D795" s="2" t="n"/>
      <c r="E795" s="2" t="n"/>
    </row>
    <row r="796" ht="14.25" customHeight="1" s="74">
      <c r="A796" s="2" t="n"/>
      <c r="B796" s="2" t="n"/>
      <c r="D796" s="2" t="n"/>
      <c r="E796" s="2" t="n"/>
    </row>
    <row r="797" ht="14.25" customHeight="1" s="74">
      <c r="A797" s="2" t="n"/>
      <c r="B797" s="2" t="n"/>
      <c r="D797" s="2" t="n"/>
      <c r="E797" s="2" t="n"/>
    </row>
    <row r="798" ht="14.25" customHeight="1" s="74">
      <c r="A798" s="2" t="n"/>
      <c r="B798" s="2" t="n"/>
      <c r="D798" s="2" t="n"/>
      <c r="E798" s="2" t="n"/>
    </row>
    <row r="799" ht="14.25" customHeight="1" s="74">
      <c r="A799" s="2" t="n"/>
      <c r="B799" s="2" t="n"/>
      <c r="D799" s="2" t="n"/>
      <c r="E799" s="2" t="n"/>
    </row>
    <row r="800" ht="14.25" customHeight="1" s="74">
      <c r="A800" s="2" t="n"/>
      <c r="B800" s="2" t="n"/>
      <c r="D800" s="2" t="n"/>
      <c r="E800" s="2" t="n"/>
    </row>
    <row r="801" ht="14.25" customHeight="1" s="74">
      <c r="A801" s="2" t="n"/>
      <c r="B801" s="2" t="n"/>
      <c r="D801" s="2" t="n"/>
      <c r="E801" s="2" t="n"/>
    </row>
    <row r="802" ht="14.25" customHeight="1" s="74">
      <c r="A802" s="2" t="n"/>
      <c r="B802" s="2" t="n"/>
      <c r="D802" s="2" t="n"/>
      <c r="E802" s="2" t="n"/>
    </row>
    <row r="803" ht="14.25" customHeight="1" s="74">
      <c r="A803" s="2" t="n"/>
      <c r="B803" s="2" t="n"/>
      <c r="D803" s="2" t="n"/>
      <c r="E803" s="2" t="n"/>
    </row>
    <row r="804" ht="14.25" customHeight="1" s="74">
      <c r="A804" s="2" t="n"/>
      <c r="B804" s="2" t="n"/>
      <c r="D804" s="2" t="n"/>
      <c r="E804" s="2" t="n"/>
    </row>
    <row r="805" ht="14.25" customHeight="1" s="74">
      <c r="A805" s="2" t="n"/>
      <c r="B805" s="2" t="n"/>
      <c r="D805" s="2" t="n"/>
      <c r="E805" s="2" t="n"/>
    </row>
    <row r="806" ht="14.25" customHeight="1" s="74">
      <c r="A806" s="2" t="n"/>
      <c r="B806" s="2" t="n"/>
      <c r="D806" s="2" t="n"/>
      <c r="E806" s="2" t="n"/>
    </row>
    <row r="807" ht="14.25" customHeight="1" s="74">
      <c r="A807" s="2" t="n"/>
      <c r="B807" s="2" t="n"/>
      <c r="D807" s="2" t="n"/>
      <c r="E807" s="2" t="n"/>
    </row>
    <row r="808" ht="14.25" customHeight="1" s="74">
      <c r="A808" s="2" t="n"/>
      <c r="B808" s="2" t="n"/>
      <c r="D808" s="2" t="n"/>
      <c r="E808" s="2" t="n"/>
    </row>
    <row r="809" ht="14.25" customHeight="1" s="74">
      <c r="A809" s="2" t="n"/>
      <c r="B809" s="2" t="n"/>
      <c r="D809" s="2" t="n"/>
      <c r="E809" s="2" t="n"/>
    </row>
    <row r="810" ht="14.25" customHeight="1" s="74">
      <c r="A810" s="2" t="n"/>
      <c r="B810" s="2" t="n"/>
      <c r="D810" s="2" t="n"/>
      <c r="E810" s="2" t="n"/>
    </row>
    <row r="811" ht="14.25" customHeight="1" s="74">
      <c r="A811" s="2" t="n"/>
      <c r="B811" s="2" t="n"/>
      <c r="D811" s="2" t="n"/>
      <c r="E811" s="2" t="n"/>
    </row>
    <row r="812" ht="14.25" customHeight="1" s="74">
      <c r="A812" s="2" t="n"/>
      <c r="B812" s="2" t="n"/>
      <c r="D812" s="2" t="n"/>
      <c r="E812" s="2" t="n"/>
    </row>
    <row r="813" ht="14.25" customHeight="1" s="74">
      <c r="A813" s="2" t="n"/>
      <c r="B813" s="2" t="n"/>
      <c r="D813" s="2" t="n"/>
      <c r="E813" s="2" t="n"/>
    </row>
    <row r="814" ht="14.25" customHeight="1" s="74">
      <c r="A814" s="2" t="n"/>
      <c r="B814" s="2" t="n"/>
      <c r="D814" s="2" t="n"/>
      <c r="E814" s="2" t="n"/>
    </row>
    <row r="815" ht="14.25" customHeight="1" s="74">
      <c r="A815" s="2" t="n"/>
      <c r="B815" s="2" t="n"/>
      <c r="D815" s="2" t="n"/>
      <c r="E815" s="2" t="n"/>
    </row>
    <row r="816" ht="14.25" customHeight="1" s="74">
      <c r="A816" s="2" t="n"/>
      <c r="B816" s="2" t="n"/>
      <c r="D816" s="2" t="n"/>
      <c r="E816" s="2" t="n"/>
    </row>
    <row r="817" ht="14.25" customHeight="1" s="74">
      <c r="A817" s="2" t="n"/>
      <c r="B817" s="2" t="n"/>
      <c r="D817" s="2" t="n"/>
      <c r="E817" s="2" t="n"/>
    </row>
    <row r="818" ht="14.25" customHeight="1" s="74">
      <c r="A818" s="2" t="n"/>
      <c r="B818" s="2" t="n"/>
      <c r="D818" s="2" t="n"/>
      <c r="E818" s="2" t="n"/>
    </row>
    <row r="819" ht="14.25" customHeight="1" s="74">
      <c r="A819" s="2" t="n"/>
      <c r="B819" s="2" t="n"/>
      <c r="D819" s="2" t="n"/>
      <c r="E819" s="2" t="n"/>
    </row>
    <row r="820" ht="14.25" customHeight="1" s="74">
      <c r="A820" s="2" t="n"/>
      <c r="B820" s="2" t="n"/>
      <c r="D820" s="2" t="n"/>
      <c r="E820" s="2" t="n"/>
    </row>
    <row r="821" ht="14.25" customHeight="1" s="74">
      <c r="A821" s="2" t="n"/>
      <c r="B821" s="2" t="n"/>
      <c r="D821" s="2" t="n"/>
      <c r="E821" s="2" t="n"/>
    </row>
    <row r="822" ht="14.25" customHeight="1" s="74">
      <c r="A822" s="2" t="n"/>
      <c r="B822" s="2" t="n"/>
      <c r="D822" s="2" t="n"/>
      <c r="E822" s="2" t="n"/>
    </row>
    <row r="823" ht="14.25" customHeight="1" s="74">
      <c r="A823" s="2" t="n"/>
      <c r="B823" s="2" t="n"/>
      <c r="D823" s="2" t="n"/>
      <c r="E823" s="2" t="n"/>
    </row>
    <row r="824" ht="14.25" customHeight="1" s="74">
      <c r="A824" s="2" t="n"/>
      <c r="B824" s="2" t="n"/>
      <c r="D824" s="2" t="n"/>
      <c r="E824" s="2" t="n"/>
    </row>
    <row r="825" ht="14.25" customHeight="1" s="74">
      <c r="A825" s="2" t="n"/>
      <c r="B825" s="2" t="n"/>
      <c r="D825" s="2" t="n"/>
      <c r="E825" s="2" t="n"/>
    </row>
    <row r="826" ht="14.25" customHeight="1" s="74">
      <c r="A826" s="2" t="n"/>
      <c r="B826" s="2" t="n"/>
      <c r="D826" s="2" t="n"/>
      <c r="E826" s="2" t="n"/>
    </row>
    <row r="827" ht="14.25" customHeight="1" s="74">
      <c r="A827" s="2" t="n"/>
      <c r="B827" s="2" t="n"/>
      <c r="D827" s="2" t="n"/>
      <c r="E827" s="2" t="n"/>
    </row>
    <row r="828" ht="14.25" customHeight="1" s="74">
      <c r="A828" s="2" t="n"/>
      <c r="B828" s="2" t="n"/>
      <c r="D828" s="2" t="n"/>
      <c r="E828" s="2" t="n"/>
    </row>
    <row r="829" ht="14.25" customHeight="1" s="74">
      <c r="A829" s="2" t="n"/>
      <c r="B829" s="2" t="n"/>
      <c r="D829" s="2" t="n"/>
      <c r="E829" s="2" t="n"/>
    </row>
    <row r="830" ht="14.25" customHeight="1" s="74">
      <c r="A830" s="2" t="n"/>
      <c r="B830" s="2" t="n"/>
      <c r="D830" s="2" t="n"/>
      <c r="E830" s="2" t="n"/>
    </row>
    <row r="831" ht="14.25" customHeight="1" s="74">
      <c r="A831" s="2" t="n"/>
      <c r="B831" s="2" t="n"/>
      <c r="D831" s="2" t="n"/>
      <c r="E831" s="2" t="n"/>
    </row>
    <row r="832" ht="14.25" customHeight="1" s="74">
      <c r="A832" s="2" t="n"/>
      <c r="B832" s="2" t="n"/>
      <c r="D832" s="2" t="n"/>
      <c r="E832" s="2" t="n"/>
    </row>
    <row r="833" ht="14.25" customHeight="1" s="74">
      <c r="A833" s="2" t="n"/>
      <c r="B833" s="2" t="n"/>
      <c r="D833" s="2" t="n"/>
      <c r="E833" s="2" t="n"/>
    </row>
    <row r="834" ht="14.25" customHeight="1" s="74">
      <c r="A834" s="2" t="n"/>
      <c r="B834" s="2" t="n"/>
      <c r="D834" s="2" t="n"/>
      <c r="E834" s="2" t="n"/>
    </row>
    <row r="835" ht="14.25" customHeight="1" s="74">
      <c r="A835" s="2" t="n"/>
      <c r="B835" s="2" t="n"/>
      <c r="D835" s="2" t="n"/>
      <c r="E835" s="2" t="n"/>
    </row>
    <row r="836" ht="14.25" customHeight="1" s="74">
      <c r="A836" s="2" t="n"/>
      <c r="B836" s="2" t="n"/>
      <c r="D836" s="2" t="n"/>
      <c r="E836" s="2" t="n"/>
    </row>
    <row r="837" ht="14.25" customHeight="1" s="74">
      <c r="A837" s="2" t="n"/>
      <c r="B837" s="2" t="n"/>
      <c r="D837" s="2" t="n"/>
      <c r="E837" s="2" t="n"/>
    </row>
    <row r="838" ht="14.25" customHeight="1" s="74">
      <c r="A838" s="2" t="n"/>
      <c r="B838" s="2" t="n"/>
      <c r="D838" s="2" t="n"/>
      <c r="E838" s="2" t="n"/>
    </row>
    <row r="839" ht="14.25" customHeight="1" s="74">
      <c r="A839" s="2" t="n"/>
      <c r="B839" s="2" t="n"/>
      <c r="D839" s="2" t="n"/>
      <c r="E839" s="2" t="n"/>
    </row>
    <row r="840" ht="14.25" customHeight="1" s="74">
      <c r="A840" s="2" t="n"/>
      <c r="B840" s="2" t="n"/>
      <c r="D840" s="2" t="n"/>
      <c r="E840" s="2" t="n"/>
    </row>
    <row r="841" ht="14.25" customHeight="1" s="74">
      <c r="A841" s="2" t="n"/>
      <c r="B841" s="2" t="n"/>
      <c r="D841" s="2" t="n"/>
      <c r="E841" s="2" t="n"/>
    </row>
    <row r="842" ht="14.25" customHeight="1" s="74">
      <c r="A842" s="2" t="n"/>
      <c r="B842" s="2" t="n"/>
      <c r="D842" s="2" t="n"/>
      <c r="E842" s="2" t="n"/>
    </row>
    <row r="843" ht="14.25" customHeight="1" s="74">
      <c r="A843" s="2" t="n"/>
      <c r="B843" s="2" t="n"/>
      <c r="D843" s="2" t="n"/>
      <c r="E843" s="2" t="n"/>
    </row>
    <row r="844" ht="14.25" customHeight="1" s="74">
      <c r="A844" s="2" t="n"/>
      <c r="B844" s="2" t="n"/>
      <c r="D844" s="2" t="n"/>
      <c r="E844" s="2" t="n"/>
    </row>
    <row r="845" ht="14.25" customHeight="1" s="74">
      <c r="A845" s="2" t="n"/>
      <c r="B845" s="2" t="n"/>
      <c r="D845" s="2" t="n"/>
      <c r="E845" s="2" t="n"/>
    </row>
    <row r="846" ht="14.25" customHeight="1" s="74">
      <c r="A846" s="2" t="n"/>
      <c r="B846" s="2" t="n"/>
      <c r="D846" s="2" t="n"/>
      <c r="E846" s="2" t="n"/>
    </row>
    <row r="847" ht="14.25" customHeight="1" s="74">
      <c r="A847" s="2" t="n"/>
      <c r="B847" s="2" t="n"/>
      <c r="D847" s="2" t="n"/>
      <c r="E847" s="2" t="n"/>
    </row>
    <row r="848" ht="14.25" customHeight="1" s="74">
      <c r="A848" s="2" t="n"/>
      <c r="B848" s="2" t="n"/>
      <c r="D848" s="2" t="n"/>
      <c r="E848" s="2" t="n"/>
    </row>
    <row r="849" ht="14.25" customHeight="1" s="74">
      <c r="A849" s="2" t="n"/>
      <c r="B849" s="2" t="n"/>
      <c r="D849" s="2" t="n"/>
      <c r="E849" s="2" t="n"/>
    </row>
    <row r="850" ht="14.25" customHeight="1" s="74">
      <c r="A850" s="2" t="n"/>
      <c r="B850" s="2" t="n"/>
      <c r="D850" s="2" t="n"/>
      <c r="E850" s="2" t="n"/>
    </row>
    <row r="851" ht="14.25" customHeight="1" s="74">
      <c r="A851" s="2" t="n"/>
      <c r="B851" s="2" t="n"/>
      <c r="D851" s="2" t="n"/>
      <c r="E851" s="2" t="n"/>
    </row>
    <row r="852" ht="14.25" customHeight="1" s="74">
      <c r="A852" s="2" t="n"/>
      <c r="B852" s="2" t="n"/>
      <c r="D852" s="2" t="n"/>
      <c r="E852" s="2" t="n"/>
    </row>
    <row r="853" ht="14.25" customHeight="1" s="74">
      <c r="A853" s="2" t="n"/>
      <c r="B853" s="2" t="n"/>
      <c r="D853" s="2" t="n"/>
      <c r="E853" s="2" t="n"/>
    </row>
    <row r="854" ht="14.25" customHeight="1" s="74">
      <c r="A854" s="2" t="n"/>
      <c r="B854" s="2" t="n"/>
      <c r="D854" s="2" t="n"/>
      <c r="E854" s="2" t="n"/>
    </row>
    <row r="855" ht="14.25" customHeight="1" s="74">
      <c r="A855" s="2" t="n"/>
      <c r="B855" s="2" t="n"/>
      <c r="D855" s="2" t="n"/>
      <c r="E855" s="2" t="n"/>
    </row>
    <row r="856" ht="14.25" customHeight="1" s="74">
      <c r="A856" s="2" t="n"/>
      <c r="B856" s="2" t="n"/>
      <c r="D856" s="2" t="n"/>
      <c r="E856" s="2" t="n"/>
    </row>
    <row r="857" ht="14.25" customHeight="1" s="74">
      <c r="A857" s="2" t="n"/>
      <c r="B857" s="2" t="n"/>
      <c r="D857" s="2" t="n"/>
      <c r="E857" s="2" t="n"/>
    </row>
    <row r="858" ht="14.25" customHeight="1" s="74">
      <c r="A858" s="2" t="n"/>
      <c r="B858" s="2" t="n"/>
      <c r="D858" s="2" t="n"/>
      <c r="E858" s="2" t="n"/>
    </row>
    <row r="859" ht="14.25" customHeight="1" s="74">
      <c r="A859" s="2" t="n"/>
      <c r="B859" s="2" t="n"/>
      <c r="D859" s="2" t="n"/>
      <c r="E859" s="2" t="n"/>
    </row>
    <row r="860" ht="14.25" customHeight="1" s="74">
      <c r="A860" s="2" t="n"/>
      <c r="B860" s="2" t="n"/>
      <c r="D860" s="2" t="n"/>
      <c r="E860" s="2" t="n"/>
    </row>
    <row r="861" ht="14.25" customHeight="1" s="74">
      <c r="A861" s="2" t="n"/>
      <c r="B861" s="2" t="n"/>
      <c r="D861" s="2" t="n"/>
      <c r="E861" s="2" t="n"/>
    </row>
    <row r="862" ht="14.25" customHeight="1" s="74">
      <c r="A862" s="2" t="n"/>
      <c r="B862" s="2" t="n"/>
      <c r="D862" s="2" t="n"/>
      <c r="E862" s="2" t="n"/>
    </row>
    <row r="863" ht="14.25" customHeight="1" s="74">
      <c r="A863" s="2" t="n"/>
      <c r="B863" s="2" t="n"/>
      <c r="D863" s="2" t="n"/>
      <c r="E863" s="2" t="n"/>
    </row>
    <row r="864" ht="14.25" customHeight="1" s="74">
      <c r="A864" s="2" t="n"/>
      <c r="B864" s="2" t="n"/>
      <c r="D864" s="2" t="n"/>
      <c r="E864" s="2" t="n"/>
    </row>
    <row r="865" ht="14.25" customHeight="1" s="74">
      <c r="A865" s="2" t="n"/>
      <c r="B865" s="2" t="n"/>
      <c r="D865" s="2" t="n"/>
      <c r="E865" s="2" t="n"/>
    </row>
    <row r="866" ht="14.25" customHeight="1" s="74">
      <c r="A866" s="2" t="n"/>
      <c r="B866" s="2" t="n"/>
      <c r="D866" s="2" t="n"/>
      <c r="E866" s="2" t="n"/>
    </row>
    <row r="867" ht="14.25" customHeight="1" s="74">
      <c r="A867" s="2" t="n"/>
      <c r="B867" s="2" t="n"/>
      <c r="D867" s="2" t="n"/>
      <c r="E867" s="2" t="n"/>
    </row>
    <row r="868" ht="14.25" customHeight="1" s="74">
      <c r="A868" s="2" t="n"/>
      <c r="B868" s="2" t="n"/>
      <c r="D868" s="2" t="n"/>
      <c r="E868" s="2" t="n"/>
    </row>
    <row r="869" ht="14.25" customHeight="1" s="74">
      <c r="A869" s="2" t="n"/>
      <c r="B869" s="2" t="n"/>
      <c r="D869" s="2" t="n"/>
      <c r="E869" s="2" t="n"/>
    </row>
    <row r="870" ht="14.25" customHeight="1" s="74">
      <c r="A870" s="2" t="n"/>
      <c r="B870" s="2" t="n"/>
      <c r="D870" s="2" t="n"/>
      <c r="E870" s="2" t="n"/>
    </row>
    <row r="871" ht="14.25" customHeight="1" s="74">
      <c r="A871" s="2" t="n"/>
      <c r="B871" s="2" t="n"/>
      <c r="D871" s="2" t="n"/>
      <c r="E871" s="2" t="n"/>
    </row>
    <row r="872" ht="14.25" customHeight="1" s="74">
      <c r="A872" s="2" t="n"/>
      <c r="B872" s="2" t="n"/>
      <c r="D872" s="2" t="n"/>
      <c r="E872" s="2" t="n"/>
    </row>
    <row r="873" ht="14.25" customHeight="1" s="74">
      <c r="A873" s="2" t="n"/>
      <c r="B873" s="2" t="n"/>
      <c r="D873" s="2" t="n"/>
      <c r="E873" s="2" t="n"/>
    </row>
    <row r="874" ht="14.25" customHeight="1" s="74">
      <c r="A874" s="2" t="n"/>
      <c r="B874" s="2" t="n"/>
      <c r="D874" s="2" t="n"/>
      <c r="E874" s="2" t="n"/>
    </row>
    <row r="875" ht="14.25" customHeight="1" s="74">
      <c r="A875" s="2" t="n"/>
      <c r="B875" s="2" t="n"/>
      <c r="D875" s="2" t="n"/>
      <c r="E875" s="2" t="n"/>
    </row>
    <row r="876" ht="14.25" customHeight="1" s="74">
      <c r="A876" s="2" t="n"/>
      <c r="B876" s="2" t="n"/>
      <c r="D876" s="2" t="n"/>
      <c r="E876" s="2" t="n"/>
    </row>
    <row r="877" ht="14.25" customHeight="1" s="74">
      <c r="A877" s="2" t="n"/>
      <c r="B877" s="2" t="n"/>
      <c r="D877" s="2" t="n"/>
      <c r="E877" s="2" t="n"/>
    </row>
    <row r="878" ht="14.25" customHeight="1" s="74">
      <c r="A878" s="2" t="n"/>
      <c r="B878" s="2" t="n"/>
      <c r="D878" s="2" t="n"/>
      <c r="E878" s="2" t="n"/>
    </row>
    <row r="879" ht="14.25" customHeight="1" s="74">
      <c r="A879" s="2" t="n"/>
      <c r="B879" s="2" t="n"/>
      <c r="D879" s="2" t="n"/>
      <c r="E879" s="2" t="n"/>
    </row>
    <row r="880" ht="14.25" customHeight="1" s="74">
      <c r="A880" s="2" t="n"/>
      <c r="B880" s="2" t="n"/>
      <c r="D880" s="2" t="n"/>
      <c r="E880" s="2" t="n"/>
    </row>
    <row r="881" ht="14.25" customHeight="1" s="74">
      <c r="A881" s="2" t="n"/>
      <c r="B881" s="2" t="n"/>
      <c r="D881" s="2" t="n"/>
      <c r="E881" s="2" t="n"/>
    </row>
    <row r="882" ht="14.25" customHeight="1" s="74">
      <c r="A882" s="2" t="n"/>
      <c r="B882" s="2" t="n"/>
      <c r="D882" s="2" t="n"/>
      <c r="E882" s="2" t="n"/>
    </row>
    <row r="883" ht="14.25" customHeight="1" s="74">
      <c r="A883" s="2" t="n"/>
      <c r="B883" s="2" t="n"/>
      <c r="D883" s="2" t="n"/>
      <c r="E883" s="2" t="n"/>
    </row>
    <row r="884" ht="14.25" customHeight="1" s="74">
      <c r="A884" s="2" t="n"/>
      <c r="B884" s="2" t="n"/>
      <c r="D884" s="2" t="n"/>
      <c r="E884" s="2" t="n"/>
    </row>
    <row r="885" ht="14.25" customHeight="1" s="74">
      <c r="A885" s="2" t="n"/>
      <c r="B885" s="2" t="n"/>
      <c r="D885" s="2" t="n"/>
      <c r="E885" s="2" t="n"/>
    </row>
    <row r="886" ht="14.25" customHeight="1" s="74">
      <c r="A886" s="2" t="n"/>
      <c r="B886" s="2" t="n"/>
      <c r="D886" s="2" t="n"/>
      <c r="E886" s="2" t="n"/>
    </row>
    <row r="887" ht="14.25" customHeight="1" s="74">
      <c r="A887" s="2" t="n"/>
      <c r="B887" s="2" t="n"/>
      <c r="D887" s="2" t="n"/>
      <c r="E887" s="2" t="n"/>
    </row>
    <row r="888" ht="14.25" customHeight="1" s="74">
      <c r="A888" s="2" t="n"/>
      <c r="B888" s="2" t="n"/>
      <c r="D888" s="2" t="n"/>
      <c r="E888" s="2" t="n"/>
    </row>
    <row r="889" ht="14.25" customHeight="1" s="74">
      <c r="A889" s="2" t="n"/>
      <c r="B889" s="2" t="n"/>
      <c r="D889" s="2" t="n"/>
      <c r="E889" s="2" t="n"/>
    </row>
    <row r="890" ht="14.25" customHeight="1" s="74">
      <c r="A890" s="2" t="n"/>
      <c r="B890" s="2" t="n"/>
      <c r="D890" s="2" t="n"/>
      <c r="E890" s="2" t="n"/>
    </row>
    <row r="891" ht="14.25" customHeight="1" s="74">
      <c r="A891" s="2" t="n"/>
      <c r="B891" s="2" t="n"/>
      <c r="D891" s="2" t="n"/>
      <c r="E891" s="2" t="n"/>
    </row>
    <row r="892" ht="14.25" customHeight="1" s="74">
      <c r="A892" s="2" t="n"/>
      <c r="B892" s="2" t="n"/>
      <c r="D892" s="2" t="n"/>
      <c r="E892" s="2" t="n"/>
    </row>
    <row r="893" ht="14.25" customHeight="1" s="74">
      <c r="A893" s="2" t="n"/>
      <c r="B893" s="2" t="n"/>
      <c r="D893" s="2" t="n"/>
      <c r="E893" s="2" t="n"/>
    </row>
    <row r="894" ht="14.25" customHeight="1" s="74">
      <c r="A894" s="2" t="n"/>
      <c r="B894" s="2" t="n"/>
      <c r="D894" s="2" t="n"/>
      <c r="E894" s="2" t="n"/>
    </row>
    <row r="895" ht="14.25" customHeight="1" s="74">
      <c r="A895" s="2" t="n"/>
      <c r="B895" s="2" t="n"/>
      <c r="D895" s="2" t="n"/>
      <c r="E895" s="2" t="n"/>
    </row>
    <row r="896" ht="14.25" customHeight="1" s="74">
      <c r="A896" s="2" t="n"/>
      <c r="B896" s="2" t="n"/>
      <c r="D896" s="2" t="n"/>
      <c r="E896" s="2" t="n"/>
    </row>
    <row r="897" ht="14.25" customHeight="1" s="74">
      <c r="A897" s="2" t="n"/>
      <c r="B897" s="2" t="n"/>
      <c r="D897" s="2" t="n"/>
      <c r="E897" s="2" t="n"/>
    </row>
    <row r="898" ht="14.25" customHeight="1" s="74">
      <c r="A898" s="2" t="n"/>
      <c r="B898" s="2" t="n"/>
      <c r="D898" s="2" t="n"/>
      <c r="E898" s="2" t="n"/>
    </row>
    <row r="899" ht="14.25" customHeight="1" s="74">
      <c r="A899" s="2" t="n"/>
      <c r="B899" s="2" t="n"/>
      <c r="D899" s="2" t="n"/>
      <c r="E899" s="2" t="n"/>
    </row>
    <row r="900" ht="14.25" customHeight="1" s="74">
      <c r="A900" s="2" t="n"/>
      <c r="B900" s="2" t="n"/>
      <c r="D900" s="2" t="n"/>
      <c r="E900" s="2" t="n"/>
    </row>
    <row r="901" ht="14.25" customHeight="1" s="74">
      <c r="A901" s="2" t="n"/>
      <c r="B901" s="2" t="n"/>
      <c r="D901" s="2" t="n"/>
      <c r="E901" s="2" t="n"/>
    </row>
    <row r="902" ht="14.25" customHeight="1" s="74">
      <c r="A902" s="2" t="n"/>
      <c r="B902" s="2" t="n"/>
      <c r="D902" s="2" t="n"/>
      <c r="E902" s="2" t="n"/>
    </row>
    <row r="903" ht="14.25" customHeight="1" s="74">
      <c r="A903" s="2" t="n"/>
      <c r="B903" s="2" t="n"/>
      <c r="D903" s="2" t="n"/>
      <c r="E903" s="2" t="n"/>
    </row>
    <row r="904" ht="14.25" customHeight="1" s="74">
      <c r="A904" s="2" t="n"/>
      <c r="B904" s="2" t="n"/>
      <c r="D904" s="2" t="n"/>
      <c r="E904" s="2" t="n"/>
    </row>
    <row r="905" ht="14.25" customHeight="1" s="74">
      <c r="A905" s="2" t="n"/>
      <c r="B905" s="2" t="n"/>
      <c r="D905" s="2" t="n"/>
      <c r="E905" s="2" t="n"/>
    </row>
    <row r="906" ht="14.25" customHeight="1" s="74">
      <c r="A906" s="2" t="n"/>
      <c r="B906" s="2" t="n"/>
      <c r="D906" s="2" t="n"/>
      <c r="E906" s="2" t="n"/>
    </row>
    <row r="907" ht="14.25" customHeight="1" s="74">
      <c r="A907" s="2" t="n"/>
      <c r="B907" s="2" t="n"/>
      <c r="D907" s="2" t="n"/>
      <c r="E907" s="2" t="n"/>
    </row>
    <row r="908" ht="14.25" customHeight="1" s="74">
      <c r="A908" s="2" t="n"/>
      <c r="B908" s="2" t="n"/>
      <c r="D908" s="2" t="n"/>
      <c r="E908" s="2" t="n"/>
    </row>
    <row r="909" ht="14.25" customHeight="1" s="74">
      <c r="A909" s="2" t="n"/>
      <c r="B909" s="2" t="n"/>
      <c r="D909" s="2" t="n"/>
      <c r="E909" s="2" t="n"/>
    </row>
    <row r="910" ht="14.25" customHeight="1" s="74">
      <c r="A910" s="2" t="n"/>
      <c r="B910" s="2" t="n"/>
      <c r="D910" s="2" t="n"/>
      <c r="E910" s="2" t="n"/>
    </row>
    <row r="911" ht="14.25" customHeight="1" s="74">
      <c r="A911" s="2" t="n"/>
      <c r="B911" s="2" t="n"/>
      <c r="D911" s="2" t="n"/>
      <c r="E911" s="2" t="n"/>
    </row>
    <row r="912" ht="14.25" customHeight="1" s="74">
      <c r="A912" s="2" t="n"/>
      <c r="B912" s="2" t="n"/>
      <c r="D912" s="2" t="n"/>
      <c r="E912" s="2" t="n"/>
    </row>
    <row r="913" ht="14.25" customHeight="1" s="74">
      <c r="A913" s="2" t="n"/>
      <c r="B913" s="2" t="n"/>
      <c r="D913" s="2" t="n"/>
      <c r="E913" s="2" t="n"/>
    </row>
    <row r="914" ht="14.25" customHeight="1" s="74">
      <c r="A914" s="2" t="n"/>
      <c r="B914" s="2" t="n"/>
      <c r="D914" s="2" t="n"/>
      <c r="E914" s="2" t="n"/>
    </row>
    <row r="915" ht="14.25" customHeight="1" s="74">
      <c r="A915" s="2" t="n"/>
      <c r="B915" s="2" t="n"/>
      <c r="D915" s="2" t="n"/>
      <c r="E915" s="2" t="n"/>
    </row>
    <row r="916" ht="14.25" customHeight="1" s="74">
      <c r="A916" s="2" t="n"/>
      <c r="B916" s="2" t="n"/>
      <c r="D916" s="2" t="n"/>
      <c r="E916" s="2" t="n"/>
    </row>
    <row r="917" ht="14.25" customHeight="1" s="74">
      <c r="A917" s="2" t="n"/>
      <c r="B917" s="2" t="n"/>
      <c r="D917" s="2" t="n"/>
      <c r="E917" s="2" t="n"/>
    </row>
    <row r="918" ht="14.25" customHeight="1" s="74">
      <c r="A918" s="2" t="n"/>
      <c r="B918" s="2" t="n"/>
      <c r="D918" s="2" t="n"/>
      <c r="E918" s="2" t="n"/>
    </row>
    <row r="919" ht="14.25" customHeight="1" s="74">
      <c r="A919" s="2" t="n"/>
      <c r="B919" s="2" t="n"/>
      <c r="D919" s="2" t="n"/>
      <c r="E919" s="2" t="n"/>
    </row>
    <row r="920" ht="14.25" customHeight="1" s="74">
      <c r="A920" s="2" t="n"/>
      <c r="B920" s="2" t="n"/>
      <c r="D920" s="2" t="n"/>
      <c r="E920" s="2" t="n"/>
    </row>
    <row r="921" ht="14.25" customHeight="1" s="74">
      <c r="A921" s="2" t="n"/>
      <c r="B921" s="2" t="n"/>
      <c r="D921" s="2" t="n"/>
      <c r="E921" s="2" t="n"/>
    </row>
    <row r="922" ht="14.25" customHeight="1" s="74">
      <c r="A922" s="2" t="n"/>
      <c r="B922" s="2" t="n"/>
      <c r="D922" s="2" t="n"/>
      <c r="E922" s="2" t="n"/>
    </row>
    <row r="923" ht="14.25" customHeight="1" s="74">
      <c r="A923" s="2" t="n"/>
      <c r="B923" s="2" t="n"/>
      <c r="D923" s="2" t="n"/>
      <c r="E923" s="2" t="n"/>
    </row>
    <row r="924" ht="14.25" customHeight="1" s="74">
      <c r="A924" s="2" t="n"/>
      <c r="B924" s="2" t="n"/>
      <c r="D924" s="2" t="n"/>
      <c r="E924" s="2" t="n"/>
    </row>
    <row r="925" ht="14.25" customHeight="1" s="74">
      <c r="A925" s="2" t="n"/>
      <c r="B925" s="2" t="n"/>
      <c r="D925" s="2" t="n"/>
      <c r="E925" s="2" t="n"/>
    </row>
    <row r="926" ht="14.25" customHeight="1" s="74">
      <c r="A926" s="2" t="n"/>
      <c r="B926" s="2" t="n"/>
      <c r="D926" s="2" t="n"/>
      <c r="E926" s="2" t="n"/>
    </row>
    <row r="927" ht="14.25" customHeight="1" s="74">
      <c r="A927" s="2" t="n"/>
      <c r="B927" s="2" t="n"/>
      <c r="D927" s="2" t="n"/>
      <c r="E927" s="2" t="n"/>
    </row>
    <row r="928" ht="14.25" customHeight="1" s="74">
      <c r="A928" s="2" t="n"/>
      <c r="B928" s="2" t="n"/>
      <c r="D928" s="2" t="n"/>
      <c r="E928" s="2" t="n"/>
    </row>
    <row r="929" ht="14.25" customHeight="1" s="74">
      <c r="A929" s="2" t="n"/>
      <c r="B929" s="2" t="n"/>
      <c r="D929" s="2" t="n"/>
      <c r="E929" s="2" t="n"/>
    </row>
    <row r="930" ht="14.25" customHeight="1" s="74">
      <c r="A930" s="2" t="n"/>
      <c r="B930" s="2" t="n"/>
      <c r="D930" s="2" t="n"/>
      <c r="E930" s="2" t="n"/>
    </row>
    <row r="931" ht="14.25" customHeight="1" s="74">
      <c r="A931" s="2" t="n"/>
      <c r="B931" s="2" t="n"/>
      <c r="D931" s="2" t="n"/>
      <c r="E931" s="2" t="n"/>
    </row>
    <row r="932" ht="14.25" customHeight="1" s="74">
      <c r="A932" s="2" t="n"/>
      <c r="B932" s="2" t="n"/>
      <c r="D932" s="2" t="n"/>
      <c r="E932" s="2" t="n"/>
    </row>
    <row r="933" ht="14.25" customHeight="1" s="74">
      <c r="A933" s="2" t="n"/>
      <c r="B933" s="2" t="n"/>
      <c r="D933" s="2" t="n"/>
      <c r="E933" s="2" t="n"/>
    </row>
    <row r="934" ht="14.25" customHeight="1" s="74">
      <c r="A934" s="2" t="n"/>
      <c r="B934" s="2" t="n"/>
      <c r="D934" s="2" t="n"/>
      <c r="E934" s="2" t="n"/>
    </row>
    <row r="935" ht="14.25" customHeight="1" s="74">
      <c r="A935" s="2" t="n"/>
      <c r="B935" s="2" t="n"/>
      <c r="D935" s="2" t="n"/>
      <c r="E935" s="2" t="n"/>
    </row>
    <row r="936" ht="14.25" customHeight="1" s="74">
      <c r="A936" s="2" t="n"/>
      <c r="B936" s="2" t="n"/>
      <c r="D936" s="2" t="n"/>
      <c r="E936" s="2" t="n"/>
    </row>
    <row r="937" ht="14.25" customHeight="1" s="74">
      <c r="A937" s="2" t="n"/>
      <c r="B937" s="2" t="n"/>
      <c r="D937" s="2" t="n"/>
      <c r="E937" s="2" t="n"/>
    </row>
    <row r="938" ht="14.25" customHeight="1" s="74">
      <c r="A938" s="2" t="n"/>
      <c r="B938" s="2" t="n"/>
      <c r="D938" s="2" t="n"/>
      <c r="E938" s="2" t="n"/>
    </row>
    <row r="939" ht="14.25" customHeight="1" s="74">
      <c r="A939" s="2" t="n"/>
      <c r="B939" s="2" t="n"/>
      <c r="D939" s="2" t="n"/>
      <c r="E939" s="2" t="n"/>
    </row>
    <row r="940" ht="14.25" customHeight="1" s="74">
      <c r="A940" s="2" t="n"/>
      <c r="B940" s="2" t="n"/>
      <c r="D940" s="2" t="n"/>
      <c r="E940" s="2" t="n"/>
    </row>
    <row r="941" ht="14.25" customHeight="1" s="74">
      <c r="A941" s="2" t="n"/>
      <c r="B941" s="2" t="n"/>
      <c r="D941" s="2" t="n"/>
      <c r="E941" s="2" t="n"/>
    </row>
    <row r="942" ht="14.25" customHeight="1" s="74">
      <c r="A942" s="2" t="n"/>
      <c r="B942" s="2" t="n"/>
      <c r="D942" s="2" t="n"/>
      <c r="E942" s="2" t="n"/>
    </row>
    <row r="943" ht="14.25" customHeight="1" s="74">
      <c r="A943" s="2" t="n"/>
      <c r="B943" s="2" t="n"/>
      <c r="D943" s="2" t="n"/>
      <c r="E943" s="2" t="n"/>
    </row>
    <row r="944" ht="14.25" customHeight="1" s="74">
      <c r="A944" s="2" t="n"/>
      <c r="B944" s="2" t="n"/>
      <c r="D944" s="2" t="n"/>
      <c r="E944" s="2" t="n"/>
    </row>
    <row r="945" ht="14.25" customHeight="1" s="74">
      <c r="A945" s="2" t="n"/>
      <c r="B945" s="2" t="n"/>
      <c r="D945" s="2" t="n"/>
      <c r="E945" s="2" t="n"/>
    </row>
    <row r="946" ht="14.25" customHeight="1" s="74">
      <c r="A946" s="2" t="n"/>
      <c r="B946" s="2" t="n"/>
      <c r="D946" s="2" t="n"/>
      <c r="E946" s="2" t="n"/>
    </row>
    <row r="947" ht="14.25" customHeight="1" s="74">
      <c r="A947" s="2" t="n"/>
      <c r="B947" s="2" t="n"/>
      <c r="D947" s="2" t="n"/>
      <c r="E947" s="2" t="n"/>
    </row>
    <row r="948" ht="14.25" customHeight="1" s="74">
      <c r="A948" s="2" t="n"/>
      <c r="B948" s="2" t="n"/>
      <c r="D948" s="2" t="n"/>
      <c r="E948" s="2" t="n"/>
    </row>
    <row r="949" ht="14.25" customHeight="1" s="74">
      <c r="A949" s="2" t="n"/>
      <c r="B949" s="2" t="n"/>
      <c r="D949" s="2" t="n"/>
      <c r="E949" s="2" t="n"/>
    </row>
    <row r="950" ht="14.25" customHeight="1" s="74">
      <c r="A950" s="2" t="n"/>
      <c r="B950" s="2" t="n"/>
      <c r="D950" s="2" t="n"/>
      <c r="E950" s="2" t="n"/>
    </row>
    <row r="951" ht="14.25" customHeight="1" s="74">
      <c r="A951" s="2" t="n"/>
      <c r="B951" s="2" t="n"/>
      <c r="D951" s="2" t="n"/>
      <c r="E951" s="2" t="n"/>
    </row>
    <row r="952" ht="14.25" customHeight="1" s="74">
      <c r="A952" s="2" t="n"/>
      <c r="B952" s="2" t="n"/>
      <c r="D952" s="2" t="n"/>
      <c r="E952" s="2" t="n"/>
    </row>
    <row r="953" ht="14.25" customHeight="1" s="74">
      <c r="A953" s="2" t="n"/>
      <c r="B953" s="2" t="n"/>
      <c r="D953" s="2" t="n"/>
      <c r="E953" s="2" t="n"/>
    </row>
    <row r="954" ht="14.25" customHeight="1" s="74">
      <c r="A954" s="2" t="n"/>
      <c r="B954" s="2" t="n"/>
      <c r="D954" s="2" t="n"/>
      <c r="E954" s="2" t="n"/>
    </row>
    <row r="955" ht="14.25" customHeight="1" s="74">
      <c r="A955" s="2" t="n"/>
      <c r="B955" s="2" t="n"/>
      <c r="D955" s="2" t="n"/>
      <c r="E955" s="2" t="n"/>
    </row>
    <row r="956" ht="14.25" customHeight="1" s="74">
      <c r="A956" s="2" t="n"/>
      <c r="B956" s="2" t="n"/>
      <c r="D956" s="2" t="n"/>
      <c r="E956" s="2" t="n"/>
    </row>
    <row r="957" ht="14.25" customHeight="1" s="74">
      <c r="A957" s="2" t="n"/>
      <c r="B957" s="2" t="n"/>
      <c r="D957" s="2" t="n"/>
      <c r="E957" s="2" t="n"/>
    </row>
    <row r="958" ht="14.25" customHeight="1" s="74">
      <c r="A958" s="2" t="n"/>
      <c r="B958" s="2" t="n"/>
      <c r="D958" s="2" t="n"/>
      <c r="E958" s="2" t="n"/>
    </row>
    <row r="959" ht="14.25" customHeight="1" s="74">
      <c r="A959" s="2" t="n"/>
      <c r="B959" s="2" t="n"/>
      <c r="D959" s="2" t="n"/>
      <c r="E959" s="2" t="n"/>
    </row>
    <row r="960" ht="14.25" customHeight="1" s="74">
      <c r="A960" s="2" t="n"/>
      <c r="B960" s="2" t="n"/>
      <c r="D960" s="2" t="n"/>
      <c r="E960" s="2" t="n"/>
    </row>
    <row r="961" ht="14.25" customHeight="1" s="74">
      <c r="A961" s="2" t="n"/>
      <c r="B961" s="2" t="n"/>
      <c r="D961" s="2" t="n"/>
      <c r="E961" s="2" t="n"/>
    </row>
    <row r="962" ht="14.25" customHeight="1" s="74">
      <c r="A962" s="2" t="n"/>
      <c r="B962" s="2" t="n"/>
      <c r="D962" s="2" t="n"/>
      <c r="E962" s="2" t="n"/>
    </row>
    <row r="963" ht="14.25" customHeight="1" s="74">
      <c r="A963" s="2" t="n"/>
      <c r="B963" s="2" t="n"/>
      <c r="D963" s="2" t="n"/>
      <c r="E963" s="2" t="n"/>
    </row>
    <row r="964" ht="14.25" customHeight="1" s="74">
      <c r="A964" s="2" t="n"/>
      <c r="B964" s="2" t="n"/>
      <c r="D964" s="2" t="n"/>
      <c r="E964" s="2" t="n"/>
    </row>
    <row r="965" ht="14.25" customHeight="1" s="74">
      <c r="A965" s="2" t="n"/>
      <c r="B965" s="2" t="n"/>
      <c r="D965" s="2" t="n"/>
      <c r="E965" s="2" t="n"/>
    </row>
    <row r="966" ht="14.25" customHeight="1" s="74">
      <c r="A966" s="2" t="n"/>
      <c r="B966" s="2" t="n"/>
      <c r="D966" s="2" t="n"/>
      <c r="E966" s="2" t="n"/>
    </row>
    <row r="967" ht="14.25" customHeight="1" s="74">
      <c r="A967" s="2" t="n"/>
      <c r="B967" s="2" t="n"/>
      <c r="D967" s="2" t="n"/>
      <c r="E967" s="2" t="n"/>
    </row>
    <row r="968" ht="14.25" customHeight="1" s="74">
      <c r="A968" s="2" t="n"/>
      <c r="B968" s="2" t="n"/>
      <c r="D968" s="2" t="n"/>
      <c r="E968" s="2" t="n"/>
    </row>
    <row r="969" ht="14.25" customHeight="1" s="74">
      <c r="A969" s="2" t="n"/>
      <c r="B969" s="2" t="n"/>
      <c r="D969" s="2" t="n"/>
      <c r="E969" s="2" t="n"/>
    </row>
    <row r="970" ht="14.25" customHeight="1" s="74">
      <c r="A970" s="2" t="n"/>
      <c r="B970" s="2" t="n"/>
      <c r="D970" s="2" t="n"/>
      <c r="E970" s="2" t="n"/>
    </row>
    <row r="971" ht="14.25" customHeight="1" s="74">
      <c r="A971" s="2" t="n"/>
      <c r="B971" s="2" t="n"/>
      <c r="D971" s="2" t="n"/>
      <c r="E971" s="2" t="n"/>
    </row>
    <row r="972" ht="14.25" customHeight="1" s="74">
      <c r="A972" s="2" t="n"/>
      <c r="B972" s="2" t="n"/>
      <c r="D972" s="2" t="n"/>
      <c r="E972" s="2" t="n"/>
    </row>
    <row r="973" ht="14.25" customHeight="1" s="74">
      <c r="A973" s="2" t="n"/>
      <c r="B973" s="2" t="n"/>
      <c r="D973" s="2" t="n"/>
      <c r="E973" s="2" t="n"/>
    </row>
    <row r="974" ht="14.25" customHeight="1" s="74">
      <c r="A974" s="2" t="n"/>
      <c r="B974" s="2" t="n"/>
      <c r="D974" s="2" t="n"/>
      <c r="E974" s="2" t="n"/>
    </row>
    <row r="975" ht="14.25" customHeight="1" s="74">
      <c r="A975" s="2" t="n"/>
      <c r="B975" s="2" t="n"/>
      <c r="D975" s="2" t="n"/>
      <c r="E975" s="2" t="n"/>
    </row>
    <row r="976" ht="14.25" customHeight="1" s="74">
      <c r="A976" s="2" t="n"/>
      <c r="B976" s="2" t="n"/>
      <c r="D976" s="2" t="n"/>
      <c r="E976" s="2" t="n"/>
    </row>
    <row r="977" ht="14.25" customHeight="1" s="74">
      <c r="A977" s="2" t="n"/>
      <c r="B977" s="2" t="n"/>
      <c r="D977" s="2" t="n"/>
      <c r="E977" s="2" t="n"/>
    </row>
    <row r="978" ht="14.25" customHeight="1" s="74">
      <c r="A978" s="2" t="n"/>
      <c r="B978" s="2" t="n"/>
      <c r="D978" s="2" t="n"/>
      <c r="E978" s="2" t="n"/>
    </row>
    <row r="979" ht="14.25" customHeight="1" s="74">
      <c r="A979" s="2" t="n"/>
      <c r="B979" s="2" t="n"/>
      <c r="D979" s="2" t="n"/>
      <c r="E979" s="2" t="n"/>
    </row>
    <row r="980" ht="14.25" customHeight="1" s="74">
      <c r="A980" s="2" t="n"/>
      <c r="B980" s="2" t="n"/>
      <c r="D980" s="2" t="n"/>
      <c r="E980" s="2" t="n"/>
    </row>
    <row r="981" ht="14.25" customHeight="1" s="74">
      <c r="A981" s="2" t="n"/>
      <c r="B981" s="2" t="n"/>
      <c r="D981" s="2" t="n"/>
      <c r="E981" s="2" t="n"/>
    </row>
    <row r="982" ht="14.25" customHeight="1" s="74">
      <c r="A982" s="2" t="n"/>
      <c r="B982" s="2" t="n"/>
      <c r="D982" s="2" t="n"/>
      <c r="E982" s="2" t="n"/>
    </row>
    <row r="983" ht="14.25" customHeight="1" s="74">
      <c r="A983" s="2" t="n"/>
      <c r="B983" s="2" t="n"/>
      <c r="D983" s="2" t="n"/>
      <c r="E983" s="2" t="n"/>
    </row>
    <row r="984" ht="14.25" customHeight="1" s="74">
      <c r="A984" s="2" t="n"/>
      <c r="B984" s="2" t="n"/>
      <c r="D984" s="2" t="n"/>
      <c r="E984" s="2" t="n"/>
    </row>
    <row r="985" ht="14.25" customHeight="1" s="74">
      <c r="A985" s="2" t="n"/>
      <c r="B985" s="2" t="n"/>
      <c r="D985" s="2" t="n"/>
      <c r="E985" s="2" t="n"/>
    </row>
    <row r="986" ht="14.25" customHeight="1" s="74">
      <c r="A986" s="2" t="n"/>
      <c r="B986" s="2" t="n"/>
      <c r="D986" s="2" t="n"/>
      <c r="E986" s="2" t="n"/>
    </row>
    <row r="987" ht="14.25" customHeight="1" s="74">
      <c r="A987" s="2" t="n"/>
      <c r="B987" s="2" t="n"/>
      <c r="D987" s="2" t="n"/>
      <c r="E987" s="2" t="n"/>
    </row>
    <row r="988" ht="14.25" customHeight="1" s="74">
      <c r="A988" s="2" t="n"/>
      <c r="B988" s="2" t="n"/>
      <c r="D988" s="2" t="n"/>
      <c r="E988" s="2" t="n"/>
    </row>
    <row r="989" ht="14.25" customHeight="1" s="74">
      <c r="A989" s="2" t="n"/>
      <c r="B989" s="2" t="n"/>
      <c r="D989" s="2" t="n"/>
      <c r="E989" s="2" t="n"/>
    </row>
    <row r="990" ht="14.25" customHeight="1" s="74">
      <c r="A990" s="2" t="n"/>
      <c r="B990" s="2" t="n"/>
      <c r="D990" s="2" t="n"/>
      <c r="E990" s="2" t="n"/>
    </row>
    <row r="991" ht="14.25" customHeight="1" s="74">
      <c r="A991" s="2" t="n"/>
      <c r="B991" s="2" t="n"/>
      <c r="D991" s="2" t="n"/>
      <c r="E991" s="2" t="n"/>
    </row>
    <row r="992" ht="14.25" customHeight="1" s="74">
      <c r="A992" s="2" t="n"/>
      <c r="B992" s="2" t="n"/>
      <c r="D992" s="2" t="n"/>
      <c r="E992" s="2" t="n"/>
    </row>
    <row r="993" ht="14.25" customHeight="1" s="74">
      <c r="A993" s="2" t="n"/>
      <c r="B993" s="2" t="n"/>
      <c r="D993" s="2" t="n"/>
      <c r="E993" s="2" t="n"/>
    </row>
    <row r="994" ht="14.25" customHeight="1" s="74">
      <c r="A994" s="2" t="n"/>
      <c r="B994" s="2" t="n"/>
      <c r="D994" s="2" t="n"/>
      <c r="E994" s="2" t="n"/>
    </row>
    <row r="995" ht="14.25" customHeight="1" s="74">
      <c r="A995" s="2" t="n"/>
      <c r="B995" s="2" t="n"/>
      <c r="D995" s="2" t="n"/>
      <c r="E995" s="2" t="n"/>
    </row>
    <row r="996" ht="14.25" customHeight="1" s="74">
      <c r="A996" s="2" t="n"/>
      <c r="B996" s="2" t="n"/>
      <c r="D996" s="2" t="n"/>
      <c r="E996" s="2" t="n"/>
    </row>
    <row r="997" ht="14.25" customHeight="1" s="74">
      <c r="A997" s="2" t="n"/>
      <c r="B997" s="2" t="n"/>
      <c r="D997" s="2" t="n"/>
      <c r="E997" s="2" t="n"/>
    </row>
    <row r="998" ht="14.25" customHeight="1" s="74">
      <c r="A998" s="2" t="n"/>
      <c r="B998" s="2" t="n"/>
      <c r="D998" s="2" t="n"/>
      <c r="E998" s="2" t="n"/>
    </row>
    <row r="999" ht="14.25" customHeight="1" s="74">
      <c r="A999" s="2" t="n"/>
      <c r="B999" s="2" t="n"/>
      <c r="D999" s="2" t="n"/>
      <c r="E999" s="2" t="n"/>
    </row>
    <row r="1000" ht="14.25" customHeight="1" s="74">
      <c r="A1000" s="2" t="n"/>
      <c r="B1000" s="2" t="n"/>
      <c r="D1000" s="2" t="n"/>
      <c r="E1000" s="2" t="n"/>
    </row>
  </sheetData>
  <hyperlinks>
    <hyperlink xmlns:r="http://schemas.openxmlformats.org/officeDocument/2006/relationships" ref="B24" r:id="rId1"/>
    <hyperlink xmlns:r="http://schemas.openxmlformats.org/officeDocument/2006/relationships" ref="A45" r:id="rId2"/>
  </hyperlinks>
  <pageMargins left="0.7" right="0.7" top="0.75" bottom="0.75" header="0" footer="0"/>
  <pageSetup orientation="portrait"/>
</worksheet>
</file>

<file path=xl/worksheets/sheet2.xml><?xml version="1.0" encoding="utf-8"?>
<worksheet xmlns="http://schemas.openxmlformats.org/spreadsheetml/2006/main">
  <sheetPr>
    <outlinePr summaryBelow="1" summaryRight="1"/>
    <pageSetUpPr/>
  </sheetPr>
  <dimension ref="A1:AI1000"/>
  <sheetViews>
    <sheetView workbookViewId="0">
      <selection activeCell="A1" sqref="A1"/>
    </sheetView>
  </sheetViews>
  <sheetFormatPr baseColWidth="10" defaultColWidth="12.6640625" defaultRowHeight="15" customHeight="1"/>
  <cols>
    <col width="16.6640625" customWidth="1" style="74" min="1" max="1"/>
    <col width="37.33203125" customWidth="1" style="74" min="2" max="2"/>
    <col width="7.6640625" customWidth="1" style="74" min="3" max="35"/>
  </cols>
  <sheetData>
    <row r="1" ht="15" customHeight="1" s="74">
      <c r="A1" s="2" t="n"/>
      <c r="B1" s="17" t="inlineStr">
        <is>
          <t>ref2020.d112119a</t>
        </is>
      </c>
      <c r="C1" s="18" t="n">
        <v>2019</v>
      </c>
      <c r="D1" s="18" t="n">
        <v>2020</v>
      </c>
      <c r="E1" s="18" t="n">
        <v>2021</v>
      </c>
      <c r="F1" s="18" t="n">
        <v>2022</v>
      </c>
      <c r="G1" s="18" t="n">
        <v>2023</v>
      </c>
      <c r="H1" s="18" t="n">
        <v>2024</v>
      </c>
      <c r="I1" s="18" t="n">
        <v>2025</v>
      </c>
      <c r="J1" s="18" t="n">
        <v>2026</v>
      </c>
      <c r="K1" s="18" t="n">
        <v>2027</v>
      </c>
      <c r="L1" s="18" t="n">
        <v>2028</v>
      </c>
      <c r="M1" s="18" t="n">
        <v>2029</v>
      </c>
      <c r="N1" s="18" t="n">
        <v>2030</v>
      </c>
      <c r="O1" s="18" t="n">
        <v>2031</v>
      </c>
      <c r="P1" s="18" t="n">
        <v>2032</v>
      </c>
      <c r="Q1" s="18" t="n">
        <v>2033</v>
      </c>
      <c r="R1" s="18" t="n">
        <v>2034</v>
      </c>
      <c r="S1" s="18" t="n">
        <v>2035</v>
      </c>
      <c r="T1" s="18" t="n">
        <v>2036</v>
      </c>
      <c r="U1" s="18" t="n">
        <v>2037</v>
      </c>
      <c r="V1" s="18" t="n">
        <v>2038</v>
      </c>
      <c r="W1" s="18" t="n">
        <v>2039</v>
      </c>
      <c r="X1" s="18" t="n">
        <v>2040</v>
      </c>
      <c r="Y1" s="18" t="n">
        <v>2041</v>
      </c>
      <c r="Z1" s="18" t="n">
        <v>2042</v>
      </c>
      <c r="AA1" s="18" t="n">
        <v>2043</v>
      </c>
      <c r="AB1" s="18" t="n">
        <v>2044</v>
      </c>
      <c r="AC1" s="18" t="n">
        <v>2045</v>
      </c>
      <c r="AD1" s="18" t="n">
        <v>2046</v>
      </c>
      <c r="AE1" s="18" t="n">
        <v>2047</v>
      </c>
      <c r="AF1" s="18" t="n">
        <v>2048</v>
      </c>
      <c r="AG1" s="18" t="n">
        <v>2049</v>
      </c>
      <c r="AH1" s="18" t="n">
        <v>2050</v>
      </c>
    </row>
    <row r="2" ht="15" customHeight="1" s="74">
      <c r="A2" s="2" t="n"/>
      <c r="B2" s="2" t="n"/>
    </row>
    <row r="3" ht="15" customHeight="1" s="74">
      <c r="A3" s="2" t="n"/>
      <c r="B3" s="2" t="n"/>
      <c r="C3" s="19" t="inlineStr">
        <is>
          <t>Report</t>
        </is>
      </c>
      <c r="D3" s="19" t="inlineStr">
        <is>
          <t>Annual Energy Outlook 2020</t>
        </is>
      </c>
      <c r="E3" s="19" t="n"/>
      <c r="F3" s="19" t="n"/>
      <c r="G3" s="19" t="n"/>
      <c r="H3" s="19" t="n"/>
    </row>
    <row r="4" ht="15" customHeight="1" s="74">
      <c r="A4" s="2" t="n"/>
      <c r="B4" s="2" t="n"/>
      <c r="C4" s="19" t="inlineStr">
        <is>
          <t>Scenario</t>
        </is>
      </c>
      <c r="D4" s="19" t="inlineStr">
        <is>
          <t>ref2020</t>
        </is>
      </c>
      <c r="E4" s="19" t="n"/>
      <c r="F4" s="19" t="n"/>
      <c r="G4" s="19" t="inlineStr">
        <is>
          <t>Reference case</t>
        </is>
      </c>
      <c r="H4" s="19" t="n"/>
    </row>
    <row r="5" ht="15" customHeight="1" s="74">
      <c r="A5" s="2" t="n"/>
      <c r="B5" s="2" t="n"/>
      <c r="C5" s="19" t="inlineStr">
        <is>
          <t>Datekey</t>
        </is>
      </c>
      <c r="D5" s="19" t="inlineStr">
        <is>
          <t>d112119a</t>
        </is>
      </c>
      <c r="E5" s="19" t="n"/>
      <c r="F5" s="19" t="n"/>
      <c r="G5" s="19" t="n"/>
      <c r="H5" s="19" t="n"/>
    </row>
    <row r="6" ht="15" customHeight="1" s="74">
      <c r="A6" s="2" t="n"/>
      <c r="B6" s="2" t="n"/>
      <c r="C6" s="19" t="inlineStr">
        <is>
          <t>Release Date</t>
        </is>
      </c>
      <c r="D6" s="19" t="n"/>
      <c r="E6" s="19" t="inlineStr">
        <is>
          <t xml:space="preserve"> January 2020</t>
        </is>
      </c>
      <c r="F6" s="19" t="n"/>
      <c r="G6" s="19" t="n"/>
      <c r="H6" s="19" t="n"/>
    </row>
    <row r="7">
      <c r="A7" s="2" t="n"/>
      <c r="B7" s="2" t="n"/>
    </row>
    <row r="8">
      <c r="A8" s="2" t="n"/>
      <c r="B8" s="2" t="n"/>
    </row>
    <row r="9">
      <c r="A9" s="2" t="n"/>
      <c r="B9" s="2" t="n"/>
    </row>
    <row r="10" ht="15" customHeight="1" s="74">
      <c r="A10" s="20" t="inlineStr">
        <is>
          <t>RST000</t>
        </is>
      </c>
      <c r="B10" s="21" t="inlineStr">
        <is>
          <t>21. Residential Sector Equipment Stock and Efficiency, and Distributed Generation</t>
        </is>
      </c>
    </row>
    <row r="11" ht="15" customHeight="1" s="74">
      <c r="A11" s="2" t="n"/>
      <c r="B11" s="17" t="n"/>
    </row>
    <row r="12" ht="15" customHeight="1" s="74">
      <c r="A12" s="2" t="n"/>
      <c r="B12" s="17" t="n"/>
      <c r="C12" s="4" t="n"/>
      <c r="D12" s="4" t="n"/>
      <c r="E12" s="4" t="n"/>
      <c r="F12" s="4" t="n"/>
      <c r="G12" s="4" t="n"/>
      <c r="H12" s="4" t="n"/>
      <c r="I12" s="4" t="n"/>
      <c r="J12" s="4" t="n"/>
      <c r="K12" s="4" t="n"/>
      <c r="L12" s="4" t="n"/>
      <c r="M12" s="4" t="n"/>
      <c r="N12" s="4" t="n"/>
      <c r="O12" s="4" t="n"/>
      <c r="P12" s="4" t="n"/>
      <c r="Q12" s="4" t="n"/>
      <c r="R12" s="4" t="n"/>
      <c r="S12" s="4" t="n"/>
      <c r="T12" s="4" t="n"/>
      <c r="U12" s="4" t="n"/>
      <c r="V12" s="4" t="n"/>
      <c r="W12" s="4" t="n"/>
      <c r="X12" s="4" t="n"/>
      <c r="Y12" s="4" t="n"/>
      <c r="Z12" s="4" t="n"/>
      <c r="AA12" s="4" t="n"/>
      <c r="AB12" s="4" t="n"/>
      <c r="AC12" s="4" t="n"/>
      <c r="AD12" s="4" t="n"/>
      <c r="AE12" s="4" t="n"/>
      <c r="AF12" s="4" t="n"/>
      <c r="AG12" s="4" t="n"/>
      <c r="AH12" s="4" t="n"/>
      <c r="AI12" s="4" t="inlineStr">
        <is>
          <t>2019-</t>
        </is>
      </c>
    </row>
    <row r="13" ht="15" customHeight="1" s="74">
      <c r="A13" s="2" t="n"/>
      <c r="B13" s="18" t="inlineStr">
        <is>
          <t xml:space="preserve"> Equipment Stock Data</t>
        </is>
      </c>
      <c r="C13" s="18" t="n">
        <v>2019</v>
      </c>
      <c r="D13" s="18" t="n">
        <v>2020</v>
      </c>
      <c r="E13" s="18" t="n">
        <v>2021</v>
      </c>
      <c r="F13" s="18" t="n">
        <v>2022</v>
      </c>
      <c r="G13" s="18" t="n">
        <v>2023</v>
      </c>
      <c r="H13" s="18" t="n">
        <v>2024</v>
      </c>
      <c r="I13" s="18" t="n">
        <v>2025</v>
      </c>
      <c r="J13" s="18" t="n">
        <v>2026</v>
      </c>
      <c r="K13" s="18" t="n">
        <v>2027</v>
      </c>
      <c r="L13" s="18" t="n">
        <v>2028</v>
      </c>
      <c r="M13" s="18" t="n">
        <v>2029</v>
      </c>
      <c r="N13" s="18" t="n">
        <v>2030</v>
      </c>
      <c r="O13" s="18" t="n">
        <v>2031</v>
      </c>
      <c r="P13" s="18" t="n">
        <v>2032</v>
      </c>
      <c r="Q13" s="18" t="n">
        <v>2033</v>
      </c>
      <c r="R13" s="18" t="n">
        <v>2034</v>
      </c>
      <c r="S13" s="18" t="n">
        <v>2035</v>
      </c>
      <c r="T13" s="18" t="n">
        <v>2036</v>
      </c>
      <c r="U13" s="18" t="n">
        <v>2037</v>
      </c>
      <c r="V13" s="18" t="n">
        <v>2038</v>
      </c>
      <c r="W13" s="18" t="n">
        <v>2039</v>
      </c>
      <c r="X13" s="18" t="n">
        <v>2040</v>
      </c>
      <c r="Y13" s="18" t="n">
        <v>2041</v>
      </c>
      <c r="Z13" s="18" t="n">
        <v>2042</v>
      </c>
      <c r="AA13" s="18" t="n">
        <v>2043</v>
      </c>
      <c r="AB13" s="18" t="n">
        <v>2044</v>
      </c>
      <c r="AC13" s="18" t="n">
        <v>2045</v>
      </c>
      <c r="AD13" s="18" t="n">
        <v>2046</v>
      </c>
      <c r="AE13" s="18" t="n">
        <v>2047</v>
      </c>
      <c r="AF13" s="18" t="n">
        <v>2048</v>
      </c>
      <c r="AG13" s="18" t="n">
        <v>2049</v>
      </c>
      <c r="AH13" s="18" t="n">
        <v>2050</v>
      </c>
      <c r="AI13" s="18" t="n">
        <v>2050</v>
      </c>
    </row>
    <row r="14" ht="15" customHeight="1" s="74">
      <c r="A14" s="2" t="n"/>
      <c r="B14" s="2" t="n"/>
    </row>
    <row r="15" ht="15" customHeight="1" s="74">
      <c r="A15" s="2" t="n"/>
      <c r="B15" s="22" t="inlineStr">
        <is>
          <t>Equipment Stock (million units)</t>
        </is>
      </c>
    </row>
    <row r="16" ht="15" customHeight="1" s="74">
      <c r="A16" s="2" t="n"/>
      <c r="B16" s="22" t="inlineStr">
        <is>
          <t xml:space="preserve"> Main Space Heaters</t>
        </is>
      </c>
    </row>
    <row r="17" ht="15" customHeight="1" s="74">
      <c r="A17" s="20" t="inlineStr">
        <is>
          <t>RST000:ba_ElectricHeatP</t>
        </is>
      </c>
      <c r="B17" s="23" t="inlineStr">
        <is>
          <t xml:space="preserve">   Electric Heat Pumps</t>
        </is>
      </c>
      <c r="C17" s="24" t="n">
        <v>12.16011</v>
      </c>
      <c r="D17" s="24" t="n">
        <v>12.356359</v>
      </c>
      <c r="E17" s="24" t="n">
        <v>12.561438</v>
      </c>
      <c r="F17" s="24" t="n">
        <v>12.768275</v>
      </c>
      <c r="G17" s="24" t="n">
        <v>12.969971</v>
      </c>
      <c r="H17" s="24" t="n">
        <v>13.170581</v>
      </c>
      <c r="I17" s="24" t="n">
        <v>13.373747</v>
      </c>
      <c r="J17" s="24" t="n">
        <v>13.573628</v>
      </c>
      <c r="K17" s="24" t="n">
        <v>13.767446</v>
      </c>
      <c r="L17" s="24" t="n">
        <v>13.959652</v>
      </c>
      <c r="M17" s="24" t="n">
        <v>14.15049</v>
      </c>
      <c r="N17" s="24" t="n">
        <v>14.344805</v>
      </c>
      <c r="O17" s="24" t="n">
        <v>14.546087</v>
      </c>
      <c r="P17" s="24" t="n">
        <v>14.742549</v>
      </c>
      <c r="Q17" s="24" t="n">
        <v>14.937459</v>
      </c>
      <c r="R17" s="24" t="n">
        <v>15.13332</v>
      </c>
      <c r="S17" s="24" t="n">
        <v>15.331637</v>
      </c>
      <c r="T17" s="24" t="n">
        <v>15.527777</v>
      </c>
      <c r="U17" s="24" t="n">
        <v>15.722246</v>
      </c>
      <c r="V17" s="24" t="n">
        <v>15.913109</v>
      </c>
      <c r="W17" s="24" t="n">
        <v>16.099663</v>
      </c>
      <c r="X17" s="24" t="n">
        <v>16.285965</v>
      </c>
      <c r="Y17" s="24" t="n">
        <v>16.472515</v>
      </c>
      <c r="Z17" s="24" t="n">
        <v>16.659491</v>
      </c>
      <c r="AA17" s="24" t="n">
        <v>16.84948</v>
      </c>
      <c r="AB17" s="24" t="n">
        <v>17.044689</v>
      </c>
      <c r="AC17" s="24" t="n">
        <v>17.245098</v>
      </c>
      <c r="AD17" s="24" t="n">
        <v>17.44972</v>
      </c>
      <c r="AE17" s="24" t="n">
        <v>17.657482</v>
      </c>
      <c r="AF17" s="24" t="n">
        <v>17.865902</v>
      </c>
      <c r="AG17" s="24" t="n">
        <v>18.074654</v>
      </c>
      <c r="AH17" s="24" t="n">
        <v>18.282888</v>
      </c>
      <c r="AI17" s="25" t="n">
        <v>0.013242</v>
      </c>
    </row>
    <row r="18" ht="15" customHeight="1" s="74">
      <c r="A18" s="20" t="inlineStr">
        <is>
          <t>RST000:ba_ElectricOther</t>
        </is>
      </c>
      <c r="B18" s="23" t="inlineStr">
        <is>
          <t xml:space="preserve">   Electric Other</t>
        </is>
      </c>
      <c r="C18" s="24" t="n">
        <v>29.549322</v>
      </c>
      <c r="D18" s="24" t="n">
        <v>29.594299</v>
      </c>
      <c r="E18" s="24" t="n">
        <v>29.651693</v>
      </c>
      <c r="F18" s="24" t="n">
        <v>29.713057</v>
      </c>
      <c r="G18" s="24" t="n">
        <v>29.77392</v>
      </c>
      <c r="H18" s="24" t="n">
        <v>29.835207</v>
      </c>
      <c r="I18" s="24" t="n">
        <v>29.899117</v>
      </c>
      <c r="J18" s="24" t="n">
        <v>29.961113</v>
      </c>
      <c r="K18" s="24" t="n">
        <v>30.01981</v>
      </c>
      <c r="L18" s="24" t="n">
        <v>30.080587</v>
      </c>
      <c r="M18" s="24" t="n">
        <v>30.143085</v>
      </c>
      <c r="N18" s="24" t="n">
        <v>30.2124</v>
      </c>
      <c r="O18" s="24" t="n">
        <v>30.291456</v>
      </c>
      <c r="P18" s="24" t="n">
        <v>30.36973</v>
      </c>
      <c r="Q18" s="24" t="n">
        <v>30.445864</v>
      </c>
      <c r="R18" s="24" t="n">
        <v>30.521585</v>
      </c>
      <c r="S18" s="24" t="n">
        <v>30.596947</v>
      </c>
      <c r="T18" s="24" t="n">
        <v>30.667854</v>
      </c>
      <c r="U18" s="24" t="n">
        <v>30.735598</v>
      </c>
      <c r="V18" s="24" t="n">
        <v>30.800854</v>
      </c>
      <c r="W18" s="24" t="n">
        <v>30.864176</v>
      </c>
      <c r="X18" s="24" t="n">
        <v>30.928652</v>
      </c>
      <c r="Y18" s="24" t="n">
        <v>30.995289</v>
      </c>
      <c r="Z18" s="24" t="n">
        <v>31.064692</v>
      </c>
      <c r="AA18" s="24" t="n">
        <v>31.137754</v>
      </c>
      <c r="AB18" s="24" t="n">
        <v>31.216146</v>
      </c>
      <c r="AC18" s="24" t="n">
        <v>31.299526</v>
      </c>
      <c r="AD18" s="24" t="n">
        <v>31.387476</v>
      </c>
      <c r="AE18" s="24" t="n">
        <v>31.479218</v>
      </c>
      <c r="AF18" s="24" t="n">
        <v>31.572081</v>
      </c>
      <c r="AG18" s="24" t="n">
        <v>31.664917</v>
      </c>
      <c r="AH18" s="24" t="n">
        <v>31.756903</v>
      </c>
      <c r="AI18" s="25" t="n">
        <v>0.002327</v>
      </c>
    </row>
    <row r="19" ht="15" customHeight="1" s="74">
      <c r="A19" s="20" t="inlineStr">
        <is>
          <t>RST000:ba_NaturalGasHea</t>
        </is>
      </c>
      <c r="B19" s="23" t="inlineStr">
        <is>
          <t xml:space="preserve">   Natural Gas Heat Pumps</t>
        </is>
      </c>
      <c r="C19" s="24" t="n">
        <v>1.296701</v>
      </c>
      <c r="D19" s="24" t="n">
        <v>1.291824</v>
      </c>
      <c r="E19" s="24" t="n">
        <v>1.286981</v>
      </c>
      <c r="F19" s="24" t="n">
        <v>1.282171</v>
      </c>
      <c r="G19" s="24" t="n">
        <v>1.277394</v>
      </c>
      <c r="H19" s="24" t="n">
        <v>1.27265</v>
      </c>
      <c r="I19" s="24" t="n">
        <v>1.267937</v>
      </c>
      <c r="J19" s="24" t="n">
        <v>1.263255</v>
      </c>
      <c r="K19" s="24" t="n">
        <v>1.258603</v>
      </c>
      <c r="L19" s="24" t="n">
        <v>1.253981</v>
      </c>
      <c r="M19" s="24" t="n">
        <v>1.249388</v>
      </c>
      <c r="N19" s="24" t="n">
        <v>1.244823</v>
      </c>
      <c r="O19" s="24" t="n">
        <v>1.240288</v>
      </c>
      <c r="P19" s="24" t="n">
        <v>1.235779</v>
      </c>
      <c r="Q19" s="24" t="n">
        <v>1.231298</v>
      </c>
      <c r="R19" s="24" t="n">
        <v>1.226843</v>
      </c>
      <c r="S19" s="24" t="n">
        <v>1.222414</v>
      </c>
      <c r="T19" s="24" t="n">
        <v>1.218011</v>
      </c>
      <c r="U19" s="24" t="n">
        <v>1.213634</v>
      </c>
      <c r="V19" s="24" t="n">
        <v>1.209281</v>
      </c>
      <c r="W19" s="24" t="n">
        <v>1.204953</v>
      </c>
      <c r="X19" s="24" t="n">
        <v>1.200649</v>
      </c>
      <c r="Y19" s="24" t="n">
        <v>1.196368</v>
      </c>
      <c r="Z19" s="24" t="n">
        <v>1.192111</v>
      </c>
      <c r="AA19" s="24" t="n">
        <v>1.187877</v>
      </c>
      <c r="AB19" s="24" t="n">
        <v>1.183666</v>
      </c>
      <c r="AC19" s="24" t="n">
        <v>1.179476</v>
      </c>
      <c r="AD19" s="24" t="n">
        <v>1.175309</v>
      </c>
      <c r="AE19" s="24" t="n">
        <v>1.171163</v>
      </c>
      <c r="AF19" s="24" t="n">
        <v>1.167038</v>
      </c>
      <c r="AG19" s="24" t="n">
        <v>1.162935</v>
      </c>
      <c r="AH19" s="24" t="n">
        <v>1.158852</v>
      </c>
      <c r="AI19" s="25" t="n">
        <v>-0.003619</v>
      </c>
    </row>
    <row r="20" ht="15" customHeight="1" s="74">
      <c r="A20" s="20" t="inlineStr">
        <is>
          <t>RST000:ba_NaturalGasOth</t>
        </is>
      </c>
      <c r="B20" s="23" t="inlineStr">
        <is>
          <t xml:space="preserve">   Natural Gas Other</t>
        </is>
      </c>
      <c r="C20" s="24" t="n">
        <v>59.438393</v>
      </c>
      <c r="D20" s="24" t="n">
        <v>60.053783</v>
      </c>
      <c r="E20" s="24" t="n">
        <v>60.696262</v>
      </c>
      <c r="F20" s="24" t="n">
        <v>61.354958</v>
      </c>
      <c r="G20" s="24" t="n">
        <v>62.008762</v>
      </c>
      <c r="H20" s="24" t="n">
        <v>62.656101</v>
      </c>
      <c r="I20" s="24" t="n">
        <v>63.307636</v>
      </c>
      <c r="J20" s="24" t="n">
        <v>63.944702</v>
      </c>
      <c r="K20" s="24" t="n">
        <v>64.55759399999999</v>
      </c>
      <c r="L20" s="24" t="n">
        <v>65.158264</v>
      </c>
      <c r="M20" s="24" t="n">
        <v>65.749489</v>
      </c>
      <c r="N20" s="24" t="n">
        <v>66.345253</v>
      </c>
      <c r="O20" s="24" t="n">
        <v>66.95642100000001</v>
      </c>
      <c r="P20" s="24" t="n">
        <v>67.545906</v>
      </c>
      <c r="Q20" s="24" t="n">
        <v>68.128838</v>
      </c>
      <c r="R20" s="24" t="n">
        <v>68.71152499999999</v>
      </c>
      <c r="S20" s="24" t="n">
        <v>69.298073</v>
      </c>
      <c r="T20" s="24" t="n">
        <v>69.872345</v>
      </c>
      <c r="U20" s="24" t="n">
        <v>70.433395</v>
      </c>
      <c r="V20" s="24" t="n">
        <v>70.98632000000001</v>
      </c>
      <c r="W20" s="24" t="n">
        <v>71.526077</v>
      </c>
      <c r="X20" s="24" t="n">
        <v>72.06455200000001</v>
      </c>
      <c r="Y20" s="24" t="n">
        <v>72.601242</v>
      </c>
      <c r="Z20" s="24" t="n">
        <v>73.13511699999999</v>
      </c>
      <c r="AA20" s="24" t="n">
        <v>73.67390399999999</v>
      </c>
      <c r="AB20" s="24" t="n">
        <v>74.224861</v>
      </c>
      <c r="AC20" s="24" t="n">
        <v>74.78742200000001</v>
      </c>
      <c r="AD20" s="24" t="n">
        <v>75.357697</v>
      </c>
      <c r="AE20" s="24" t="n">
        <v>75.930786</v>
      </c>
      <c r="AF20" s="24" t="n">
        <v>76.499725</v>
      </c>
      <c r="AG20" s="24" t="n">
        <v>77.064392</v>
      </c>
      <c r="AH20" s="24" t="n">
        <v>77.623024</v>
      </c>
      <c r="AI20" s="25" t="n">
        <v>0.008647999999999999</v>
      </c>
    </row>
    <row r="21" ht="15" customHeight="1" s="74">
      <c r="A21" s="20" t="inlineStr">
        <is>
          <t>RST000:ba_Distillate</t>
        </is>
      </c>
      <c r="B21" s="23" t="inlineStr">
        <is>
          <t xml:space="preserve">   Distillate Fuel Oil</t>
        </is>
      </c>
      <c r="C21" s="24" t="n">
        <v>5.53918</v>
      </c>
      <c r="D21" s="24" t="n">
        <v>5.472378</v>
      </c>
      <c r="E21" s="24" t="n">
        <v>5.406942</v>
      </c>
      <c r="F21" s="24" t="n">
        <v>5.343044</v>
      </c>
      <c r="G21" s="24" t="n">
        <v>5.280599</v>
      </c>
      <c r="H21" s="24" t="n">
        <v>5.219376</v>
      </c>
      <c r="I21" s="24" t="n">
        <v>5.158895</v>
      </c>
      <c r="J21" s="24" t="n">
        <v>5.099072</v>
      </c>
      <c r="K21" s="24" t="n">
        <v>5.041224</v>
      </c>
      <c r="L21" s="24" t="n">
        <v>4.985659</v>
      </c>
      <c r="M21" s="24" t="n">
        <v>4.932658</v>
      </c>
      <c r="N21" s="24" t="n">
        <v>4.882331</v>
      </c>
      <c r="O21" s="24" t="n">
        <v>4.833995</v>
      </c>
      <c r="P21" s="24" t="n">
        <v>4.787548</v>
      </c>
      <c r="Q21" s="24" t="n">
        <v>4.7427</v>
      </c>
      <c r="R21" s="24" t="n">
        <v>4.699155</v>
      </c>
      <c r="S21" s="24" t="n">
        <v>4.656781</v>
      </c>
      <c r="T21" s="24" t="n">
        <v>4.615261</v>
      </c>
      <c r="U21" s="24" t="n">
        <v>4.575225</v>
      </c>
      <c r="V21" s="24" t="n">
        <v>4.536416</v>
      </c>
      <c r="W21" s="24" t="n">
        <v>4.498525</v>
      </c>
      <c r="X21" s="24" t="n">
        <v>4.461557</v>
      </c>
      <c r="Y21" s="24" t="n">
        <v>4.424938</v>
      </c>
      <c r="Z21" s="24" t="n">
        <v>4.387101</v>
      </c>
      <c r="AA21" s="24" t="n">
        <v>4.34812</v>
      </c>
      <c r="AB21" s="24" t="n">
        <v>4.308219</v>
      </c>
      <c r="AC21" s="24" t="n">
        <v>4.267644</v>
      </c>
      <c r="AD21" s="24" t="n">
        <v>4.226545</v>
      </c>
      <c r="AE21" s="24" t="n">
        <v>4.184341</v>
      </c>
      <c r="AF21" s="24" t="n">
        <v>4.141382</v>
      </c>
      <c r="AG21" s="24" t="n">
        <v>4.098055</v>
      </c>
      <c r="AH21" s="24" t="n">
        <v>4.054719</v>
      </c>
      <c r="AI21" s="25" t="n">
        <v>-0.010013</v>
      </c>
    </row>
    <row r="22" ht="15" customHeight="1" s="74">
      <c r="A22" s="20" t="inlineStr">
        <is>
          <t>RST000:ba_LiquefiedPetr</t>
        </is>
      </c>
      <c r="B22" s="23" t="inlineStr">
        <is>
          <t xml:space="preserve">   Propane</t>
        </is>
      </c>
      <c r="C22" s="24" t="n">
        <v>5.06165</v>
      </c>
      <c r="D22" s="24" t="n">
        <v>5.042739</v>
      </c>
      <c r="E22" s="24" t="n">
        <v>5.024593</v>
      </c>
      <c r="F22" s="24" t="n">
        <v>5.003912</v>
      </c>
      <c r="G22" s="24" t="n">
        <v>4.98118</v>
      </c>
      <c r="H22" s="24" t="n">
        <v>4.95676</v>
      </c>
      <c r="I22" s="24" t="n">
        <v>4.9304</v>
      </c>
      <c r="J22" s="24" t="n">
        <v>4.901455</v>
      </c>
      <c r="K22" s="24" t="n">
        <v>4.872231</v>
      </c>
      <c r="L22" s="24" t="n">
        <v>4.844185</v>
      </c>
      <c r="M22" s="24" t="n">
        <v>4.81738</v>
      </c>
      <c r="N22" s="24" t="n">
        <v>4.792558</v>
      </c>
      <c r="O22" s="24" t="n">
        <v>4.770307</v>
      </c>
      <c r="P22" s="24" t="n">
        <v>4.74984</v>
      </c>
      <c r="Q22" s="24" t="n">
        <v>4.730291</v>
      </c>
      <c r="R22" s="24" t="n">
        <v>4.711349</v>
      </c>
      <c r="S22" s="24" t="n">
        <v>4.692651</v>
      </c>
      <c r="T22" s="24" t="n">
        <v>4.672733</v>
      </c>
      <c r="U22" s="24" t="n">
        <v>4.65136</v>
      </c>
      <c r="V22" s="24" t="n">
        <v>4.628422</v>
      </c>
      <c r="W22" s="24" t="n">
        <v>4.604232</v>
      </c>
      <c r="X22" s="24" t="n">
        <v>4.579704</v>
      </c>
      <c r="Y22" s="24" t="n">
        <v>4.555693</v>
      </c>
      <c r="Z22" s="24" t="n">
        <v>4.53059</v>
      </c>
      <c r="AA22" s="24" t="n">
        <v>4.504702</v>
      </c>
      <c r="AB22" s="24" t="n">
        <v>4.47861</v>
      </c>
      <c r="AC22" s="24" t="n">
        <v>4.452573</v>
      </c>
      <c r="AD22" s="24" t="n">
        <v>4.426914</v>
      </c>
      <c r="AE22" s="24" t="n">
        <v>4.401415</v>
      </c>
      <c r="AF22" s="24" t="n">
        <v>4.375766</v>
      </c>
      <c r="AG22" s="24" t="n">
        <v>4.350066</v>
      </c>
      <c r="AH22" s="24" t="n">
        <v>4.324368</v>
      </c>
      <c r="AI22" s="25" t="n">
        <v>-0.005065</v>
      </c>
    </row>
    <row r="23" ht="15" customHeight="1" s="74">
      <c r="A23" s="20" t="inlineStr">
        <is>
          <t>RST000:ba_Kerosene</t>
        </is>
      </c>
      <c r="B23" s="23" t="inlineStr">
        <is>
          <t xml:space="preserve">   Kerosene</t>
        </is>
      </c>
      <c r="C23" s="24" t="n">
        <v>0.003034</v>
      </c>
      <c r="D23" s="24" t="n">
        <v>0.005738</v>
      </c>
      <c r="E23" s="24" t="n">
        <v>0.008359</v>
      </c>
      <c r="F23" s="24" t="n">
        <v>0.010738</v>
      </c>
      <c r="G23" s="24" t="n">
        <v>0.013012</v>
      </c>
      <c r="H23" s="24" t="n">
        <v>0.015202</v>
      </c>
      <c r="I23" s="24" t="n">
        <v>0.01731</v>
      </c>
      <c r="J23" s="24" t="n">
        <v>0.019373</v>
      </c>
      <c r="K23" s="24" t="n">
        <v>0.02136</v>
      </c>
      <c r="L23" s="24" t="n">
        <v>0.02338</v>
      </c>
      <c r="M23" s="24" t="n">
        <v>0.025363</v>
      </c>
      <c r="N23" s="24" t="n">
        <v>0.027348</v>
      </c>
      <c r="O23" s="24" t="n">
        <v>0.029393</v>
      </c>
      <c r="P23" s="24" t="n">
        <v>0.031462</v>
      </c>
      <c r="Q23" s="24" t="n">
        <v>0.03347</v>
      </c>
      <c r="R23" s="24" t="n">
        <v>0.035366</v>
      </c>
      <c r="S23" s="24" t="n">
        <v>0.037113</v>
      </c>
      <c r="T23" s="24" t="n">
        <v>0.038614</v>
      </c>
      <c r="U23" s="24" t="n">
        <v>0.039898</v>
      </c>
      <c r="V23" s="24" t="n">
        <v>0.040951</v>
      </c>
      <c r="W23" s="24" t="n">
        <v>0.041858</v>
      </c>
      <c r="X23" s="24" t="n">
        <v>0.042681</v>
      </c>
      <c r="Y23" s="24" t="n">
        <v>0.043472</v>
      </c>
      <c r="Z23" s="24" t="n">
        <v>0.044297</v>
      </c>
      <c r="AA23" s="24" t="n">
        <v>0.04512</v>
      </c>
      <c r="AB23" s="24" t="n">
        <v>0.045953</v>
      </c>
      <c r="AC23" s="24" t="n">
        <v>0.046782</v>
      </c>
      <c r="AD23" s="24" t="n">
        <v>0.04762</v>
      </c>
      <c r="AE23" s="24" t="n">
        <v>0.048429</v>
      </c>
      <c r="AF23" s="24" t="n">
        <v>0.049163</v>
      </c>
      <c r="AG23" s="24" t="n">
        <v>0.049799</v>
      </c>
      <c r="AH23" s="24" t="n">
        <v>0.050324</v>
      </c>
      <c r="AI23" s="25" t="n">
        <v>0.09482599999999999</v>
      </c>
    </row>
    <row r="24" ht="15" customHeight="1" s="74">
      <c r="A24" s="20" t="inlineStr">
        <is>
          <t>RST000:ba_WoodStoves</t>
        </is>
      </c>
      <c r="B24" s="23" t="inlineStr">
        <is>
          <t xml:space="preserve">   Wood Stoves</t>
        </is>
      </c>
      <c r="C24" s="24" t="n">
        <v>3.314807</v>
      </c>
      <c r="D24" s="24" t="n">
        <v>3.277886</v>
      </c>
      <c r="E24" s="24" t="n">
        <v>3.242646</v>
      </c>
      <c r="F24" s="24" t="n">
        <v>3.208354</v>
      </c>
      <c r="G24" s="24" t="n">
        <v>3.174693</v>
      </c>
      <c r="H24" s="24" t="n">
        <v>3.141351</v>
      </c>
      <c r="I24" s="24" t="n">
        <v>3.108075</v>
      </c>
      <c r="J24" s="24" t="n">
        <v>3.075117</v>
      </c>
      <c r="K24" s="24" t="n">
        <v>3.042284</v>
      </c>
      <c r="L24" s="24" t="n">
        <v>3.009398</v>
      </c>
      <c r="M24" s="24" t="n">
        <v>2.976621</v>
      </c>
      <c r="N24" s="24" t="n">
        <v>2.943946</v>
      </c>
      <c r="O24" s="24" t="n">
        <v>2.911142</v>
      </c>
      <c r="P24" s="24" t="n">
        <v>2.877912</v>
      </c>
      <c r="Q24" s="24" t="n">
        <v>2.844147</v>
      </c>
      <c r="R24" s="24" t="n">
        <v>2.809845</v>
      </c>
      <c r="S24" s="24" t="n">
        <v>2.775089</v>
      </c>
      <c r="T24" s="24" t="n">
        <v>2.739956</v>
      </c>
      <c r="U24" s="24" t="n">
        <v>2.705661</v>
      </c>
      <c r="V24" s="24" t="n">
        <v>2.672514</v>
      </c>
      <c r="W24" s="24" t="n">
        <v>2.640319</v>
      </c>
      <c r="X24" s="24" t="n">
        <v>2.608436</v>
      </c>
      <c r="Y24" s="24" t="n">
        <v>2.577895</v>
      </c>
      <c r="Z24" s="24" t="n">
        <v>2.5488</v>
      </c>
      <c r="AA24" s="24" t="n">
        <v>2.520982</v>
      </c>
      <c r="AB24" s="24" t="n">
        <v>2.494727</v>
      </c>
      <c r="AC24" s="24" t="n">
        <v>2.469888</v>
      </c>
      <c r="AD24" s="24" t="n">
        <v>2.4464</v>
      </c>
      <c r="AE24" s="24" t="n">
        <v>2.422879</v>
      </c>
      <c r="AF24" s="24" t="n">
        <v>2.399328</v>
      </c>
      <c r="AG24" s="24" t="n">
        <v>2.375657</v>
      </c>
      <c r="AH24" s="24" t="n">
        <v>2.35193</v>
      </c>
      <c r="AI24" s="25" t="n">
        <v>-0.011009</v>
      </c>
    </row>
    <row r="25" ht="15" customHeight="1" s="74">
      <c r="A25" s="20" t="inlineStr">
        <is>
          <t>RST000:ba_GeothermalHea</t>
        </is>
      </c>
      <c r="B25" s="23" t="inlineStr">
        <is>
          <t xml:space="preserve">   Geothermal Heat Pumps</t>
        </is>
      </c>
      <c r="C25" s="24" t="n">
        <v>0.629711</v>
      </c>
      <c r="D25" s="24" t="n">
        <v>0.683279</v>
      </c>
      <c r="E25" s="24" t="n">
        <v>0.7371529999999999</v>
      </c>
      <c r="F25" s="24" t="n">
        <v>0.791214</v>
      </c>
      <c r="G25" s="24" t="n">
        <v>0.844511</v>
      </c>
      <c r="H25" s="24" t="n">
        <v>0.8974299999999999</v>
      </c>
      <c r="I25" s="24" t="n">
        <v>0.950778</v>
      </c>
      <c r="J25" s="24" t="n">
        <v>1.003269</v>
      </c>
      <c r="K25" s="24" t="n">
        <v>1.054834</v>
      </c>
      <c r="L25" s="24" t="n">
        <v>1.10629</v>
      </c>
      <c r="M25" s="24" t="n">
        <v>1.157672</v>
      </c>
      <c r="N25" s="24" t="n">
        <v>1.209746</v>
      </c>
      <c r="O25" s="24" t="n">
        <v>1.263205</v>
      </c>
      <c r="P25" s="24" t="n">
        <v>1.316371</v>
      </c>
      <c r="Q25" s="24" t="n">
        <v>1.370511</v>
      </c>
      <c r="R25" s="24" t="n">
        <v>1.425854</v>
      </c>
      <c r="S25" s="24" t="n">
        <v>1.482602</v>
      </c>
      <c r="T25" s="24" t="n">
        <v>1.539565</v>
      </c>
      <c r="U25" s="24" t="n">
        <v>1.595408</v>
      </c>
      <c r="V25" s="24" t="n">
        <v>1.649878</v>
      </c>
      <c r="W25" s="24" t="n">
        <v>1.702808</v>
      </c>
      <c r="X25" s="24" t="n">
        <v>1.7556</v>
      </c>
      <c r="Y25" s="24" t="n">
        <v>1.807223</v>
      </c>
      <c r="Z25" s="24" t="n">
        <v>1.857283</v>
      </c>
      <c r="AA25" s="24" t="n">
        <v>1.906471</v>
      </c>
      <c r="AB25" s="24" t="n">
        <v>1.954986</v>
      </c>
      <c r="AC25" s="24" t="n">
        <v>2.002984</v>
      </c>
      <c r="AD25" s="24" t="n">
        <v>2.050313</v>
      </c>
      <c r="AE25" s="24" t="n">
        <v>2.097945</v>
      </c>
      <c r="AF25" s="24" t="n">
        <v>2.145522</v>
      </c>
      <c r="AG25" s="24" t="n">
        <v>2.193215</v>
      </c>
      <c r="AH25" s="24" t="n">
        <v>2.240901</v>
      </c>
      <c r="AI25" s="25" t="n">
        <v>0.041797</v>
      </c>
    </row>
    <row r="26" ht="15" customHeight="1" s="74">
      <c r="A26" s="20" t="inlineStr">
        <is>
          <t>RST000:ba_Total</t>
        </is>
      </c>
      <c r="B26" s="22" t="inlineStr">
        <is>
          <t xml:space="preserve">     Total</t>
        </is>
      </c>
      <c r="C26" s="26" t="n">
        <v>116.992905</v>
      </c>
      <c r="D26" s="26" t="n">
        <v>117.77829</v>
      </c>
      <c r="E26" s="26" t="n">
        <v>118.616066</v>
      </c>
      <c r="F26" s="26" t="n">
        <v>119.475716</v>
      </c>
      <c r="G26" s="26" t="n">
        <v>120.324036</v>
      </c>
      <c r="H26" s="26" t="n">
        <v>121.164658</v>
      </c>
      <c r="I26" s="26" t="n">
        <v>122.013893</v>
      </c>
      <c r="J26" s="26" t="n">
        <v>122.840981</v>
      </c>
      <c r="K26" s="26" t="n">
        <v>123.635384</v>
      </c>
      <c r="L26" s="26" t="n">
        <v>124.421394</v>
      </c>
      <c r="M26" s="26" t="n">
        <v>125.202141</v>
      </c>
      <c r="N26" s="26" t="n">
        <v>126.003212</v>
      </c>
      <c r="O26" s="26" t="n">
        <v>126.8423</v>
      </c>
      <c r="P26" s="26" t="n">
        <v>127.657097</v>
      </c>
      <c r="Q26" s="26" t="n">
        <v>128.464569</v>
      </c>
      <c r="R26" s="26" t="n">
        <v>129.274857</v>
      </c>
      <c r="S26" s="26" t="n">
        <v>130.093323</v>
      </c>
      <c r="T26" s="26" t="n">
        <v>130.892105</v>
      </c>
      <c r="U26" s="26" t="n">
        <v>131.67244</v>
      </c>
      <c r="V26" s="26" t="n">
        <v>132.437744</v>
      </c>
      <c r="W26" s="26" t="n">
        <v>133.182602</v>
      </c>
      <c r="X26" s="26" t="n">
        <v>133.92778</v>
      </c>
      <c r="Y26" s="26" t="n">
        <v>134.674637</v>
      </c>
      <c r="Z26" s="26" t="n">
        <v>135.419479</v>
      </c>
      <c r="AA26" s="26" t="n">
        <v>136.174408</v>
      </c>
      <c r="AB26" s="26" t="n">
        <v>136.951859</v>
      </c>
      <c r="AC26" s="26" t="n">
        <v>137.751404</v>
      </c>
      <c r="AD26" s="26" t="n">
        <v>138.567978</v>
      </c>
      <c r="AE26" s="26" t="n">
        <v>139.393661</v>
      </c>
      <c r="AF26" s="26" t="n">
        <v>140.215897</v>
      </c>
      <c r="AG26" s="26" t="n">
        <v>141.033707</v>
      </c>
      <c r="AH26" s="26" t="n">
        <v>141.843918</v>
      </c>
      <c r="AI26" s="27" t="n">
        <v>0.006233</v>
      </c>
    </row>
    <row r="27" ht="15.75" customHeight="1" s="74">
      <c r="A27" s="2" t="n"/>
      <c r="B27" s="2" t="n"/>
    </row>
    <row r="28" ht="15" customHeight="1" s="74">
      <c r="A28" s="2" t="n"/>
      <c r="B28" s="22" t="inlineStr">
        <is>
          <t xml:space="preserve"> Space Cooling (million units)</t>
        </is>
      </c>
    </row>
    <row r="29" ht="15" customHeight="1" s="74">
      <c r="A29" s="20" t="inlineStr">
        <is>
          <t>RST000:ca_ElectricHeatP</t>
        </is>
      </c>
      <c r="B29" s="23" t="inlineStr">
        <is>
          <t xml:space="preserve">   Electric Heat Pumps</t>
        </is>
      </c>
      <c r="C29" s="24" t="n">
        <v>12.160114</v>
      </c>
      <c r="D29" s="24" t="n">
        <v>12.356362</v>
      </c>
      <c r="E29" s="24" t="n">
        <v>12.56144</v>
      </c>
      <c r="F29" s="24" t="n">
        <v>12.768272</v>
      </c>
      <c r="G29" s="24" t="n">
        <v>12.969972</v>
      </c>
      <c r="H29" s="24" t="n">
        <v>13.170576</v>
      </c>
      <c r="I29" s="24" t="n">
        <v>13.373746</v>
      </c>
      <c r="J29" s="24" t="n">
        <v>13.57362</v>
      </c>
      <c r="K29" s="24" t="n">
        <v>13.767444</v>
      </c>
      <c r="L29" s="24" t="n">
        <v>13.959651</v>
      </c>
      <c r="M29" s="24" t="n">
        <v>14.150494</v>
      </c>
      <c r="N29" s="24" t="n">
        <v>14.344804</v>
      </c>
      <c r="O29" s="24" t="n">
        <v>14.546089</v>
      </c>
      <c r="P29" s="24" t="n">
        <v>14.742554</v>
      </c>
      <c r="Q29" s="24" t="n">
        <v>14.937462</v>
      </c>
      <c r="R29" s="24" t="n">
        <v>15.133318</v>
      </c>
      <c r="S29" s="24" t="n">
        <v>15.331645</v>
      </c>
      <c r="T29" s="24" t="n">
        <v>15.527781</v>
      </c>
      <c r="U29" s="24" t="n">
        <v>15.722242</v>
      </c>
      <c r="V29" s="24" t="n">
        <v>15.913114</v>
      </c>
      <c r="W29" s="24" t="n">
        <v>16.099663</v>
      </c>
      <c r="X29" s="24" t="n">
        <v>16.285961</v>
      </c>
      <c r="Y29" s="24" t="n">
        <v>16.472521</v>
      </c>
      <c r="Z29" s="24" t="n">
        <v>16.659492</v>
      </c>
      <c r="AA29" s="24" t="n">
        <v>16.849482</v>
      </c>
      <c r="AB29" s="24" t="n">
        <v>17.044695</v>
      </c>
      <c r="AC29" s="24" t="n">
        <v>17.245104</v>
      </c>
      <c r="AD29" s="24" t="n">
        <v>17.44972</v>
      </c>
      <c r="AE29" s="24" t="n">
        <v>17.657476</v>
      </c>
      <c r="AF29" s="24" t="n">
        <v>17.865906</v>
      </c>
      <c r="AG29" s="24" t="n">
        <v>18.074648</v>
      </c>
      <c r="AH29" s="24" t="n">
        <v>18.282896</v>
      </c>
      <c r="AI29" s="25" t="n">
        <v>0.013242</v>
      </c>
    </row>
    <row r="30" ht="15" customHeight="1" s="74">
      <c r="A30" s="20" t="inlineStr">
        <is>
          <t>RST000:ca_NaturalGasHea</t>
        </is>
      </c>
      <c r="B30" s="23" t="inlineStr">
        <is>
          <t xml:space="preserve">   Natural Gas Heat Pumps</t>
        </is>
      </c>
      <c r="C30" s="24" t="n">
        <v>1.296701</v>
      </c>
      <c r="D30" s="24" t="n">
        <v>1.291824</v>
      </c>
      <c r="E30" s="24" t="n">
        <v>1.286981</v>
      </c>
      <c r="F30" s="24" t="n">
        <v>1.282171</v>
      </c>
      <c r="G30" s="24" t="n">
        <v>1.277395</v>
      </c>
      <c r="H30" s="24" t="n">
        <v>1.27265</v>
      </c>
      <c r="I30" s="24" t="n">
        <v>1.267937</v>
      </c>
      <c r="J30" s="24" t="n">
        <v>1.263255</v>
      </c>
      <c r="K30" s="24" t="n">
        <v>1.258603</v>
      </c>
      <c r="L30" s="24" t="n">
        <v>1.253981</v>
      </c>
      <c r="M30" s="24" t="n">
        <v>1.249388</v>
      </c>
      <c r="N30" s="24" t="n">
        <v>1.244823</v>
      </c>
      <c r="O30" s="24" t="n">
        <v>1.240287</v>
      </c>
      <c r="P30" s="24" t="n">
        <v>1.235779</v>
      </c>
      <c r="Q30" s="24" t="n">
        <v>1.231297</v>
      </c>
      <c r="R30" s="24" t="n">
        <v>1.226843</v>
      </c>
      <c r="S30" s="24" t="n">
        <v>1.222414</v>
      </c>
      <c r="T30" s="24" t="n">
        <v>1.218011</v>
      </c>
      <c r="U30" s="24" t="n">
        <v>1.213634</v>
      </c>
      <c r="V30" s="24" t="n">
        <v>1.209281</v>
      </c>
      <c r="W30" s="24" t="n">
        <v>1.204953</v>
      </c>
      <c r="X30" s="24" t="n">
        <v>1.200649</v>
      </c>
      <c r="Y30" s="24" t="n">
        <v>1.196368</v>
      </c>
      <c r="Z30" s="24" t="n">
        <v>1.192111</v>
      </c>
      <c r="AA30" s="24" t="n">
        <v>1.187877</v>
      </c>
      <c r="AB30" s="24" t="n">
        <v>1.183666</v>
      </c>
      <c r="AC30" s="24" t="n">
        <v>1.179476</v>
      </c>
      <c r="AD30" s="24" t="n">
        <v>1.175309</v>
      </c>
      <c r="AE30" s="24" t="n">
        <v>1.171163</v>
      </c>
      <c r="AF30" s="24" t="n">
        <v>1.167038</v>
      </c>
      <c r="AG30" s="24" t="n">
        <v>1.162935</v>
      </c>
      <c r="AH30" s="24" t="n">
        <v>1.158852</v>
      </c>
      <c r="AI30" s="25" t="n">
        <v>-0.003619</v>
      </c>
    </row>
    <row r="31" ht="15" customHeight="1" s="74">
      <c r="A31" s="20" t="inlineStr">
        <is>
          <t>RST000:ca_GeothermalHea</t>
        </is>
      </c>
      <c r="B31" s="23" t="inlineStr">
        <is>
          <t xml:space="preserve">   Geothermal Heat Pumps</t>
        </is>
      </c>
      <c r="C31" s="24" t="n">
        <v>0.629711</v>
      </c>
      <c r="D31" s="24" t="n">
        <v>0.683279</v>
      </c>
      <c r="E31" s="24" t="n">
        <v>0.7371529999999999</v>
      </c>
      <c r="F31" s="24" t="n">
        <v>0.791214</v>
      </c>
      <c r="G31" s="24" t="n">
        <v>0.844511</v>
      </c>
      <c r="H31" s="24" t="n">
        <v>0.8974299999999999</v>
      </c>
      <c r="I31" s="24" t="n">
        <v>0.950778</v>
      </c>
      <c r="J31" s="24" t="n">
        <v>1.003269</v>
      </c>
      <c r="K31" s="24" t="n">
        <v>1.054834</v>
      </c>
      <c r="L31" s="24" t="n">
        <v>1.10629</v>
      </c>
      <c r="M31" s="24" t="n">
        <v>1.157672</v>
      </c>
      <c r="N31" s="24" t="n">
        <v>1.209746</v>
      </c>
      <c r="O31" s="24" t="n">
        <v>1.263205</v>
      </c>
      <c r="P31" s="24" t="n">
        <v>1.316371</v>
      </c>
      <c r="Q31" s="24" t="n">
        <v>1.370511</v>
      </c>
      <c r="R31" s="24" t="n">
        <v>1.425854</v>
      </c>
      <c r="S31" s="24" t="n">
        <v>1.482602</v>
      </c>
      <c r="T31" s="24" t="n">
        <v>1.539565</v>
      </c>
      <c r="U31" s="24" t="n">
        <v>1.595409</v>
      </c>
      <c r="V31" s="24" t="n">
        <v>1.649878</v>
      </c>
      <c r="W31" s="24" t="n">
        <v>1.702808</v>
      </c>
      <c r="X31" s="24" t="n">
        <v>1.7556</v>
      </c>
      <c r="Y31" s="24" t="n">
        <v>1.807223</v>
      </c>
      <c r="Z31" s="24" t="n">
        <v>1.857282</v>
      </c>
      <c r="AA31" s="24" t="n">
        <v>1.906471</v>
      </c>
      <c r="AB31" s="24" t="n">
        <v>1.954986</v>
      </c>
      <c r="AC31" s="24" t="n">
        <v>2.002985</v>
      </c>
      <c r="AD31" s="24" t="n">
        <v>2.050313</v>
      </c>
      <c r="AE31" s="24" t="n">
        <v>2.097946</v>
      </c>
      <c r="AF31" s="24" t="n">
        <v>2.145522</v>
      </c>
      <c r="AG31" s="24" t="n">
        <v>2.193217</v>
      </c>
      <c r="AH31" s="24" t="n">
        <v>2.240901</v>
      </c>
      <c r="AI31" s="25" t="n">
        <v>0.041797</v>
      </c>
    </row>
    <row r="32" ht="15" customHeight="1" s="74">
      <c r="A32" s="20" t="inlineStr">
        <is>
          <t>RST000:ca_CentralAirCon</t>
        </is>
      </c>
      <c r="B32" s="23" t="inlineStr">
        <is>
          <t xml:space="preserve">   Central Air Conditioners</t>
        </is>
      </c>
      <c r="C32" s="24" t="n">
        <v>60.295593</v>
      </c>
      <c r="D32" s="24" t="n">
        <v>61.659401</v>
      </c>
      <c r="E32" s="24" t="n">
        <v>63.049793</v>
      </c>
      <c r="F32" s="24" t="n">
        <v>64.447495</v>
      </c>
      <c r="G32" s="24" t="n">
        <v>65.83157300000001</v>
      </c>
      <c r="H32" s="24" t="n">
        <v>67.20433</v>
      </c>
      <c r="I32" s="24" t="n">
        <v>68.576195</v>
      </c>
      <c r="J32" s="24" t="n">
        <v>69.92765</v>
      </c>
      <c r="K32" s="24" t="n">
        <v>71.252106</v>
      </c>
      <c r="L32" s="24" t="n">
        <v>72.56498000000001</v>
      </c>
      <c r="M32" s="24" t="n">
        <v>73.868324</v>
      </c>
      <c r="N32" s="24" t="n">
        <v>75.178391</v>
      </c>
      <c r="O32" s="24" t="n">
        <v>76.506401</v>
      </c>
      <c r="P32" s="24" t="n">
        <v>77.81308</v>
      </c>
      <c r="Q32" s="24" t="n">
        <v>79.11011499999999</v>
      </c>
      <c r="R32" s="24" t="n">
        <v>80.40372499999999</v>
      </c>
      <c r="S32" s="24" t="n">
        <v>81.69750999999999</v>
      </c>
      <c r="T32" s="24" t="n">
        <v>82.973282</v>
      </c>
      <c r="U32" s="24" t="n">
        <v>84.23159800000001</v>
      </c>
      <c r="V32" s="24" t="n">
        <v>85.474648</v>
      </c>
      <c r="W32" s="24" t="n">
        <v>86.698898</v>
      </c>
      <c r="X32" s="24" t="n">
        <v>87.917801</v>
      </c>
      <c r="Y32" s="24" t="n">
        <v>89.132347</v>
      </c>
      <c r="Z32" s="24" t="n">
        <v>90.34008799999999</v>
      </c>
      <c r="AA32" s="24" t="n">
        <v>91.54888200000001</v>
      </c>
      <c r="AB32" s="24" t="n">
        <v>92.766747</v>
      </c>
      <c r="AC32" s="24" t="n">
        <v>93.993492</v>
      </c>
      <c r="AD32" s="24" t="n">
        <v>95.225937</v>
      </c>
      <c r="AE32" s="24" t="n">
        <v>96.458725</v>
      </c>
      <c r="AF32" s="24" t="n">
        <v>97.684113</v>
      </c>
      <c r="AG32" s="24" t="n">
        <v>98.90145099999999</v>
      </c>
      <c r="AH32" s="24" t="n">
        <v>100.108894</v>
      </c>
      <c r="AI32" s="25" t="n">
        <v>0.016489</v>
      </c>
    </row>
    <row r="33" ht="15" customHeight="1" s="74">
      <c r="A33" s="20" t="inlineStr">
        <is>
          <t>RST000:ca_RoomAirCondit</t>
        </is>
      </c>
      <c r="B33" s="23" t="inlineStr">
        <is>
          <t xml:space="preserve">   Room Air Conditioners</t>
        </is>
      </c>
      <c r="C33" s="24" t="n">
        <v>57.229259</v>
      </c>
      <c r="D33" s="24" t="n">
        <v>57.03978</v>
      </c>
      <c r="E33" s="24" t="n">
        <v>56.860523</v>
      </c>
      <c r="F33" s="24" t="n">
        <v>56.686279</v>
      </c>
      <c r="G33" s="24" t="n">
        <v>56.515057</v>
      </c>
      <c r="H33" s="24" t="n">
        <v>56.347305</v>
      </c>
      <c r="I33" s="24" t="n">
        <v>56.184425</v>
      </c>
      <c r="J33" s="24" t="n">
        <v>56.023636</v>
      </c>
      <c r="K33" s="24" t="n">
        <v>55.863304</v>
      </c>
      <c r="L33" s="24" t="n">
        <v>55.707111</v>
      </c>
      <c r="M33" s="24" t="n">
        <v>55.554379</v>
      </c>
      <c r="N33" s="24" t="n">
        <v>55.408016</v>
      </c>
      <c r="O33" s="24" t="n">
        <v>55.270405</v>
      </c>
      <c r="P33" s="24" t="n">
        <v>55.134808</v>
      </c>
      <c r="Q33" s="24" t="n">
        <v>55.001698</v>
      </c>
      <c r="R33" s="24" t="n">
        <v>54.871304</v>
      </c>
      <c r="S33" s="24" t="n">
        <v>54.743553</v>
      </c>
      <c r="T33" s="24" t="n">
        <v>54.614204</v>
      </c>
      <c r="U33" s="24" t="n">
        <v>54.483662</v>
      </c>
      <c r="V33" s="24" t="n">
        <v>54.351891</v>
      </c>
      <c r="W33" s="24" t="n">
        <v>54.219406</v>
      </c>
      <c r="X33" s="24" t="n">
        <v>54.088936</v>
      </c>
      <c r="Y33" s="24" t="n">
        <v>53.961494</v>
      </c>
      <c r="Z33" s="24" t="n">
        <v>53.837547</v>
      </c>
      <c r="AA33" s="24" t="n">
        <v>53.717728</v>
      </c>
      <c r="AB33" s="24" t="n">
        <v>53.60334</v>
      </c>
      <c r="AC33" s="24" t="n">
        <v>53.49408</v>
      </c>
      <c r="AD33" s="24" t="n">
        <v>53.389553</v>
      </c>
      <c r="AE33" s="24" t="n">
        <v>53.288292</v>
      </c>
      <c r="AF33" s="24" t="n">
        <v>53.188225</v>
      </c>
      <c r="AG33" s="24" t="n">
        <v>53.08881</v>
      </c>
      <c r="AH33" s="24" t="n">
        <v>52.989456</v>
      </c>
      <c r="AI33" s="25" t="n">
        <v>-0.00248</v>
      </c>
    </row>
    <row r="34" ht="15" customHeight="1" s="74">
      <c r="A34" s="20" t="inlineStr">
        <is>
          <t>RST000:ca_Total</t>
        </is>
      </c>
      <c r="B34" s="22" t="inlineStr">
        <is>
          <t xml:space="preserve">     Total</t>
        </is>
      </c>
      <c r="C34" s="26" t="n">
        <v>131.611374</v>
      </c>
      <c r="D34" s="26" t="n">
        <v>133.03064</v>
      </c>
      <c r="E34" s="26" t="n">
        <v>134.495895</v>
      </c>
      <c r="F34" s="26" t="n">
        <v>135.975433</v>
      </c>
      <c r="G34" s="26" t="n">
        <v>137.438507</v>
      </c>
      <c r="H34" s="26" t="n">
        <v>138.892288</v>
      </c>
      <c r="I34" s="26" t="n">
        <v>140.353088</v>
      </c>
      <c r="J34" s="26" t="n">
        <v>141.791428</v>
      </c>
      <c r="K34" s="26" t="n">
        <v>143.196289</v>
      </c>
      <c r="L34" s="26" t="n">
        <v>144.59201</v>
      </c>
      <c r="M34" s="26" t="n">
        <v>145.980255</v>
      </c>
      <c r="N34" s="26" t="n">
        <v>147.385788</v>
      </c>
      <c r="O34" s="26" t="n">
        <v>148.826385</v>
      </c>
      <c r="P34" s="26" t="n">
        <v>150.242599</v>
      </c>
      <c r="Q34" s="26" t="n">
        <v>151.651077</v>
      </c>
      <c r="R34" s="26" t="n">
        <v>153.06105</v>
      </c>
      <c r="S34" s="26" t="n">
        <v>154.477722</v>
      </c>
      <c r="T34" s="26" t="n">
        <v>155.872833</v>
      </c>
      <c r="U34" s="26" t="n">
        <v>157.246552</v>
      </c>
      <c r="V34" s="26" t="n">
        <v>158.598816</v>
      </c>
      <c r="W34" s="26" t="n">
        <v>159.92572</v>
      </c>
      <c r="X34" s="26" t="n">
        <v>161.248947</v>
      </c>
      <c r="Y34" s="26" t="n">
        <v>162.569946</v>
      </c>
      <c r="Z34" s="26" t="n">
        <v>163.88652</v>
      </c>
      <c r="AA34" s="26" t="n">
        <v>165.210449</v>
      </c>
      <c r="AB34" s="26" t="n">
        <v>166.553436</v>
      </c>
      <c r="AC34" s="26" t="n">
        <v>167.915131</v>
      </c>
      <c r="AD34" s="26" t="n">
        <v>169.290833</v>
      </c>
      <c r="AE34" s="26" t="n">
        <v>170.673615</v>
      </c>
      <c r="AF34" s="26" t="n">
        <v>172.050812</v>
      </c>
      <c r="AG34" s="26" t="n">
        <v>173.421066</v>
      </c>
      <c r="AH34" s="26" t="n">
        <v>174.781006</v>
      </c>
      <c r="AI34" s="27" t="n">
        <v>0.009193</v>
      </c>
    </row>
    <row r="35" ht="15.75" customHeight="1" s="74">
      <c r="A35" s="2" t="n"/>
      <c r="B35" s="2" t="n"/>
    </row>
    <row r="36" ht="15" customHeight="1" s="74">
      <c r="A36" s="2" t="n"/>
      <c r="B36" s="22" t="inlineStr">
        <is>
          <t xml:space="preserve"> Water Heaters (million units)</t>
        </is>
      </c>
    </row>
    <row r="37" ht="15" customHeight="1" s="74">
      <c r="A37" s="20" t="inlineStr">
        <is>
          <t>RST000:da_Electric</t>
        </is>
      </c>
      <c r="B37" s="23" t="inlineStr">
        <is>
          <t xml:space="preserve">   Electric</t>
        </is>
      </c>
      <c r="C37" s="24" t="n">
        <v>57.77692</v>
      </c>
      <c r="D37" s="24" t="n">
        <v>58.061268</v>
      </c>
      <c r="E37" s="24" t="n">
        <v>58.384941</v>
      </c>
      <c r="F37" s="24" t="n">
        <v>58.789562</v>
      </c>
      <c r="G37" s="24" t="n">
        <v>59.15506</v>
      </c>
      <c r="H37" s="24" t="n">
        <v>59.481335</v>
      </c>
      <c r="I37" s="24" t="n">
        <v>59.774948</v>
      </c>
      <c r="J37" s="24" t="n">
        <v>60.028831</v>
      </c>
      <c r="K37" s="24" t="n">
        <v>60.256699</v>
      </c>
      <c r="L37" s="24" t="n">
        <v>60.472145</v>
      </c>
      <c r="M37" s="24" t="n">
        <v>60.676491</v>
      </c>
      <c r="N37" s="24" t="n">
        <v>60.882179</v>
      </c>
      <c r="O37" s="24" t="n">
        <v>61.122875</v>
      </c>
      <c r="P37" s="24" t="n">
        <v>61.374146</v>
      </c>
      <c r="Q37" s="24" t="n">
        <v>61.63382</v>
      </c>
      <c r="R37" s="24" t="n">
        <v>61.904572</v>
      </c>
      <c r="S37" s="24" t="n">
        <v>62.190685</v>
      </c>
      <c r="T37" s="24" t="n">
        <v>62.476959</v>
      </c>
      <c r="U37" s="24" t="n">
        <v>62.766125</v>
      </c>
      <c r="V37" s="24" t="n">
        <v>63.053997</v>
      </c>
      <c r="W37" s="24" t="n">
        <v>63.330315</v>
      </c>
      <c r="X37" s="24" t="n">
        <v>63.604317</v>
      </c>
      <c r="Y37" s="24" t="n">
        <v>63.875179</v>
      </c>
      <c r="Z37" s="24" t="n">
        <v>64.142838</v>
      </c>
      <c r="AA37" s="24" t="n">
        <v>64.414886</v>
      </c>
      <c r="AB37" s="24" t="n">
        <v>64.693832</v>
      </c>
      <c r="AC37" s="24" t="n">
        <v>64.982079</v>
      </c>
      <c r="AD37" s="24" t="n">
        <v>65.279572</v>
      </c>
      <c r="AE37" s="24" t="n">
        <v>65.582825</v>
      </c>
      <c r="AF37" s="24" t="n">
        <v>65.888924</v>
      </c>
      <c r="AG37" s="24" t="n">
        <v>66.198189</v>
      </c>
      <c r="AH37" s="24" t="n">
        <v>66.50823200000001</v>
      </c>
      <c r="AI37" s="25" t="n">
        <v>0.00455</v>
      </c>
    </row>
    <row r="38" ht="15" customHeight="1" s="74">
      <c r="A38" s="20" t="inlineStr">
        <is>
          <t>RST000:da_NaturalGas</t>
        </is>
      </c>
      <c r="B38" s="23" t="inlineStr">
        <is>
          <t xml:space="preserve">   Natural Gas</t>
        </is>
      </c>
      <c r="C38" s="24" t="n">
        <v>59.147831</v>
      </c>
      <c r="D38" s="24" t="n">
        <v>59.597881</v>
      </c>
      <c r="E38" s="24" t="n">
        <v>60.112255</v>
      </c>
      <c r="F38" s="24" t="n">
        <v>60.690266</v>
      </c>
      <c r="G38" s="24" t="n">
        <v>61.282101</v>
      </c>
      <c r="H38" s="24" t="n">
        <v>61.890842</v>
      </c>
      <c r="I38" s="24" t="n">
        <v>62.527203</v>
      </c>
      <c r="J38" s="24" t="n">
        <v>63.169868</v>
      </c>
      <c r="K38" s="24" t="n">
        <v>63.795467</v>
      </c>
      <c r="L38" s="24" t="n">
        <v>64.414894</v>
      </c>
      <c r="M38" s="24" t="n">
        <v>65.030205</v>
      </c>
      <c r="N38" s="24" t="n">
        <v>65.651466</v>
      </c>
      <c r="O38" s="24" t="n">
        <v>66.281273</v>
      </c>
      <c r="P38" s="24" t="n">
        <v>66.88146999999999</v>
      </c>
      <c r="Q38" s="24" t="n">
        <v>67.46946</v>
      </c>
      <c r="R38" s="24" t="n">
        <v>68.05191000000001</v>
      </c>
      <c r="S38" s="24" t="n">
        <v>68.629738</v>
      </c>
      <c r="T38" s="24" t="n">
        <v>69.18956799999999</v>
      </c>
      <c r="U38" s="24" t="n">
        <v>69.728752</v>
      </c>
      <c r="V38" s="24" t="n">
        <v>70.25363900000001</v>
      </c>
      <c r="W38" s="24" t="n">
        <v>70.7677</v>
      </c>
      <c r="X38" s="24" t="n">
        <v>71.28134900000001</v>
      </c>
      <c r="Y38" s="24" t="n">
        <v>71.796104</v>
      </c>
      <c r="Z38" s="24" t="n">
        <v>72.30843400000001</v>
      </c>
      <c r="AA38" s="24" t="n">
        <v>72.822861</v>
      </c>
      <c r="AB38" s="24" t="n">
        <v>73.349304</v>
      </c>
      <c r="AC38" s="24" t="n">
        <v>73.88550600000001</v>
      </c>
      <c r="AD38" s="24" t="n">
        <v>74.42662</v>
      </c>
      <c r="AE38" s="24" t="n">
        <v>74.968903</v>
      </c>
      <c r="AF38" s="24" t="n">
        <v>75.503944</v>
      </c>
      <c r="AG38" s="24" t="n">
        <v>76.030334</v>
      </c>
      <c r="AH38" s="24" t="n">
        <v>76.547752</v>
      </c>
      <c r="AI38" s="25" t="n">
        <v>0.008352999999999999</v>
      </c>
    </row>
    <row r="39" ht="15" customHeight="1" s="74">
      <c r="A39" s="20" t="inlineStr">
        <is>
          <t>RST000:da_Distillate</t>
        </is>
      </c>
      <c r="B39" s="23" t="inlineStr">
        <is>
          <t xml:space="preserve">   Distillate Fuel Oil</t>
        </is>
      </c>
      <c r="C39" s="24" t="n">
        <v>2.667263</v>
      </c>
      <c r="D39" s="24" t="n">
        <v>2.603523</v>
      </c>
      <c r="E39" s="24" t="n">
        <v>2.545306</v>
      </c>
      <c r="F39" s="24" t="n">
        <v>2.49069</v>
      </c>
      <c r="G39" s="24" t="n">
        <v>2.439249</v>
      </c>
      <c r="H39" s="24" t="n">
        <v>2.391917</v>
      </c>
      <c r="I39" s="24" t="n">
        <v>2.349075</v>
      </c>
      <c r="J39" s="24" t="n">
        <v>2.309606</v>
      </c>
      <c r="K39" s="24" t="n">
        <v>2.274331</v>
      </c>
      <c r="L39" s="24" t="n">
        <v>2.241606</v>
      </c>
      <c r="M39" s="24" t="n">
        <v>2.211326</v>
      </c>
      <c r="N39" s="24" t="n">
        <v>2.184417</v>
      </c>
      <c r="O39" s="24" t="n">
        <v>2.155305</v>
      </c>
      <c r="P39" s="24" t="n">
        <v>2.124393</v>
      </c>
      <c r="Q39" s="24" t="n">
        <v>2.09232</v>
      </c>
      <c r="R39" s="24" t="n">
        <v>2.059506</v>
      </c>
      <c r="S39" s="24" t="n">
        <v>2.025831</v>
      </c>
      <c r="T39" s="24" t="n">
        <v>1.99191</v>
      </c>
      <c r="U39" s="24" t="n">
        <v>1.958188</v>
      </c>
      <c r="V39" s="24" t="n">
        <v>1.92532</v>
      </c>
      <c r="W39" s="24" t="n">
        <v>1.893151</v>
      </c>
      <c r="X39" s="24" t="n">
        <v>1.861918</v>
      </c>
      <c r="Y39" s="24" t="n">
        <v>1.831705</v>
      </c>
      <c r="Z39" s="24" t="n">
        <v>1.802395</v>
      </c>
      <c r="AA39" s="24" t="n">
        <v>1.773933</v>
      </c>
      <c r="AB39" s="24" t="n">
        <v>1.746421</v>
      </c>
      <c r="AC39" s="24" t="n">
        <v>1.719587</v>
      </c>
      <c r="AD39" s="24" t="n">
        <v>1.693554</v>
      </c>
      <c r="AE39" s="24" t="n">
        <v>1.668129</v>
      </c>
      <c r="AF39" s="24" t="n">
        <v>1.643087</v>
      </c>
      <c r="AG39" s="24" t="n">
        <v>1.618444</v>
      </c>
      <c r="AH39" s="24" t="n">
        <v>1.59422</v>
      </c>
      <c r="AI39" s="25" t="n">
        <v>-0.016465</v>
      </c>
    </row>
    <row r="40" ht="15" customHeight="1" s="74">
      <c r="A40" s="20" t="inlineStr">
        <is>
          <t>RST000:da_LiquefiedPetr</t>
        </is>
      </c>
      <c r="B40" s="23" t="inlineStr">
        <is>
          <t xml:space="preserve">   Propane</t>
        </is>
      </c>
      <c r="C40" s="24" t="n">
        <v>4.054432</v>
      </c>
      <c r="D40" s="24" t="n">
        <v>3.917233</v>
      </c>
      <c r="E40" s="24" t="n">
        <v>3.794162</v>
      </c>
      <c r="F40" s="24" t="n">
        <v>3.67997</v>
      </c>
      <c r="G40" s="24" t="n">
        <v>3.575482</v>
      </c>
      <c r="H40" s="24" t="n">
        <v>3.481421</v>
      </c>
      <c r="I40" s="24" t="n">
        <v>3.396227</v>
      </c>
      <c r="J40" s="24" t="n">
        <v>3.318289</v>
      </c>
      <c r="K40" s="24" t="n">
        <v>3.247227</v>
      </c>
      <c r="L40" s="24" t="n">
        <v>3.184456</v>
      </c>
      <c r="M40" s="24" t="n">
        <v>3.130006</v>
      </c>
      <c r="N40" s="24" t="n">
        <v>3.08526</v>
      </c>
      <c r="O40" s="24" t="n">
        <v>3.037449</v>
      </c>
      <c r="P40" s="24" t="n">
        <v>2.986627</v>
      </c>
      <c r="Q40" s="24" t="n">
        <v>2.933553</v>
      </c>
      <c r="R40" s="24" t="n">
        <v>2.87899</v>
      </c>
      <c r="S40" s="24" t="n">
        <v>2.823535</v>
      </c>
      <c r="T40" s="24" t="n">
        <v>2.767116</v>
      </c>
      <c r="U40" s="24" t="n">
        <v>2.710675</v>
      </c>
      <c r="V40" s="24" t="n">
        <v>2.654821</v>
      </c>
      <c r="W40" s="24" t="n">
        <v>2.600344</v>
      </c>
      <c r="X40" s="24" t="n">
        <v>2.548141</v>
      </c>
      <c r="Y40" s="24" t="n">
        <v>2.498827</v>
      </c>
      <c r="Z40" s="24" t="n">
        <v>2.452639</v>
      </c>
      <c r="AA40" s="24" t="n">
        <v>2.409387</v>
      </c>
      <c r="AB40" s="24" t="n">
        <v>2.369117</v>
      </c>
      <c r="AC40" s="24" t="n">
        <v>2.331517</v>
      </c>
      <c r="AD40" s="24" t="n">
        <v>2.296359</v>
      </c>
      <c r="AE40" s="24" t="n">
        <v>2.263025</v>
      </c>
      <c r="AF40" s="24" t="n">
        <v>2.230829</v>
      </c>
      <c r="AG40" s="24" t="n">
        <v>2.199524</v>
      </c>
      <c r="AH40" s="24" t="n">
        <v>2.168891</v>
      </c>
      <c r="AI40" s="25" t="n">
        <v>-0.019978</v>
      </c>
    </row>
    <row r="41" ht="15" customHeight="1" s="74">
      <c r="A41" s="20" t="inlineStr">
        <is>
          <t>RST000:da_SolarThermal</t>
        </is>
      </c>
      <c r="B41" s="23" t="inlineStr">
        <is>
          <t xml:space="preserve">   Solar Thermal</t>
        </is>
      </c>
      <c r="C41" s="24" t="n">
        <v>1.385749</v>
      </c>
      <c r="D41" s="24" t="n">
        <v>1.596357</v>
      </c>
      <c r="E41" s="24" t="n">
        <v>1.7366</v>
      </c>
      <c r="F41" s="24" t="n">
        <v>1.742218</v>
      </c>
      <c r="G41" s="24" t="n">
        <v>1.749403</v>
      </c>
      <c r="H41" s="24" t="n">
        <v>1.757158</v>
      </c>
      <c r="I41" s="24" t="n">
        <v>1.765751</v>
      </c>
      <c r="J41" s="24" t="n">
        <v>1.775386</v>
      </c>
      <c r="K41" s="24" t="n">
        <v>1.784893</v>
      </c>
      <c r="L41" s="24" t="n">
        <v>1.794149</v>
      </c>
      <c r="M41" s="24" t="n">
        <v>1.803127</v>
      </c>
      <c r="N41" s="24" t="n">
        <v>1.812447</v>
      </c>
      <c r="O41" s="24" t="n">
        <v>1.821889</v>
      </c>
      <c r="P41" s="24" t="n">
        <v>1.831357</v>
      </c>
      <c r="Q41" s="24" t="n">
        <v>1.840997</v>
      </c>
      <c r="R41" s="24" t="n">
        <v>1.850569</v>
      </c>
      <c r="S41" s="24" t="n">
        <v>1.859805</v>
      </c>
      <c r="T41" s="24" t="n">
        <v>1.868647</v>
      </c>
      <c r="U41" s="24" t="n">
        <v>1.876999</v>
      </c>
      <c r="V41" s="24" t="n">
        <v>1.884823</v>
      </c>
      <c r="W41" s="24" t="n">
        <v>1.892876</v>
      </c>
      <c r="X41" s="24" t="n">
        <v>1.901063</v>
      </c>
      <c r="Y41" s="24" t="n">
        <v>1.909339</v>
      </c>
      <c r="Z41" s="24" t="n">
        <v>1.917639</v>
      </c>
      <c r="AA41" s="24" t="n">
        <v>1.925973</v>
      </c>
      <c r="AB41" s="24" t="n">
        <v>1.934291</v>
      </c>
      <c r="AC41" s="24" t="n">
        <v>1.942563</v>
      </c>
      <c r="AD41" s="24" t="n">
        <v>1.950774</v>
      </c>
      <c r="AE41" s="24" t="n">
        <v>1.958952</v>
      </c>
      <c r="AF41" s="24" t="n">
        <v>1.967002</v>
      </c>
      <c r="AG41" s="24" t="n">
        <v>1.974911</v>
      </c>
      <c r="AH41" s="24" t="n">
        <v>1.982684</v>
      </c>
      <c r="AI41" s="25" t="n">
        <v>0.011622</v>
      </c>
    </row>
    <row r="42" ht="15" customHeight="1" s="74">
      <c r="A42" s="20" t="inlineStr">
        <is>
          <t>RST000:da_Total</t>
        </is>
      </c>
      <c r="B42" s="22" t="inlineStr">
        <is>
          <t xml:space="preserve">     Total</t>
        </is>
      </c>
      <c r="C42" s="26" t="n">
        <v>125.032196</v>
      </c>
      <c r="D42" s="26" t="n">
        <v>125.776268</v>
      </c>
      <c r="E42" s="26" t="n">
        <v>126.573257</v>
      </c>
      <c r="F42" s="26" t="n">
        <v>127.392708</v>
      </c>
      <c r="G42" s="26" t="n">
        <v>128.201294</v>
      </c>
      <c r="H42" s="26" t="n">
        <v>129.00267</v>
      </c>
      <c r="I42" s="26" t="n">
        <v>129.813202</v>
      </c>
      <c r="J42" s="26" t="n">
        <v>130.60199</v>
      </c>
      <c r="K42" s="26" t="n">
        <v>131.358627</v>
      </c>
      <c r="L42" s="26" t="n">
        <v>132.107239</v>
      </c>
      <c r="M42" s="26" t="n">
        <v>132.851166</v>
      </c>
      <c r="N42" s="26" t="n">
        <v>133.615784</v>
      </c>
      <c r="O42" s="26" t="n">
        <v>134.418777</v>
      </c>
      <c r="P42" s="26" t="n">
        <v>135.197998</v>
      </c>
      <c r="Q42" s="26" t="n">
        <v>135.970139</v>
      </c>
      <c r="R42" s="26" t="n">
        <v>136.745544</v>
      </c>
      <c r="S42" s="26" t="n">
        <v>137.529587</v>
      </c>
      <c r="T42" s="26" t="n">
        <v>138.29422</v>
      </c>
      <c r="U42" s="26" t="n">
        <v>139.040741</v>
      </c>
      <c r="V42" s="26" t="n">
        <v>139.772598</v>
      </c>
      <c r="W42" s="26" t="n">
        <v>140.484406</v>
      </c>
      <c r="X42" s="26" t="n">
        <v>141.196793</v>
      </c>
      <c r="Y42" s="26" t="n">
        <v>141.911148</v>
      </c>
      <c r="Z42" s="26" t="n">
        <v>142.623932</v>
      </c>
      <c r="AA42" s="26" t="n">
        <v>143.347046</v>
      </c>
      <c r="AB42" s="26" t="n">
        <v>144.092957</v>
      </c>
      <c r="AC42" s="26" t="n">
        <v>144.861252</v>
      </c>
      <c r="AD42" s="26" t="n">
        <v>145.646881</v>
      </c>
      <c r="AE42" s="26" t="n">
        <v>146.441833</v>
      </c>
      <c r="AF42" s="26" t="n">
        <v>147.23378</v>
      </c>
      <c r="AG42" s="26" t="n">
        <v>148.021393</v>
      </c>
      <c r="AH42" s="26" t="n">
        <v>148.801773</v>
      </c>
      <c r="AI42" s="27" t="n">
        <v>0.00563</v>
      </c>
    </row>
    <row r="43" ht="15.75" customHeight="1" s="74">
      <c r="A43" s="2" t="n"/>
      <c r="B43" s="2" t="n"/>
    </row>
    <row r="44" ht="15" customHeight="1" s="74">
      <c r="A44" s="2" t="n"/>
      <c r="B44" s="22" t="inlineStr">
        <is>
          <t xml:space="preserve"> Cooking Equipment (million units) 1/</t>
        </is>
      </c>
    </row>
    <row r="45" ht="15" customHeight="1" s="74">
      <c r="A45" s="20" t="inlineStr">
        <is>
          <t>RST000:ea_Electric</t>
        </is>
      </c>
      <c r="B45" s="23" t="inlineStr">
        <is>
          <t xml:space="preserve">   Electric</t>
        </is>
      </c>
      <c r="C45" s="24" t="n">
        <v>94.697243</v>
      </c>
      <c r="D45" s="24" t="n">
        <v>95.041267</v>
      </c>
      <c r="E45" s="24" t="n">
        <v>95.412437</v>
      </c>
      <c r="F45" s="24" t="n">
        <v>95.78964999999999</v>
      </c>
      <c r="G45" s="24" t="n">
        <v>96.150803</v>
      </c>
      <c r="H45" s="24" t="n">
        <v>96.498177</v>
      </c>
      <c r="I45" s="24" t="n">
        <v>96.84301000000001</v>
      </c>
      <c r="J45" s="24" t="n">
        <v>97.16231500000001</v>
      </c>
      <c r="K45" s="24" t="n">
        <v>97.446716</v>
      </c>
      <c r="L45" s="24" t="n">
        <v>97.712219</v>
      </c>
      <c r="M45" s="24" t="n">
        <v>97.93634</v>
      </c>
      <c r="N45" s="24" t="n">
        <v>98.135002</v>
      </c>
      <c r="O45" s="24" t="n">
        <v>98.312241</v>
      </c>
      <c r="P45" s="24" t="n">
        <v>98.421753</v>
      </c>
      <c r="Q45" s="24" t="n">
        <v>98.555199</v>
      </c>
      <c r="R45" s="24" t="n">
        <v>98.74443100000001</v>
      </c>
      <c r="S45" s="24" t="n">
        <v>98.996002</v>
      </c>
      <c r="T45" s="24" t="n">
        <v>99.30027</v>
      </c>
      <c r="U45" s="24" t="n">
        <v>99.66250599999999</v>
      </c>
      <c r="V45" s="24" t="n">
        <v>100.004723</v>
      </c>
      <c r="W45" s="24" t="n">
        <v>100.323524</v>
      </c>
      <c r="X45" s="24" t="n">
        <v>100.632057</v>
      </c>
      <c r="Y45" s="24" t="n">
        <v>100.930641</v>
      </c>
      <c r="Z45" s="24" t="n">
        <v>101.216476</v>
      </c>
      <c r="AA45" s="24" t="n">
        <v>101.497566</v>
      </c>
      <c r="AB45" s="24" t="n">
        <v>101.78273</v>
      </c>
      <c r="AC45" s="24" t="n">
        <v>102.073219</v>
      </c>
      <c r="AD45" s="24" t="n">
        <v>102.368286</v>
      </c>
      <c r="AE45" s="24" t="n">
        <v>102.666443</v>
      </c>
      <c r="AF45" s="24" t="n">
        <v>102.963783</v>
      </c>
      <c r="AG45" s="24" t="n">
        <v>103.263741</v>
      </c>
      <c r="AH45" s="24" t="n">
        <v>103.568619</v>
      </c>
      <c r="AI45" s="25" t="n">
        <v>0.002893</v>
      </c>
    </row>
    <row r="46" ht="15" customHeight="1" s="74">
      <c r="A46" s="20" t="inlineStr">
        <is>
          <t>RST000:ea_NaturalGas</t>
        </is>
      </c>
      <c r="B46" s="23" t="inlineStr">
        <is>
          <t xml:space="preserve">   Natural Gas</t>
        </is>
      </c>
      <c r="C46" s="24" t="n">
        <v>47.028522</v>
      </c>
      <c r="D46" s="24" t="n">
        <v>47.385925</v>
      </c>
      <c r="E46" s="24" t="n">
        <v>47.769127</v>
      </c>
      <c r="F46" s="24" t="n">
        <v>48.170307</v>
      </c>
      <c r="G46" s="24" t="n">
        <v>48.578316</v>
      </c>
      <c r="H46" s="24" t="n">
        <v>48.994232</v>
      </c>
      <c r="I46" s="24" t="n">
        <v>49.423622</v>
      </c>
      <c r="J46" s="24" t="n">
        <v>49.859921</v>
      </c>
      <c r="K46" s="24" t="n">
        <v>50.303371</v>
      </c>
      <c r="L46" s="24" t="n">
        <v>50.760803</v>
      </c>
      <c r="M46" s="24" t="n">
        <v>51.258305</v>
      </c>
      <c r="N46" s="24" t="n">
        <v>51.804512</v>
      </c>
      <c r="O46" s="24" t="n">
        <v>52.411884</v>
      </c>
      <c r="P46" s="24" t="n">
        <v>53.064503</v>
      </c>
      <c r="Q46" s="24" t="n">
        <v>53.681786</v>
      </c>
      <c r="R46" s="24" t="n">
        <v>54.242584</v>
      </c>
      <c r="S46" s="24" t="n">
        <v>54.745884</v>
      </c>
      <c r="T46" s="24" t="n">
        <v>55.174152</v>
      </c>
      <c r="U46" s="24" t="n">
        <v>55.523457</v>
      </c>
      <c r="V46" s="24" t="n">
        <v>55.881454</v>
      </c>
      <c r="W46" s="24" t="n">
        <v>56.246067</v>
      </c>
      <c r="X46" s="24" t="n">
        <v>56.62413</v>
      </c>
      <c r="Y46" s="24" t="n">
        <v>57.016273</v>
      </c>
      <c r="Z46" s="24" t="n">
        <v>57.420925</v>
      </c>
      <c r="AA46" s="24" t="n">
        <v>57.841583</v>
      </c>
      <c r="AB46" s="24" t="n">
        <v>58.280731</v>
      </c>
      <c r="AC46" s="24" t="n">
        <v>58.735767</v>
      </c>
      <c r="AD46" s="24" t="n">
        <v>59.201557</v>
      </c>
      <c r="AE46" s="24" t="n">
        <v>59.671303</v>
      </c>
      <c r="AF46" s="24" t="n">
        <v>60.137188</v>
      </c>
      <c r="AG46" s="24" t="n">
        <v>60.594772</v>
      </c>
      <c r="AH46" s="24" t="n">
        <v>61.039829</v>
      </c>
      <c r="AI46" s="25" t="n">
        <v>0.008448000000000001</v>
      </c>
    </row>
    <row r="47" ht="15" customHeight="1" s="74">
      <c r="A47" s="20" t="inlineStr">
        <is>
          <t>RST000:ea_LiquefiedPetr</t>
        </is>
      </c>
      <c r="B47" s="23" t="inlineStr">
        <is>
          <t xml:space="preserve">   Propane</t>
        </is>
      </c>
      <c r="C47" s="24" t="n">
        <v>7.028307</v>
      </c>
      <c r="D47" s="24" t="n">
        <v>6.982276</v>
      </c>
      <c r="E47" s="24" t="n">
        <v>6.936965</v>
      </c>
      <c r="F47" s="24" t="n">
        <v>6.890751</v>
      </c>
      <c r="G47" s="24" t="n">
        <v>6.843675</v>
      </c>
      <c r="H47" s="24" t="n">
        <v>6.795848</v>
      </c>
      <c r="I47" s="24" t="n">
        <v>6.746981</v>
      </c>
      <c r="J47" s="24" t="n">
        <v>6.695588</v>
      </c>
      <c r="K47" s="24" t="n">
        <v>6.640444</v>
      </c>
      <c r="L47" s="24" t="n">
        <v>6.582862</v>
      </c>
      <c r="M47" s="24" t="n">
        <v>6.522459</v>
      </c>
      <c r="N47" s="24" t="n">
        <v>6.460054</v>
      </c>
      <c r="O47" s="24" t="n">
        <v>6.396976</v>
      </c>
      <c r="P47" s="24" t="n">
        <v>6.333096</v>
      </c>
      <c r="Q47" s="24" t="n">
        <v>6.274085</v>
      </c>
      <c r="R47" s="24" t="n">
        <v>6.219576</v>
      </c>
      <c r="S47" s="24" t="n">
        <v>6.169455</v>
      </c>
      <c r="T47" s="24" t="n">
        <v>6.122743</v>
      </c>
      <c r="U47" s="24" t="n">
        <v>6.079418</v>
      </c>
      <c r="V47" s="24" t="n">
        <v>6.033235</v>
      </c>
      <c r="W47" s="24" t="n">
        <v>5.984375</v>
      </c>
      <c r="X47" s="24" t="n">
        <v>5.933338</v>
      </c>
      <c r="Y47" s="24" t="n">
        <v>5.880658</v>
      </c>
      <c r="Z47" s="24" t="n">
        <v>5.827017</v>
      </c>
      <c r="AA47" s="24" t="n">
        <v>5.77297</v>
      </c>
      <c r="AB47" s="24" t="n">
        <v>5.719609</v>
      </c>
      <c r="AC47" s="24" t="n">
        <v>5.667819</v>
      </c>
      <c r="AD47" s="24" t="n">
        <v>5.618483</v>
      </c>
      <c r="AE47" s="24" t="n">
        <v>5.57176</v>
      </c>
      <c r="AF47" s="24" t="n">
        <v>5.527257</v>
      </c>
      <c r="AG47" s="24" t="n">
        <v>5.484421</v>
      </c>
      <c r="AH47" s="24" t="n">
        <v>5.442347</v>
      </c>
      <c r="AI47" s="25" t="n">
        <v>-0.008215999999999999</v>
      </c>
    </row>
    <row r="48" ht="15" customHeight="1" s="74">
      <c r="A48" s="20" t="inlineStr">
        <is>
          <t>RST000:ea_Total</t>
        </is>
      </c>
      <c r="B48" s="22" t="inlineStr">
        <is>
          <t xml:space="preserve">     Total</t>
        </is>
      </c>
      <c r="C48" s="26" t="n">
        <v>148.754074</v>
      </c>
      <c r="D48" s="26" t="n">
        <v>149.409454</v>
      </c>
      <c r="E48" s="26" t="n">
        <v>150.11853</v>
      </c>
      <c r="F48" s="26" t="n">
        <v>150.850708</v>
      </c>
      <c r="G48" s="26" t="n">
        <v>151.5728</v>
      </c>
      <c r="H48" s="26" t="n">
        <v>152.288254</v>
      </c>
      <c r="I48" s="26" t="n">
        <v>153.013611</v>
      </c>
      <c r="J48" s="26" t="n">
        <v>153.717819</v>
      </c>
      <c r="K48" s="26" t="n">
        <v>154.390533</v>
      </c>
      <c r="L48" s="26" t="n">
        <v>155.055878</v>
      </c>
      <c r="M48" s="26" t="n">
        <v>155.717102</v>
      </c>
      <c r="N48" s="26" t="n">
        <v>156.399567</v>
      </c>
      <c r="O48" s="26" t="n">
        <v>157.121094</v>
      </c>
      <c r="P48" s="26" t="n">
        <v>157.819351</v>
      </c>
      <c r="Q48" s="26" t="n">
        <v>158.511063</v>
      </c>
      <c r="R48" s="26" t="n">
        <v>159.206589</v>
      </c>
      <c r="S48" s="26" t="n">
        <v>159.911331</v>
      </c>
      <c r="T48" s="26" t="n">
        <v>160.597168</v>
      </c>
      <c r="U48" s="26" t="n">
        <v>161.265381</v>
      </c>
      <c r="V48" s="26" t="n">
        <v>161.919403</v>
      </c>
      <c r="W48" s="26" t="n">
        <v>162.55397</v>
      </c>
      <c r="X48" s="26" t="n">
        <v>163.189529</v>
      </c>
      <c r="Y48" s="26" t="n">
        <v>163.827576</v>
      </c>
      <c r="Z48" s="26" t="n">
        <v>164.464417</v>
      </c>
      <c r="AA48" s="26" t="n">
        <v>165.112106</v>
      </c>
      <c r="AB48" s="26" t="n">
        <v>165.783066</v>
      </c>
      <c r="AC48" s="26" t="n">
        <v>166.476807</v>
      </c>
      <c r="AD48" s="26" t="n">
        <v>167.188324</v>
      </c>
      <c r="AE48" s="26" t="n">
        <v>167.9095</v>
      </c>
      <c r="AF48" s="26" t="n">
        <v>168.62822</v>
      </c>
      <c r="AG48" s="26" t="n">
        <v>169.342941</v>
      </c>
      <c r="AH48" s="26" t="n">
        <v>170.050797</v>
      </c>
      <c r="AI48" s="27" t="n">
        <v>0.004326</v>
      </c>
    </row>
    <row r="49" ht="15.75" customHeight="1" s="74">
      <c r="A49" s="2" t="n"/>
      <c r="B49" s="2" t="n"/>
    </row>
    <row r="50" ht="15" customHeight="1" s="74">
      <c r="A50" s="2" t="n"/>
      <c r="B50" s="22" t="inlineStr">
        <is>
          <t xml:space="preserve"> Clothes Dryers (million units)</t>
        </is>
      </c>
    </row>
    <row r="51" ht="15" customHeight="1" s="74">
      <c r="A51" s="20" t="inlineStr">
        <is>
          <t>RST000:fa_Electric</t>
        </is>
      </c>
      <c r="B51" s="23" t="inlineStr">
        <is>
          <t xml:space="preserve">   Electric</t>
        </is>
      </c>
      <c r="C51" s="24" t="n">
        <v>80.303032</v>
      </c>
      <c r="D51" s="24" t="n">
        <v>81.622192</v>
      </c>
      <c r="E51" s="24" t="n">
        <v>82.993523</v>
      </c>
      <c r="F51" s="24" t="n">
        <v>84.367294</v>
      </c>
      <c r="G51" s="24" t="n">
        <v>85.714905</v>
      </c>
      <c r="H51" s="24" t="n">
        <v>87.03672</v>
      </c>
      <c r="I51" s="24" t="n">
        <v>88.366722</v>
      </c>
      <c r="J51" s="24" t="n">
        <v>89.649643</v>
      </c>
      <c r="K51" s="24" t="n">
        <v>90.88884</v>
      </c>
      <c r="L51" s="24" t="n">
        <v>92.120407</v>
      </c>
      <c r="M51" s="24" t="n">
        <v>93.345726</v>
      </c>
      <c r="N51" s="24" t="n">
        <v>94.588264</v>
      </c>
      <c r="O51" s="24" t="n">
        <v>95.864082</v>
      </c>
      <c r="P51" s="24" t="n">
        <v>97.119865</v>
      </c>
      <c r="Q51" s="24" t="n">
        <v>98.37470999999999</v>
      </c>
      <c r="R51" s="24" t="n">
        <v>99.683426</v>
      </c>
      <c r="S51" s="24" t="n">
        <v>101.012856</v>
      </c>
      <c r="T51" s="24" t="n">
        <v>102.336426</v>
      </c>
      <c r="U51" s="24" t="n">
        <v>103.62841</v>
      </c>
      <c r="V51" s="24" t="n">
        <v>104.892166</v>
      </c>
      <c r="W51" s="24" t="n">
        <v>106.127586</v>
      </c>
      <c r="X51" s="24" t="n">
        <v>107.352921</v>
      </c>
      <c r="Y51" s="24" t="n">
        <v>108.570366</v>
      </c>
      <c r="Z51" s="24" t="n">
        <v>109.777863</v>
      </c>
      <c r="AA51" s="24" t="n">
        <v>110.989471</v>
      </c>
      <c r="AB51" s="24" t="n">
        <v>112.218643</v>
      </c>
      <c r="AC51" s="24" t="n">
        <v>113.46685</v>
      </c>
      <c r="AD51" s="24" t="n">
        <v>114.730362</v>
      </c>
      <c r="AE51" s="24" t="n">
        <v>116.000992</v>
      </c>
      <c r="AF51" s="24" t="n">
        <v>117.267563</v>
      </c>
      <c r="AG51" s="24" t="n">
        <v>118.528862</v>
      </c>
      <c r="AH51" s="24" t="n">
        <v>119.78109</v>
      </c>
      <c r="AI51" s="25" t="n">
        <v>0.012982</v>
      </c>
    </row>
    <row r="52" ht="15" customHeight="1" s="74">
      <c r="A52" s="20" t="inlineStr">
        <is>
          <t>RST000:fa_NaturalGas</t>
        </is>
      </c>
      <c r="B52" s="23" t="inlineStr">
        <is>
          <t xml:space="preserve">   Natural Gas</t>
        </is>
      </c>
      <c r="C52" s="24" t="n">
        <v>18.848251</v>
      </c>
      <c r="D52" s="24" t="n">
        <v>19.110733</v>
      </c>
      <c r="E52" s="24" t="n">
        <v>19.387709</v>
      </c>
      <c r="F52" s="24" t="n">
        <v>19.677948</v>
      </c>
      <c r="G52" s="24" t="n">
        <v>19.978039</v>
      </c>
      <c r="H52" s="24" t="n">
        <v>20.291042</v>
      </c>
      <c r="I52" s="24" t="n">
        <v>20.621847</v>
      </c>
      <c r="J52" s="24" t="n">
        <v>20.971992</v>
      </c>
      <c r="K52" s="24" t="n">
        <v>21.341816</v>
      </c>
      <c r="L52" s="24" t="n">
        <v>21.704514</v>
      </c>
      <c r="M52" s="24" t="n">
        <v>22.062443</v>
      </c>
      <c r="N52" s="24" t="n">
        <v>22.417898</v>
      </c>
      <c r="O52" s="24" t="n">
        <v>22.772589</v>
      </c>
      <c r="P52" s="24" t="n">
        <v>23.117355</v>
      </c>
      <c r="Q52" s="24" t="n">
        <v>23.454088</v>
      </c>
      <c r="R52" s="24" t="n">
        <v>23.781017</v>
      </c>
      <c r="S52" s="24" t="n">
        <v>24.094181</v>
      </c>
      <c r="T52" s="24" t="n">
        <v>24.388519</v>
      </c>
      <c r="U52" s="24" t="n">
        <v>24.690163</v>
      </c>
      <c r="V52" s="24" t="n">
        <v>24.999035</v>
      </c>
      <c r="W52" s="24" t="n">
        <v>25.312088</v>
      </c>
      <c r="X52" s="24" t="n">
        <v>25.630419</v>
      </c>
      <c r="Y52" s="24" t="n">
        <v>25.952957</v>
      </c>
      <c r="Z52" s="24" t="n">
        <v>26.27714</v>
      </c>
      <c r="AA52" s="24" t="n">
        <v>26.602686</v>
      </c>
      <c r="AB52" s="24" t="n">
        <v>26.930273</v>
      </c>
      <c r="AC52" s="24" t="n">
        <v>27.258255</v>
      </c>
      <c r="AD52" s="24" t="n">
        <v>27.584803</v>
      </c>
      <c r="AE52" s="24" t="n">
        <v>27.908758</v>
      </c>
      <c r="AF52" s="24" t="n">
        <v>28.2283</v>
      </c>
      <c r="AG52" s="24" t="n">
        <v>28.543741</v>
      </c>
      <c r="AH52" s="24" t="n">
        <v>28.855881</v>
      </c>
      <c r="AI52" s="25" t="n">
        <v>0.013833</v>
      </c>
    </row>
    <row r="53" ht="15" customHeight="1" s="74">
      <c r="A53" s="20" t="inlineStr">
        <is>
          <t>RST000:fa_Total</t>
        </is>
      </c>
      <c r="B53" s="22" t="inlineStr">
        <is>
          <t xml:space="preserve">     Total</t>
        </is>
      </c>
      <c r="C53" s="26" t="n">
        <v>99.15128300000001</v>
      </c>
      <c r="D53" s="26" t="n">
        <v>100.732925</v>
      </c>
      <c r="E53" s="26" t="n">
        <v>102.381233</v>
      </c>
      <c r="F53" s="26" t="n">
        <v>104.045242</v>
      </c>
      <c r="G53" s="26" t="n">
        <v>105.692947</v>
      </c>
      <c r="H53" s="26" t="n">
        <v>107.327759</v>
      </c>
      <c r="I53" s="26" t="n">
        <v>108.988571</v>
      </c>
      <c r="J53" s="26" t="n">
        <v>110.621635</v>
      </c>
      <c r="K53" s="26" t="n">
        <v>112.230652</v>
      </c>
      <c r="L53" s="26" t="n">
        <v>113.824921</v>
      </c>
      <c r="M53" s="26" t="n">
        <v>115.408173</v>
      </c>
      <c r="N53" s="26" t="n">
        <v>117.006165</v>
      </c>
      <c r="O53" s="26" t="n">
        <v>118.636673</v>
      </c>
      <c r="P53" s="26" t="n">
        <v>120.237221</v>
      </c>
      <c r="Q53" s="26" t="n">
        <v>121.828796</v>
      </c>
      <c r="R53" s="26" t="n">
        <v>123.464447</v>
      </c>
      <c r="S53" s="26" t="n">
        <v>125.10704</v>
      </c>
      <c r="T53" s="26" t="n">
        <v>126.724945</v>
      </c>
      <c r="U53" s="26" t="n">
        <v>128.318573</v>
      </c>
      <c r="V53" s="26" t="n">
        <v>129.891205</v>
      </c>
      <c r="W53" s="26" t="n">
        <v>131.439667</v>
      </c>
      <c r="X53" s="26" t="n">
        <v>132.983337</v>
      </c>
      <c r="Y53" s="26" t="n">
        <v>134.523315</v>
      </c>
      <c r="Z53" s="26" t="n">
        <v>136.055008</v>
      </c>
      <c r="AA53" s="26" t="n">
        <v>137.592163</v>
      </c>
      <c r="AB53" s="26" t="n">
        <v>139.148911</v>
      </c>
      <c r="AC53" s="26" t="n">
        <v>140.725098</v>
      </c>
      <c r="AD53" s="26" t="n">
        <v>142.31517</v>
      </c>
      <c r="AE53" s="26" t="n">
        <v>143.909744</v>
      </c>
      <c r="AF53" s="26" t="n">
        <v>145.495865</v>
      </c>
      <c r="AG53" s="26" t="n">
        <v>147.072601</v>
      </c>
      <c r="AH53" s="26" t="n">
        <v>148.636963</v>
      </c>
      <c r="AI53" s="27" t="n">
        <v>0.013146</v>
      </c>
    </row>
    <row r="54" ht="15.75" customHeight="1" s="74">
      <c r="A54" s="2" t="n"/>
      <c r="B54" s="2" t="n"/>
    </row>
    <row r="55" ht="15" customHeight="1" s="74">
      <c r="A55" s="2" t="n"/>
      <c r="B55" s="22" t="inlineStr">
        <is>
          <t xml:space="preserve"> Other Appliances (million units)</t>
        </is>
      </c>
    </row>
    <row r="56" ht="15" customHeight="1" s="74">
      <c r="A56" s="20" t="inlineStr">
        <is>
          <t>RST000:ga_Refrigerators</t>
        </is>
      </c>
      <c r="B56" s="23" t="inlineStr">
        <is>
          <t xml:space="preserve">   Refrigerators</t>
        </is>
      </c>
      <c r="C56" s="24" t="n">
        <v>165.028488</v>
      </c>
      <c r="D56" s="24" t="n">
        <v>166.196136</v>
      </c>
      <c r="E56" s="24" t="n">
        <v>167.437759</v>
      </c>
      <c r="F56" s="24" t="n">
        <v>168.710602</v>
      </c>
      <c r="G56" s="24" t="n">
        <v>169.966232</v>
      </c>
      <c r="H56" s="24" t="n">
        <v>171.210175</v>
      </c>
      <c r="I56" s="24" t="n">
        <v>172.465622</v>
      </c>
      <c r="J56" s="24" t="n">
        <v>173.688324</v>
      </c>
      <c r="K56" s="24" t="n">
        <v>174.863602</v>
      </c>
      <c r="L56" s="24" t="n">
        <v>176.025772</v>
      </c>
      <c r="M56" s="24" t="n">
        <v>177.17952</v>
      </c>
      <c r="N56" s="24" t="n">
        <v>178.361496</v>
      </c>
      <c r="O56" s="24" t="n">
        <v>179.596466</v>
      </c>
      <c r="P56" s="24" t="n">
        <v>180.795532</v>
      </c>
      <c r="Q56" s="24" t="n">
        <v>181.989075</v>
      </c>
      <c r="R56" s="24" t="n">
        <v>183.19017</v>
      </c>
      <c r="S56" s="24" t="n">
        <v>184.407471</v>
      </c>
      <c r="T56" s="24" t="n">
        <v>185.597473</v>
      </c>
      <c r="U56" s="24" t="n">
        <v>186.7603</v>
      </c>
      <c r="V56" s="24" t="n">
        <v>187.899918</v>
      </c>
      <c r="W56" s="24" t="n">
        <v>189.007904</v>
      </c>
      <c r="X56" s="24" t="n">
        <v>190.115524</v>
      </c>
      <c r="Y56" s="24" t="n">
        <v>191.225128</v>
      </c>
      <c r="Z56" s="24" t="n">
        <v>192.3302</v>
      </c>
      <c r="AA56" s="24" t="n">
        <v>193.449692</v>
      </c>
      <c r="AB56" s="24" t="n">
        <v>194.602158</v>
      </c>
      <c r="AC56" s="24" t="n">
        <v>195.787476</v>
      </c>
      <c r="AD56" s="24" t="n">
        <v>196.997955</v>
      </c>
      <c r="AE56" s="24" t="n">
        <v>198.220001</v>
      </c>
      <c r="AF56" s="24" t="n">
        <v>199.435699</v>
      </c>
      <c r="AG56" s="24" t="n">
        <v>200.644363</v>
      </c>
      <c r="AH56" s="24" t="n">
        <v>201.841949</v>
      </c>
      <c r="AI56" s="25" t="n">
        <v>0.006517</v>
      </c>
    </row>
    <row r="57" ht="15" customHeight="1" s="74">
      <c r="A57" s="20" t="inlineStr">
        <is>
          <t>RST000:ga_Freezers</t>
        </is>
      </c>
      <c r="B57" s="23" t="inlineStr">
        <is>
          <t xml:space="preserve">   Freezers</t>
        </is>
      </c>
      <c r="C57" s="24" t="n">
        <v>43.54459</v>
      </c>
      <c r="D57" s="24" t="n">
        <v>43.78614</v>
      </c>
      <c r="E57" s="24" t="n">
        <v>44.044739</v>
      </c>
      <c r="F57" s="24" t="n">
        <v>44.308384</v>
      </c>
      <c r="G57" s="24" t="n">
        <v>44.568489</v>
      </c>
      <c r="H57" s="24" t="n">
        <v>44.826359</v>
      </c>
      <c r="I57" s="24" t="n">
        <v>45.086971</v>
      </c>
      <c r="J57" s="24" t="n">
        <v>45.341248</v>
      </c>
      <c r="K57" s="24" t="n">
        <v>45.585365</v>
      </c>
      <c r="L57" s="24" t="n">
        <v>45.828533</v>
      </c>
      <c r="M57" s="24" t="n">
        <v>46.07069</v>
      </c>
      <c r="N57" s="24" t="n">
        <v>46.320446</v>
      </c>
      <c r="O57" s="24" t="n">
        <v>46.58395</v>
      </c>
      <c r="P57" s="24" t="n">
        <v>46.841301</v>
      </c>
      <c r="Q57" s="24" t="n">
        <v>47.10014</v>
      </c>
      <c r="R57" s="24" t="n">
        <v>47.361607</v>
      </c>
      <c r="S57" s="24" t="n">
        <v>47.627216</v>
      </c>
      <c r="T57" s="24" t="n">
        <v>47.884064</v>
      </c>
      <c r="U57" s="24" t="n">
        <v>48.131912</v>
      </c>
      <c r="V57" s="24" t="n">
        <v>48.371117</v>
      </c>
      <c r="W57" s="24" t="n">
        <v>48.600746</v>
      </c>
      <c r="X57" s="24" t="n">
        <v>48.829651</v>
      </c>
      <c r="Y57" s="24" t="n">
        <v>49.059719</v>
      </c>
      <c r="Z57" s="24" t="n">
        <v>49.290367</v>
      </c>
      <c r="AA57" s="24" t="n">
        <v>49.525448</v>
      </c>
      <c r="AB57" s="24" t="n">
        <v>49.769859</v>
      </c>
      <c r="AC57" s="24" t="n">
        <v>50.023289</v>
      </c>
      <c r="AD57" s="24" t="n">
        <v>50.284195</v>
      </c>
      <c r="AE57" s="24" t="n">
        <v>50.54776</v>
      </c>
      <c r="AF57" s="24" t="n">
        <v>50.808918</v>
      </c>
      <c r="AG57" s="24" t="n">
        <v>51.067417</v>
      </c>
      <c r="AH57" s="24" t="n">
        <v>51.322067</v>
      </c>
      <c r="AI57" s="25" t="n">
        <v>0.005315</v>
      </c>
    </row>
    <row r="58" ht="15.75" customHeight="1" s="74">
      <c r="A58" s="2" t="n"/>
      <c r="B58" s="2" t="n"/>
    </row>
    <row r="59" ht="15" customHeight="1" s="74">
      <c r="A59" s="2" t="n"/>
      <c r="B59" s="22" t="inlineStr">
        <is>
          <t>Stock Average Equipment Efficiency</t>
        </is>
      </c>
    </row>
    <row r="60" ht="15" customHeight="1" s="74">
      <c r="A60" s="2" t="n"/>
      <c r="B60" s="22" t="inlineStr">
        <is>
          <t xml:space="preserve"> Main Space Heaters</t>
        </is>
      </c>
    </row>
    <row r="61" ht="15" customHeight="1" s="74">
      <c r="A61" s="20" t="inlineStr">
        <is>
          <t>RST000:ha_ElectricHeatP</t>
        </is>
      </c>
      <c r="B61" s="23" t="inlineStr">
        <is>
          <t xml:space="preserve">   Electric Heat Pumps (HSPF)</t>
        </is>
      </c>
      <c r="C61" s="24" t="n">
        <v>8.066388</v>
      </c>
      <c r="D61" s="24" t="n">
        <v>8.10173</v>
      </c>
      <c r="E61" s="24" t="n">
        <v>8.137276999999999</v>
      </c>
      <c r="F61" s="24" t="n">
        <v>8.173484</v>
      </c>
      <c r="G61" s="24" t="n">
        <v>8.228588</v>
      </c>
      <c r="H61" s="24" t="n">
        <v>8.279672</v>
      </c>
      <c r="I61" s="24" t="n">
        <v>8.327363999999999</v>
      </c>
      <c r="J61" s="24" t="n">
        <v>8.37144</v>
      </c>
      <c r="K61" s="24" t="n">
        <v>8.412098</v>
      </c>
      <c r="L61" s="24" t="n">
        <v>8.449396</v>
      </c>
      <c r="M61" s="24" t="n">
        <v>8.483580999999999</v>
      </c>
      <c r="N61" s="24" t="n">
        <v>8.514601000000001</v>
      </c>
      <c r="O61" s="24" t="n">
        <v>8.542516000000001</v>
      </c>
      <c r="P61" s="24" t="n">
        <v>8.567161</v>
      </c>
      <c r="Q61" s="24" t="n">
        <v>8.588433999999999</v>
      </c>
      <c r="R61" s="24" t="n">
        <v>8.606282</v>
      </c>
      <c r="S61" s="24" t="n">
        <v>8.620475000000001</v>
      </c>
      <c r="T61" s="24" t="n">
        <v>8.630527000000001</v>
      </c>
      <c r="U61" s="24" t="n">
        <v>8.636029000000001</v>
      </c>
      <c r="V61" s="24" t="n">
        <v>8.640949000000001</v>
      </c>
      <c r="W61" s="24" t="n">
        <v>8.645213999999999</v>
      </c>
      <c r="X61" s="24" t="n">
        <v>8.648787</v>
      </c>
      <c r="Y61" s="24" t="n">
        <v>8.651671</v>
      </c>
      <c r="Z61" s="24" t="n">
        <v>8.653895</v>
      </c>
      <c r="AA61" s="24" t="n">
        <v>8.655519</v>
      </c>
      <c r="AB61" s="24" t="n">
        <v>8.656629000000001</v>
      </c>
      <c r="AC61" s="24" t="n">
        <v>8.657310000000001</v>
      </c>
      <c r="AD61" s="24" t="n">
        <v>8.657659000000001</v>
      </c>
      <c r="AE61" s="24" t="n">
        <v>8.65776</v>
      </c>
      <c r="AF61" s="24" t="n">
        <v>8.657681999999999</v>
      </c>
      <c r="AG61" s="24" t="n">
        <v>8.657494</v>
      </c>
      <c r="AH61" s="24" t="n">
        <v>8.657232</v>
      </c>
      <c r="AI61" s="25" t="n">
        <v>0.002283</v>
      </c>
    </row>
    <row r="62" ht="15" customHeight="1" s="74">
      <c r="A62" s="20" t="inlineStr">
        <is>
          <t>RST000:ha_NaturalGasHea</t>
        </is>
      </c>
      <c r="B62" s="23" t="inlineStr">
        <is>
          <t xml:space="preserve">   Natural Gas Heat Pumps (GCOP)</t>
        </is>
      </c>
      <c r="C62" s="24" t="n">
        <v>1.3</v>
      </c>
      <c r="D62" s="24" t="n">
        <v>1.3</v>
      </c>
      <c r="E62" s="24" t="n">
        <v>1.3</v>
      </c>
      <c r="F62" s="24" t="n">
        <v>1.3</v>
      </c>
      <c r="G62" s="24" t="n">
        <v>1.3</v>
      </c>
      <c r="H62" s="24" t="n">
        <v>1.3</v>
      </c>
      <c r="I62" s="24" t="n">
        <v>1.3</v>
      </c>
      <c r="J62" s="24" t="n">
        <v>1.3</v>
      </c>
      <c r="K62" s="24" t="n">
        <v>1.3</v>
      </c>
      <c r="L62" s="24" t="n">
        <v>1.3</v>
      </c>
      <c r="M62" s="24" t="n">
        <v>1.3</v>
      </c>
      <c r="N62" s="24" t="n">
        <v>1.3</v>
      </c>
      <c r="O62" s="24" t="n">
        <v>1.3</v>
      </c>
      <c r="P62" s="24" t="n">
        <v>1.3</v>
      </c>
      <c r="Q62" s="24" t="n">
        <v>1.3</v>
      </c>
      <c r="R62" s="24" t="n">
        <v>1.3</v>
      </c>
      <c r="S62" s="24" t="n">
        <v>1.3</v>
      </c>
      <c r="T62" s="24" t="n">
        <v>1.3</v>
      </c>
      <c r="U62" s="24" t="n">
        <v>1.3</v>
      </c>
      <c r="V62" s="24" t="n">
        <v>1.3</v>
      </c>
      <c r="W62" s="24" t="n">
        <v>1.3</v>
      </c>
      <c r="X62" s="24" t="n">
        <v>1.3</v>
      </c>
      <c r="Y62" s="24" t="n">
        <v>1.3</v>
      </c>
      <c r="Z62" s="24" t="n">
        <v>1.3</v>
      </c>
      <c r="AA62" s="24" t="n">
        <v>1.3</v>
      </c>
      <c r="AB62" s="24" t="n">
        <v>1.3</v>
      </c>
      <c r="AC62" s="24" t="n">
        <v>1.3</v>
      </c>
      <c r="AD62" s="24" t="n">
        <v>1.3</v>
      </c>
      <c r="AE62" s="24" t="n">
        <v>1.3</v>
      </c>
      <c r="AF62" s="24" t="n">
        <v>1.3</v>
      </c>
      <c r="AG62" s="24" t="n">
        <v>1.3</v>
      </c>
      <c r="AH62" s="24" t="n">
        <v>1.3</v>
      </c>
      <c r="AI62" s="25" t="n">
        <v>0</v>
      </c>
    </row>
    <row r="63" ht="15" customHeight="1" s="74">
      <c r="A63" s="20" t="inlineStr">
        <is>
          <t>RST000:ha_GeothermalHea</t>
        </is>
      </c>
      <c r="B63" s="23" t="inlineStr">
        <is>
          <t xml:space="preserve">   Geothermal Heat Pumps (COP)</t>
        </is>
      </c>
      <c r="C63" s="24" t="n">
        <v>3.352818</v>
      </c>
      <c r="D63" s="24" t="n">
        <v>3.406289</v>
      </c>
      <c r="E63" s="24" t="n">
        <v>3.451849</v>
      </c>
      <c r="F63" s="24" t="n">
        <v>3.475456</v>
      </c>
      <c r="G63" s="24" t="n">
        <v>3.496274</v>
      </c>
      <c r="H63" s="24" t="n">
        <v>3.515945</v>
      </c>
      <c r="I63" s="24" t="n">
        <v>3.534459</v>
      </c>
      <c r="J63" s="24" t="n">
        <v>3.551958</v>
      </c>
      <c r="K63" s="24" t="n">
        <v>3.567439</v>
      </c>
      <c r="L63" s="24" t="n">
        <v>3.581095</v>
      </c>
      <c r="M63" s="24" t="n">
        <v>3.593175</v>
      </c>
      <c r="N63" s="24" t="n">
        <v>3.603888</v>
      </c>
      <c r="O63" s="24" t="n">
        <v>3.613353</v>
      </c>
      <c r="P63" s="24" t="n">
        <v>3.622103</v>
      </c>
      <c r="Q63" s="24" t="n">
        <v>3.630229</v>
      </c>
      <c r="R63" s="24" t="n">
        <v>3.637724</v>
      </c>
      <c r="S63" s="24" t="n">
        <v>3.644583</v>
      </c>
      <c r="T63" s="24" t="n">
        <v>3.650874</v>
      </c>
      <c r="U63" s="24" t="n">
        <v>3.656628</v>
      </c>
      <c r="V63" s="24" t="n">
        <v>3.661866</v>
      </c>
      <c r="W63" s="24" t="n">
        <v>3.666625</v>
      </c>
      <c r="X63" s="24" t="n">
        <v>3.67072</v>
      </c>
      <c r="Y63" s="24" t="n">
        <v>3.674263</v>
      </c>
      <c r="Z63" s="24" t="n">
        <v>3.677242</v>
      </c>
      <c r="AA63" s="24" t="n">
        <v>3.679489</v>
      </c>
      <c r="AB63" s="24" t="n">
        <v>3.681114</v>
      </c>
      <c r="AC63" s="24" t="n">
        <v>3.682058</v>
      </c>
      <c r="AD63" s="24" t="n">
        <v>3.682347</v>
      </c>
      <c r="AE63" s="24" t="n">
        <v>3.682627</v>
      </c>
      <c r="AF63" s="24" t="n">
        <v>3.682872</v>
      </c>
      <c r="AG63" s="24" t="n">
        <v>3.683055</v>
      </c>
      <c r="AH63" s="24" t="n">
        <v>3.683191</v>
      </c>
      <c r="AI63" s="25" t="n">
        <v>0.003036</v>
      </c>
    </row>
    <row r="64" ht="15" customHeight="1" s="74">
      <c r="A64" s="20" t="inlineStr">
        <is>
          <t>RST000:ha_NaturalGasFur</t>
        </is>
      </c>
      <c r="B64" s="23" t="inlineStr">
        <is>
          <t xml:space="preserve">   Natural Gas Furnace (AFUE)</t>
        </is>
      </c>
      <c r="C64" s="24" t="n">
        <v>0.815604</v>
      </c>
      <c r="D64" s="24" t="n">
        <v>0.819508</v>
      </c>
      <c r="E64" s="24" t="n">
        <v>0.823362</v>
      </c>
      <c r="F64" s="24" t="n">
        <v>0.827172</v>
      </c>
      <c r="G64" s="24" t="n">
        <v>0.831105</v>
      </c>
      <c r="H64" s="24" t="n">
        <v>0.835039</v>
      </c>
      <c r="I64" s="24" t="n">
        <v>0.838987</v>
      </c>
      <c r="J64" s="24" t="n">
        <v>0.84298</v>
      </c>
      <c r="K64" s="24" t="n">
        <v>0.846676</v>
      </c>
      <c r="L64" s="24" t="n">
        <v>0.850081</v>
      </c>
      <c r="M64" s="24" t="n">
        <v>0.853165</v>
      </c>
      <c r="N64" s="24" t="n">
        <v>0.8559290000000001</v>
      </c>
      <c r="O64" s="24" t="n">
        <v>0.858388</v>
      </c>
      <c r="P64" s="24" t="n">
        <v>0.860553</v>
      </c>
      <c r="Q64" s="24" t="n">
        <v>0.862448</v>
      </c>
      <c r="R64" s="24" t="n">
        <v>0.8640640000000001</v>
      </c>
      <c r="S64" s="24" t="n">
        <v>0.865411</v>
      </c>
      <c r="T64" s="24" t="n">
        <v>0.866495</v>
      </c>
      <c r="U64" s="24" t="n">
        <v>0.867352</v>
      </c>
      <c r="V64" s="24" t="n">
        <v>0.8679750000000001</v>
      </c>
      <c r="W64" s="24" t="n">
        <v>0.868371</v>
      </c>
      <c r="X64" s="24" t="n">
        <v>0.868529</v>
      </c>
      <c r="Y64" s="24" t="n">
        <v>0.868462</v>
      </c>
      <c r="Z64" s="24" t="n">
        <v>0.8684269999999999</v>
      </c>
      <c r="AA64" s="24" t="n">
        <v>0.868416</v>
      </c>
      <c r="AB64" s="24" t="n">
        <v>0.8684190000000001</v>
      </c>
      <c r="AC64" s="24" t="n">
        <v>0.868433</v>
      </c>
      <c r="AD64" s="24" t="n">
        <v>0.868453</v>
      </c>
      <c r="AE64" s="24" t="n">
        <v>0.8684770000000001</v>
      </c>
      <c r="AF64" s="24" t="n">
        <v>0.868501</v>
      </c>
      <c r="AG64" s="24" t="n">
        <v>0.868524</v>
      </c>
      <c r="AH64" s="24" t="n">
        <v>0.868546</v>
      </c>
      <c r="AI64" s="25" t="n">
        <v>0.002031</v>
      </c>
    </row>
    <row r="65" ht="15" customHeight="1" s="74">
      <c r="A65" s="20" t="inlineStr">
        <is>
          <t>RST000:ha_DistillateFur</t>
        </is>
      </c>
      <c r="B65" s="23" t="inlineStr">
        <is>
          <t xml:space="preserve">   Distillate Furnace (AFUE)</t>
        </is>
      </c>
      <c r="C65" s="24" t="n">
        <v>0.833012</v>
      </c>
      <c r="D65" s="24" t="n">
        <v>0.83395</v>
      </c>
      <c r="E65" s="24" t="n">
        <v>0.834882</v>
      </c>
      <c r="F65" s="24" t="n">
        <v>0.835825</v>
      </c>
      <c r="G65" s="24" t="n">
        <v>0.8367599999999999</v>
      </c>
      <c r="H65" s="24" t="n">
        <v>0.837705</v>
      </c>
      <c r="I65" s="24" t="n">
        <v>0.838659</v>
      </c>
      <c r="J65" s="24" t="n">
        <v>0.839623</v>
      </c>
      <c r="K65" s="24" t="n">
        <v>0.840531</v>
      </c>
      <c r="L65" s="24" t="n">
        <v>0.841387</v>
      </c>
      <c r="M65" s="24" t="n">
        <v>0.84218</v>
      </c>
      <c r="N65" s="24" t="n">
        <v>0.842894</v>
      </c>
      <c r="O65" s="24" t="n">
        <v>0.84355</v>
      </c>
      <c r="P65" s="24" t="n">
        <v>0.8441340000000001</v>
      </c>
      <c r="Q65" s="24" t="n">
        <v>0.84466</v>
      </c>
      <c r="R65" s="24" t="n">
        <v>0.845125</v>
      </c>
      <c r="S65" s="24" t="n">
        <v>0.845529</v>
      </c>
      <c r="T65" s="24" t="n">
        <v>0.845873</v>
      </c>
      <c r="U65" s="24" t="n">
        <v>0.846158</v>
      </c>
      <c r="V65" s="24" t="n">
        <v>0.846384</v>
      </c>
      <c r="W65" s="24" t="n">
        <v>0.846548</v>
      </c>
      <c r="X65" s="24" t="n">
        <v>0.846642</v>
      </c>
      <c r="Y65" s="24" t="n">
        <v>0.846682</v>
      </c>
      <c r="Z65" s="24" t="n">
        <v>0.846729</v>
      </c>
      <c r="AA65" s="24" t="n">
        <v>0.8467789999999999</v>
      </c>
      <c r="AB65" s="24" t="n">
        <v>0.846831</v>
      </c>
      <c r="AC65" s="24" t="n">
        <v>0.8468869999999999</v>
      </c>
      <c r="AD65" s="24" t="n">
        <v>0.846936</v>
      </c>
      <c r="AE65" s="24" t="n">
        <v>0.846983</v>
      </c>
      <c r="AF65" s="24" t="n">
        <v>0.847025</v>
      </c>
      <c r="AG65" s="24" t="n">
        <v>0.847058</v>
      </c>
      <c r="AH65" s="24" t="n">
        <v>0.847079</v>
      </c>
      <c r="AI65" s="25" t="n">
        <v>0.00054</v>
      </c>
    </row>
    <row r="66" ht="15.75" customHeight="1" s="74">
      <c r="A66" s="2" t="n"/>
      <c r="B66" s="2" t="n"/>
    </row>
    <row r="67" ht="15" customHeight="1" s="74">
      <c r="A67" s="2" t="n"/>
      <c r="B67" s="22" t="inlineStr">
        <is>
          <t xml:space="preserve"> Space Cooling</t>
        </is>
      </c>
    </row>
    <row r="68" ht="15" customHeight="1" s="74">
      <c r="A68" s="20" t="inlineStr">
        <is>
          <t>RST000:ia_ElectricHeatP</t>
        </is>
      </c>
      <c r="B68" s="23" t="inlineStr">
        <is>
          <t xml:space="preserve">   Electric Heat Pumps (SEER)</t>
        </is>
      </c>
      <c r="C68" s="24" t="n">
        <v>13.628468</v>
      </c>
      <c r="D68" s="24" t="n">
        <v>13.751342</v>
      </c>
      <c r="E68" s="24" t="n">
        <v>13.874824</v>
      </c>
      <c r="F68" s="24" t="n">
        <v>14.000648</v>
      </c>
      <c r="G68" s="24" t="n">
        <v>14.189617</v>
      </c>
      <c r="H68" s="24" t="n">
        <v>14.363944</v>
      </c>
      <c r="I68" s="24" t="n">
        <v>14.526837</v>
      </c>
      <c r="J68" s="24" t="n">
        <v>14.677469</v>
      </c>
      <c r="K68" s="24" t="n">
        <v>14.816541</v>
      </c>
      <c r="L68" s="24" t="n">
        <v>14.944065</v>
      </c>
      <c r="M68" s="24" t="n">
        <v>15.060946</v>
      </c>
      <c r="N68" s="24" t="n">
        <v>15.166916</v>
      </c>
      <c r="O68" s="24" t="n">
        <v>15.262172</v>
      </c>
      <c r="P68" s="24" t="n">
        <v>15.346278</v>
      </c>
      <c r="Q68" s="24" t="n">
        <v>15.41886</v>
      </c>
      <c r="R68" s="24" t="n">
        <v>15.479688</v>
      </c>
      <c r="S68" s="24" t="n">
        <v>15.527931</v>
      </c>
      <c r="T68" s="24" t="n">
        <v>15.561934</v>
      </c>
      <c r="U68" s="24" t="n">
        <v>15.580244</v>
      </c>
      <c r="V68" s="24" t="n">
        <v>15.596813</v>
      </c>
      <c r="W68" s="24" t="n">
        <v>15.611336</v>
      </c>
      <c r="X68" s="24" t="n">
        <v>15.623612</v>
      </c>
      <c r="Y68" s="24" t="n">
        <v>15.633625</v>
      </c>
      <c r="Z68" s="24" t="n">
        <v>15.641453</v>
      </c>
      <c r="AA68" s="24" t="n">
        <v>15.647259</v>
      </c>
      <c r="AB68" s="24" t="n">
        <v>15.651289</v>
      </c>
      <c r="AC68" s="24" t="n">
        <v>15.653837</v>
      </c>
      <c r="AD68" s="24" t="n">
        <v>15.655206</v>
      </c>
      <c r="AE68" s="24" t="n">
        <v>15.655731</v>
      </c>
      <c r="AF68" s="24" t="n">
        <v>15.655653</v>
      </c>
      <c r="AG68" s="24" t="n">
        <v>15.655183</v>
      </c>
      <c r="AH68" s="24" t="n">
        <v>15.654492</v>
      </c>
      <c r="AI68" s="25" t="n">
        <v>0.004481</v>
      </c>
    </row>
    <row r="69" ht="15" customHeight="1" s="74">
      <c r="A69" s="20" t="inlineStr">
        <is>
          <t>RST000:ia_NaturalGasHea</t>
        </is>
      </c>
      <c r="B69" s="23" t="inlineStr">
        <is>
          <t xml:space="preserve">   Natural Gas Heat Pumps (GCOP)</t>
        </is>
      </c>
      <c r="C69" s="24" t="n">
        <v>0.6</v>
      </c>
      <c r="D69" s="24" t="n">
        <v>0.605737</v>
      </c>
      <c r="E69" s="24" t="n">
        <v>0.611105</v>
      </c>
      <c r="F69" s="24" t="n">
        <v>0.61708</v>
      </c>
      <c r="G69" s="24" t="n">
        <v>0.623692</v>
      </c>
      <c r="H69" s="24" t="n">
        <v>0.630109</v>
      </c>
      <c r="I69" s="24" t="n">
        <v>0.636323</v>
      </c>
      <c r="J69" s="24" t="n">
        <v>0.642312</v>
      </c>
      <c r="K69" s="24" t="n">
        <v>0.648143</v>
      </c>
      <c r="L69" s="24" t="n">
        <v>0.653883</v>
      </c>
      <c r="M69" s="24" t="n">
        <v>0.659693</v>
      </c>
      <c r="N69" s="24" t="n">
        <v>0.665686</v>
      </c>
      <c r="O69" s="24" t="n">
        <v>0.67196</v>
      </c>
      <c r="P69" s="24" t="n">
        <v>0.678453</v>
      </c>
      <c r="Q69" s="24" t="n">
        <v>0.684847</v>
      </c>
      <c r="R69" s="24" t="n">
        <v>0.690627</v>
      </c>
      <c r="S69" s="24" t="n">
        <v>0.695205</v>
      </c>
      <c r="T69" s="24" t="n">
        <v>0.698139</v>
      </c>
      <c r="U69" s="24" t="n">
        <v>0.699323</v>
      </c>
      <c r="V69" s="24" t="n">
        <v>0.699823</v>
      </c>
      <c r="W69" s="24" t="n">
        <v>0.69997</v>
      </c>
      <c r="X69" s="24" t="n">
        <v>0.699997</v>
      </c>
      <c r="Y69" s="24" t="n">
        <v>0.7</v>
      </c>
      <c r="Z69" s="24" t="n">
        <v>0.7</v>
      </c>
      <c r="AA69" s="24" t="n">
        <v>0.7</v>
      </c>
      <c r="AB69" s="24" t="n">
        <v>0.7</v>
      </c>
      <c r="AC69" s="24" t="n">
        <v>0.7</v>
      </c>
      <c r="AD69" s="24" t="n">
        <v>0.7</v>
      </c>
      <c r="AE69" s="24" t="n">
        <v>0.7</v>
      </c>
      <c r="AF69" s="24" t="n">
        <v>0.7</v>
      </c>
      <c r="AG69" s="24" t="n">
        <v>0.7</v>
      </c>
      <c r="AH69" s="24" t="n">
        <v>0.7</v>
      </c>
      <c r="AI69" s="25" t="n">
        <v>0.004985</v>
      </c>
    </row>
    <row r="70" ht="15" customHeight="1" s="74">
      <c r="A70" s="20" t="inlineStr">
        <is>
          <t>RST000:ia_GeothermalHea</t>
        </is>
      </c>
      <c r="B70" s="23" t="inlineStr">
        <is>
          <t xml:space="preserve">   Geothermal Heat Pumps (EER)</t>
        </is>
      </c>
      <c r="C70" s="24" t="n">
        <v>15.019415</v>
      </c>
      <c r="D70" s="24" t="n">
        <v>15.390105</v>
      </c>
      <c r="E70" s="24" t="n">
        <v>15.707148</v>
      </c>
      <c r="F70" s="24" t="n">
        <v>15.869014</v>
      </c>
      <c r="G70" s="24" t="n">
        <v>16.008043</v>
      </c>
      <c r="H70" s="24" t="n">
        <v>16.141197</v>
      </c>
      <c r="I70" s="24" t="n">
        <v>16.267307</v>
      </c>
      <c r="J70" s="24" t="n">
        <v>16.386553</v>
      </c>
      <c r="K70" s="24" t="n">
        <v>16.492064</v>
      </c>
      <c r="L70" s="24" t="n">
        <v>16.585182</v>
      </c>
      <c r="M70" s="24" t="n">
        <v>16.667505</v>
      </c>
      <c r="N70" s="24" t="n">
        <v>16.740471</v>
      </c>
      <c r="O70" s="24" t="n">
        <v>16.804888</v>
      </c>
      <c r="P70" s="24" t="n">
        <v>16.864073</v>
      </c>
      <c r="Q70" s="24" t="n">
        <v>16.918793</v>
      </c>
      <c r="R70" s="24" t="n">
        <v>16.969044</v>
      </c>
      <c r="S70" s="24" t="n">
        <v>17.014919</v>
      </c>
      <c r="T70" s="24" t="n">
        <v>17.056799</v>
      </c>
      <c r="U70" s="24" t="n">
        <v>17.094957</v>
      </c>
      <c r="V70" s="24" t="n">
        <v>17.129551</v>
      </c>
      <c r="W70" s="24" t="n">
        <v>17.160864</v>
      </c>
      <c r="X70" s="24" t="n">
        <v>17.187788</v>
      </c>
      <c r="Y70" s="24" t="n">
        <v>17.211052</v>
      </c>
      <c r="Z70" s="24" t="n">
        <v>17.230555</v>
      </c>
      <c r="AA70" s="24" t="n">
        <v>17.245277</v>
      </c>
      <c r="AB70" s="24" t="n">
        <v>17.255978</v>
      </c>
      <c r="AC70" s="24" t="n">
        <v>17.262218</v>
      </c>
      <c r="AD70" s="24" t="n">
        <v>17.264154</v>
      </c>
      <c r="AE70" s="24" t="n">
        <v>17.266027</v>
      </c>
      <c r="AF70" s="24" t="n">
        <v>17.267637</v>
      </c>
      <c r="AG70" s="24" t="n">
        <v>17.268829</v>
      </c>
      <c r="AH70" s="24" t="n">
        <v>17.269665</v>
      </c>
      <c r="AI70" s="25" t="n">
        <v>0.004514</v>
      </c>
    </row>
    <row r="71" ht="15" customHeight="1" s="74">
      <c r="A71" s="20" t="inlineStr">
        <is>
          <t>RST000:ia_Cent.AirCondi</t>
        </is>
      </c>
      <c r="B71" s="23" t="inlineStr">
        <is>
          <t xml:space="preserve">   Central Air Conditioners (SEER)</t>
        </is>
      </c>
      <c r="C71" s="24" t="n">
        <v>13.063992</v>
      </c>
      <c r="D71" s="24" t="n">
        <v>13.201715</v>
      </c>
      <c r="E71" s="24" t="n">
        <v>13.337157</v>
      </c>
      <c r="F71" s="24" t="n">
        <v>13.470661</v>
      </c>
      <c r="G71" s="24" t="n">
        <v>13.661603</v>
      </c>
      <c r="H71" s="24" t="n">
        <v>13.839343</v>
      </c>
      <c r="I71" s="24" t="n">
        <v>14.003154</v>
      </c>
      <c r="J71" s="24" t="n">
        <v>14.152417</v>
      </c>
      <c r="K71" s="24" t="n">
        <v>14.287701</v>
      </c>
      <c r="L71" s="24" t="n">
        <v>14.409393</v>
      </c>
      <c r="M71" s="24" t="n">
        <v>14.519396</v>
      </c>
      <c r="N71" s="24" t="n">
        <v>14.617293</v>
      </c>
      <c r="O71" s="24" t="n">
        <v>14.703091</v>
      </c>
      <c r="P71" s="24" t="n">
        <v>14.777593</v>
      </c>
      <c r="Q71" s="24" t="n">
        <v>14.842439</v>
      </c>
      <c r="R71" s="24" t="n">
        <v>14.897217</v>
      </c>
      <c r="S71" s="24" t="n">
        <v>14.942557</v>
      </c>
      <c r="T71" s="24" t="n">
        <v>14.977811</v>
      </c>
      <c r="U71" s="24" t="n">
        <v>15.001629</v>
      </c>
      <c r="V71" s="24" t="n">
        <v>15.025049</v>
      </c>
      <c r="W71" s="24" t="n">
        <v>15.047557</v>
      </c>
      <c r="X71" s="24" t="n">
        <v>15.068643</v>
      </c>
      <c r="Y71" s="24" t="n">
        <v>15.087876</v>
      </c>
      <c r="Z71" s="24" t="n">
        <v>15.104975</v>
      </c>
      <c r="AA71" s="24" t="n">
        <v>15.119759</v>
      </c>
      <c r="AB71" s="24" t="n">
        <v>15.132191</v>
      </c>
      <c r="AC71" s="24" t="n">
        <v>15.142375</v>
      </c>
      <c r="AD71" s="24" t="n">
        <v>15.150517</v>
      </c>
      <c r="AE71" s="24" t="n">
        <v>15.156925</v>
      </c>
      <c r="AF71" s="24" t="n">
        <v>15.161902</v>
      </c>
      <c r="AG71" s="24" t="n">
        <v>15.165761</v>
      </c>
      <c r="AH71" s="24" t="n">
        <v>15.16878</v>
      </c>
      <c r="AI71" s="25" t="n">
        <v>0.00483</v>
      </c>
    </row>
    <row r="72" ht="15" customHeight="1" s="74">
      <c r="A72" s="20" t="inlineStr">
        <is>
          <t>RST000:ia_RoomAirCondit</t>
        </is>
      </c>
      <c r="B72" s="23" t="inlineStr">
        <is>
          <t xml:space="preserve">   Room Air Conditioners (EER)</t>
        </is>
      </c>
      <c r="C72" s="24" t="n">
        <v>11.089377</v>
      </c>
      <c r="D72" s="24" t="n">
        <v>11.152689</v>
      </c>
      <c r="E72" s="24" t="n">
        <v>11.219195</v>
      </c>
      <c r="F72" s="24" t="n">
        <v>11.291352</v>
      </c>
      <c r="G72" s="24" t="n">
        <v>11.368314</v>
      </c>
      <c r="H72" s="24" t="n">
        <v>11.450993</v>
      </c>
      <c r="I72" s="24" t="n">
        <v>11.526907</v>
      </c>
      <c r="J72" s="24" t="n">
        <v>11.593225</v>
      </c>
      <c r="K72" s="24" t="n">
        <v>11.649609</v>
      </c>
      <c r="L72" s="24" t="n">
        <v>11.69727</v>
      </c>
      <c r="M72" s="24" t="n">
        <v>11.735435</v>
      </c>
      <c r="N72" s="24" t="n">
        <v>11.786841</v>
      </c>
      <c r="O72" s="24" t="n">
        <v>11.823672</v>
      </c>
      <c r="P72" s="24" t="n">
        <v>11.846556</v>
      </c>
      <c r="Q72" s="24" t="n">
        <v>11.870701</v>
      </c>
      <c r="R72" s="24" t="n">
        <v>11.895593</v>
      </c>
      <c r="S72" s="24" t="n">
        <v>11.920514</v>
      </c>
      <c r="T72" s="24" t="n">
        <v>11.944622</v>
      </c>
      <c r="U72" s="24" t="n">
        <v>11.96688</v>
      </c>
      <c r="V72" s="24" t="n">
        <v>11.986381</v>
      </c>
      <c r="W72" s="24" t="n">
        <v>12.002324</v>
      </c>
      <c r="X72" s="24" t="n">
        <v>12.028273</v>
      </c>
      <c r="Y72" s="24" t="n">
        <v>12.050117</v>
      </c>
      <c r="Z72" s="24" t="n">
        <v>12.068775</v>
      </c>
      <c r="AA72" s="24" t="n">
        <v>12.085065</v>
      </c>
      <c r="AB72" s="24" t="n">
        <v>12.099886</v>
      </c>
      <c r="AC72" s="24" t="n">
        <v>12.113713</v>
      </c>
      <c r="AD72" s="24" t="n">
        <v>12.126626</v>
      </c>
      <c r="AE72" s="24" t="n">
        <v>12.138464</v>
      </c>
      <c r="AF72" s="24" t="n">
        <v>12.148823</v>
      </c>
      <c r="AG72" s="24" t="n">
        <v>12.157327</v>
      </c>
      <c r="AH72" s="24" t="n">
        <v>12.163838</v>
      </c>
      <c r="AI72" s="25" t="n">
        <v>0.002988</v>
      </c>
    </row>
    <row r="73" ht="15.75" customHeight="1" s="74">
      <c r="A73" s="2" t="n"/>
      <c r="B73" s="2" t="n"/>
    </row>
    <row r="74" ht="15" customHeight="1" s="74">
      <c r="A74" s="2" t="n"/>
      <c r="B74" s="22" t="inlineStr">
        <is>
          <t xml:space="preserve"> Water Heaters</t>
        </is>
      </c>
    </row>
    <row r="75" ht="15" customHeight="1" s="74">
      <c r="A75" s="20" t="inlineStr">
        <is>
          <t>RST000:ja_Electric(EF)</t>
        </is>
      </c>
      <c r="B75" s="23" t="inlineStr">
        <is>
          <t xml:space="preserve">   Electric (EF)</t>
        </is>
      </c>
      <c r="C75" s="24" t="n">
        <v>0.903883</v>
      </c>
      <c r="D75" s="24" t="n">
        <v>0.908986</v>
      </c>
      <c r="E75" s="24" t="n">
        <v>0.914158</v>
      </c>
      <c r="F75" s="24" t="n">
        <v>0.919396</v>
      </c>
      <c r="G75" s="24" t="n">
        <v>0.924584</v>
      </c>
      <c r="H75" s="24" t="n">
        <v>0.929747</v>
      </c>
      <c r="I75" s="24" t="n">
        <v>0.934886</v>
      </c>
      <c r="J75" s="24" t="n">
        <v>0.939977</v>
      </c>
      <c r="K75" s="24" t="n">
        <v>0.944582</v>
      </c>
      <c r="L75" s="24" t="n">
        <v>0.948726</v>
      </c>
      <c r="M75" s="24" t="n">
        <v>0.952404</v>
      </c>
      <c r="N75" s="24" t="n">
        <v>0.955644</v>
      </c>
      <c r="O75" s="24" t="n">
        <v>0.958456</v>
      </c>
      <c r="P75" s="24" t="n">
        <v>0.9608370000000001</v>
      </c>
      <c r="Q75" s="24" t="n">
        <v>0.962807</v>
      </c>
      <c r="R75" s="24" t="n">
        <v>0.964365</v>
      </c>
      <c r="S75" s="24" t="n">
        <v>0.965513</v>
      </c>
      <c r="T75" s="24" t="n">
        <v>0.966266</v>
      </c>
      <c r="U75" s="24" t="n">
        <v>0.966618</v>
      </c>
      <c r="V75" s="24" t="n">
        <v>0.966585</v>
      </c>
      <c r="W75" s="24" t="n">
        <v>0.96656</v>
      </c>
      <c r="X75" s="24" t="n">
        <v>0.966543</v>
      </c>
      <c r="Y75" s="24" t="n">
        <v>0.966533</v>
      </c>
      <c r="Z75" s="24" t="n">
        <v>0.966531</v>
      </c>
      <c r="AA75" s="24" t="n">
        <v>0.9665319999999999</v>
      </c>
      <c r="AB75" s="24" t="n">
        <v>0.966536</v>
      </c>
      <c r="AC75" s="24" t="n">
        <v>0.966544</v>
      </c>
      <c r="AD75" s="24" t="n">
        <v>0.966554</v>
      </c>
      <c r="AE75" s="24" t="n">
        <v>0.966567</v>
      </c>
      <c r="AF75" s="24" t="n">
        <v>0.966579</v>
      </c>
      <c r="AG75" s="24" t="n">
        <v>0.966592</v>
      </c>
      <c r="AH75" s="24" t="n">
        <v>0.966602</v>
      </c>
      <c r="AI75" s="25" t="n">
        <v>0.002167</v>
      </c>
    </row>
    <row r="76" ht="15" customHeight="1" s="74">
      <c r="A76" s="20" t="inlineStr">
        <is>
          <t>RST000:ja_NaturalGas(EF</t>
        </is>
      </c>
      <c r="B76" s="23" t="inlineStr">
        <is>
          <t xml:space="preserve">   Natural Gas (EF)</t>
        </is>
      </c>
      <c r="C76" s="24" t="n">
        <v>0.602607</v>
      </c>
      <c r="D76" s="24" t="n">
        <v>0.60827</v>
      </c>
      <c r="E76" s="24" t="n">
        <v>0.613333</v>
      </c>
      <c r="F76" s="24" t="n">
        <v>0.617796</v>
      </c>
      <c r="G76" s="24" t="n">
        <v>0.6216660000000001</v>
      </c>
      <c r="H76" s="24" t="n">
        <v>0.624932</v>
      </c>
      <c r="I76" s="24" t="n">
        <v>0.627625</v>
      </c>
      <c r="J76" s="24" t="n">
        <v>0.629759</v>
      </c>
      <c r="K76" s="24" t="n">
        <v>0.63136</v>
      </c>
      <c r="L76" s="24" t="n">
        <v>0.632386</v>
      </c>
      <c r="M76" s="24" t="n">
        <v>0.632871</v>
      </c>
      <c r="N76" s="24" t="n">
        <v>0.632897</v>
      </c>
      <c r="O76" s="24" t="n">
        <v>0.632926</v>
      </c>
      <c r="P76" s="24" t="n">
        <v>0.632958</v>
      </c>
      <c r="Q76" s="24" t="n">
        <v>0.633002</v>
      </c>
      <c r="R76" s="24" t="n">
        <v>0.633051</v>
      </c>
      <c r="S76" s="24" t="n">
        <v>0.633101</v>
      </c>
      <c r="T76" s="24" t="n">
        <v>0.633151</v>
      </c>
      <c r="U76" s="24" t="n">
        <v>0.633204</v>
      </c>
      <c r="V76" s="24" t="n">
        <v>0.633257</v>
      </c>
      <c r="W76" s="24" t="n">
        <v>0.633309</v>
      </c>
      <c r="X76" s="24" t="n">
        <v>0.633359</v>
      </c>
      <c r="Y76" s="24" t="n">
        <v>0.6334070000000001</v>
      </c>
      <c r="Z76" s="24" t="n">
        <v>0.633453</v>
      </c>
      <c r="AA76" s="24" t="n">
        <v>0.6334959999999999</v>
      </c>
      <c r="AB76" s="24" t="n">
        <v>0.633534</v>
      </c>
      <c r="AC76" s="24" t="n">
        <v>0.633572</v>
      </c>
      <c r="AD76" s="24" t="n">
        <v>0.633606</v>
      </c>
      <c r="AE76" s="24" t="n">
        <v>0.63364</v>
      </c>
      <c r="AF76" s="24" t="n">
        <v>0.633673</v>
      </c>
      <c r="AG76" s="24" t="n">
        <v>0.633705</v>
      </c>
      <c r="AH76" s="24" t="n">
        <v>0.633737</v>
      </c>
      <c r="AI76" s="25" t="n">
        <v>0.001626</v>
      </c>
    </row>
    <row r="77" ht="15" customHeight="1" s="74">
      <c r="A77" s="20" t="inlineStr">
        <is>
          <t>RST000:ja_Distillate(EF</t>
        </is>
      </c>
      <c r="B77" s="23" t="inlineStr">
        <is>
          <t xml:space="preserve">   Distillate Fuel Oil (EF)</t>
        </is>
      </c>
      <c r="C77" s="24" t="n">
        <v>0.566068</v>
      </c>
      <c r="D77" s="24" t="n">
        <v>0.582141</v>
      </c>
      <c r="E77" s="24" t="n">
        <v>0.597451</v>
      </c>
      <c r="F77" s="24" t="n">
        <v>0.611703</v>
      </c>
      <c r="G77" s="24" t="n">
        <v>0.624667</v>
      </c>
      <c r="H77" s="24" t="n">
        <v>0.636009</v>
      </c>
      <c r="I77" s="24" t="n">
        <v>0.645598</v>
      </c>
      <c r="J77" s="24" t="n">
        <v>0.653482</v>
      </c>
      <c r="K77" s="24" t="n">
        <v>0.6595220000000001</v>
      </c>
      <c r="L77" s="24" t="n">
        <v>0.663641</v>
      </c>
      <c r="M77" s="24" t="n">
        <v>0.6657419999999999</v>
      </c>
      <c r="N77" s="24" t="n">
        <v>0.665777</v>
      </c>
      <c r="O77" s="24" t="n">
        <v>0.665817</v>
      </c>
      <c r="P77" s="24" t="n">
        <v>0.665859</v>
      </c>
      <c r="Q77" s="24" t="n">
        <v>0.665905</v>
      </c>
      <c r="R77" s="24" t="n">
        <v>0.665954</v>
      </c>
      <c r="S77" s="24" t="n">
        <v>0.666004</v>
      </c>
      <c r="T77" s="24" t="n">
        <v>0.666055</v>
      </c>
      <c r="U77" s="24" t="n">
        <v>0.6661049999999999</v>
      </c>
      <c r="V77" s="24" t="n">
        <v>0.6661550000000001</v>
      </c>
      <c r="W77" s="24" t="n">
        <v>0.666204</v>
      </c>
      <c r="X77" s="24" t="n">
        <v>0.666249</v>
      </c>
      <c r="Y77" s="24" t="n">
        <v>0.666292</v>
      </c>
      <c r="Z77" s="24" t="n">
        <v>0.666336</v>
      </c>
      <c r="AA77" s="24" t="n">
        <v>0.666377</v>
      </c>
      <c r="AB77" s="24" t="n">
        <v>0.666416</v>
      </c>
      <c r="AC77" s="24" t="n">
        <v>0.666455</v>
      </c>
      <c r="AD77" s="24" t="n">
        <v>0.666492</v>
      </c>
      <c r="AE77" s="24" t="n">
        <v>0.666528</v>
      </c>
      <c r="AF77" s="24" t="n">
        <v>0.666564</v>
      </c>
      <c r="AG77" s="24" t="n">
        <v>0.6666</v>
      </c>
      <c r="AH77" s="24" t="n">
        <v>0.6666339999999999</v>
      </c>
      <c r="AI77" s="25" t="n">
        <v>0.005289</v>
      </c>
    </row>
    <row r="78" ht="15" customHeight="1" s="74">
      <c r="A78" s="20" t="inlineStr">
        <is>
          <t>RST000:ja_LiquefiedPetr</t>
        </is>
      </c>
      <c r="B78" s="23" t="inlineStr">
        <is>
          <t xml:space="preserve">   Propane (EF)</t>
        </is>
      </c>
      <c r="C78" s="24" t="n">
        <v>0.5954469999999999</v>
      </c>
      <c r="D78" s="24" t="n">
        <v>0.599472</v>
      </c>
      <c r="E78" s="24" t="n">
        <v>0.603282</v>
      </c>
      <c r="F78" s="24" t="n">
        <v>0.606877</v>
      </c>
      <c r="G78" s="24" t="n">
        <v>0.610177</v>
      </c>
      <c r="H78" s="24" t="n">
        <v>0.613102</v>
      </c>
      <c r="I78" s="24" t="n">
        <v>0.615655</v>
      </c>
      <c r="J78" s="24" t="n">
        <v>0.617834</v>
      </c>
      <c r="K78" s="24" t="n">
        <v>0.619603</v>
      </c>
      <c r="L78" s="24" t="n">
        <v>0.620905</v>
      </c>
      <c r="M78" s="24" t="n">
        <v>0.621703</v>
      </c>
      <c r="N78" s="24" t="n">
        <v>0.621968</v>
      </c>
      <c r="O78" s="24" t="n">
        <v>0.622254</v>
      </c>
      <c r="P78" s="24" t="n">
        <v>0.6225579999999999</v>
      </c>
      <c r="Q78" s="24" t="n">
        <v>0.622882</v>
      </c>
      <c r="R78" s="24" t="n">
        <v>0.623223</v>
      </c>
      <c r="S78" s="24" t="n">
        <v>0.623577</v>
      </c>
      <c r="T78" s="24" t="n">
        <v>0.623941</v>
      </c>
      <c r="U78" s="24" t="n">
        <v>0.6243109999999999</v>
      </c>
      <c r="V78" s="24" t="n">
        <v>0.624685</v>
      </c>
      <c r="W78" s="24" t="n">
        <v>0.625057</v>
      </c>
      <c r="X78" s="24" t="n">
        <v>0.625423</v>
      </c>
      <c r="Y78" s="24" t="n">
        <v>0.625779</v>
      </c>
      <c r="Z78" s="24" t="n">
        <v>0.626129</v>
      </c>
      <c r="AA78" s="24" t="n">
        <v>0.626471</v>
      </c>
      <c r="AB78" s="24" t="n">
        <v>0.626804</v>
      </c>
      <c r="AC78" s="24" t="n">
        <v>0.627131</v>
      </c>
      <c r="AD78" s="24" t="n">
        <v>0.627452</v>
      </c>
      <c r="AE78" s="24" t="n">
        <v>0.627773</v>
      </c>
      <c r="AF78" s="24" t="n">
        <v>0.628095</v>
      </c>
      <c r="AG78" s="24" t="n">
        <v>0.6284189999999999</v>
      </c>
      <c r="AH78" s="24" t="n">
        <v>0.628744</v>
      </c>
      <c r="AI78" s="25" t="n">
        <v>0.001757</v>
      </c>
    </row>
    <row r="79" ht="15.75" customHeight="1" s="74">
      <c r="A79" s="2" t="n"/>
      <c r="B79" s="2" t="n"/>
    </row>
    <row r="80" ht="15" customHeight="1" s="74">
      <c r="A80" s="2" t="n"/>
      <c r="B80" s="22" t="inlineStr">
        <is>
          <t xml:space="preserve"> Other Appliances (kilowatthours per year) 2/</t>
        </is>
      </c>
    </row>
    <row r="81" ht="15" customHeight="1" s="74">
      <c r="A81" s="20" t="inlineStr">
        <is>
          <t>RST000:ka_Refrigerators</t>
        </is>
      </c>
      <c r="B81" s="23" t="inlineStr">
        <is>
          <t xml:space="preserve">   Refrigerators</t>
        </is>
      </c>
      <c r="C81" s="24" t="n">
        <v>631.1705930000001</v>
      </c>
      <c r="D81" s="24" t="n">
        <v>621.628296</v>
      </c>
      <c r="E81" s="24" t="n">
        <v>611.962402</v>
      </c>
      <c r="F81" s="24" t="n">
        <v>602.156921</v>
      </c>
      <c r="G81" s="24" t="n">
        <v>592.274841</v>
      </c>
      <c r="H81" s="24" t="n">
        <v>582.931458</v>
      </c>
      <c r="I81" s="24" t="n">
        <v>574.124207</v>
      </c>
      <c r="J81" s="24" t="n">
        <v>565.853333</v>
      </c>
      <c r="K81" s="24" t="n">
        <v>558.10553</v>
      </c>
      <c r="L81" s="24" t="n">
        <v>550.854614</v>
      </c>
      <c r="M81" s="24" t="n">
        <v>544.08429</v>
      </c>
      <c r="N81" s="24" t="n">
        <v>537.809082</v>
      </c>
      <c r="O81" s="24" t="n">
        <v>532.109314</v>
      </c>
      <c r="P81" s="24" t="n">
        <v>526.970093</v>
      </c>
      <c r="Q81" s="24" t="n">
        <v>522.376587</v>
      </c>
      <c r="R81" s="24" t="n">
        <v>518.325195</v>
      </c>
      <c r="S81" s="24" t="n">
        <v>514.789551</v>
      </c>
      <c r="T81" s="24" t="n">
        <v>511.768585</v>
      </c>
      <c r="U81" s="24" t="n">
        <v>509.232849</v>
      </c>
      <c r="V81" s="24" t="n">
        <v>507.201538</v>
      </c>
      <c r="W81" s="24" t="n">
        <v>505.650024</v>
      </c>
      <c r="X81" s="24" t="n">
        <v>504.603546</v>
      </c>
      <c r="Y81" s="24" t="n">
        <v>504.081909</v>
      </c>
      <c r="Z81" s="24" t="n">
        <v>504.069885</v>
      </c>
      <c r="AA81" s="24" t="n">
        <v>504.061951</v>
      </c>
      <c r="AB81" s="24" t="n">
        <v>504.056</v>
      </c>
      <c r="AC81" s="24" t="n">
        <v>504.05246</v>
      </c>
      <c r="AD81" s="24" t="n">
        <v>504.052216</v>
      </c>
      <c r="AE81" s="24" t="n">
        <v>504.052856</v>
      </c>
      <c r="AF81" s="24" t="n">
        <v>504.056</v>
      </c>
      <c r="AG81" s="24" t="n">
        <v>504.062103</v>
      </c>
      <c r="AH81" s="24" t="n">
        <v>504.07016</v>
      </c>
      <c r="AI81" s="25" t="n">
        <v>-0.007227</v>
      </c>
    </row>
    <row r="82" ht="15" customHeight="1" s="74">
      <c r="A82" s="20" t="inlineStr">
        <is>
          <t>RST000:ka_Freezers</t>
        </is>
      </c>
      <c r="B82" s="23" t="inlineStr">
        <is>
          <t xml:space="preserve">   Freezers</t>
        </is>
      </c>
      <c r="C82" s="24" t="n">
        <v>463.170532</v>
      </c>
      <c r="D82" s="24" t="n">
        <v>458.306488</v>
      </c>
      <c r="E82" s="24" t="n">
        <v>453.490967</v>
      </c>
      <c r="F82" s="24" t="n">
        <v>448.717957</v>
      </c>
      <c r="G82" s="24" t="n">
        <v>443.900391</v>
      </c>
      <c r="H82" s="24" t="n">
        <v>439.006927</v>
      </c>
      <c r="I82" s="24" t="n">
        <v>434.040741</v>
      </c>
      <c r="J82" s="24" t="n">
        <v>429.007141</v>
      </c>
      <c r="K82" s="24" t="n">
        <v>423.949982</v>
      </c>
      <c r="L82" s="24" t="n">
        <v>419.136017</v>
      </c>
      <c r="M82" s="24" t="n">
        <v>414.558746</v>
      </c>
      <c r="N82" s="24" t="n">
        <v>410.22171</v>
      </c>
      <c r="O82" s="24" t="n">
        <v>406.1073</v>
      </c>
      <c r="P82" s="24" t="n">
        <v>402.215698</v>
      </c>
      <c r="Q82" s="24" t="n">
        <v>398.561218</v>
      </c>
      <c r="R82" s="24" t="n">
        <v>395.154938</v>
      </c>
      <c r="S82" s="24" t="n">
        <v>391.982391</v>
      </c>
      <c r="T82" s="24" t="n">
        <v>389.084808</v>
      </c>
      <c r="U82" s="24" t="n">
        <v>386.435852</v>
      </c>
      <c r="V82" s="24" t="n">
        <v>384.043488</v>
      </c>
      <c r="W82" s="24" t="n">
        <v>381.891907</v>
      </c>
      <c r="X82" s="24" t="n">
        <v>379.9646</v>
      </c>
      <c r="Y82" s="24" t="n">
        <v>378.305176</v>
      </c>
      <c r="Z82" s="24" t="n">
        <v>376.889771</v>
      </c>
      <c r="AA82" s="24" t="n">
        <v>375.754883</v>
      </c>
      <c r="AB82" s="24" t="n">
        <v>374.917053</v>
      </c>
      <c r="AC82" s="24" t="n">
        <v>374.377533</v>
      </c>
      <c r="AD82" s="24" t="n">
        <v>374.129303</v>
      </c>
      <c r="AE82" s="24" t="n">
        <v>374.124237</v>
      </c>
      <c r="AF82" s="24" t="n">
        <v>374.120117</v>
      </c>
      <c r="AG82" s="24" t="n">
        <v>374.117523</v>
      </c>
      <c r="AH82" s="24" t="n">
        <v>374.116089</v>
      </c>
      <c r="AI82" s="25" t="n">
        <v>-0.006864</v>
      </c>
    </row>
    <row r="83" ht="15.75" customHeight="1" s="74">
      <c r="A83" s="2" t="n"/>
      <c r="B83" s="2" t="n"/>
    </row>
    <row r="84" ht="15" customHeight="1" s="74">
      <c r="A84" s="2" t="n"/>
      <c r="B84" s="22" t="inlineStr">
        <is>
          <t>Building Shell Efficiency Index 3/</t>
        </is>
      </c>
    </row>
    <row r="85" ht="15" customHeight="1" s="74">
      <c r="A85" s="2" t="n"/>
      <c r="B85" s="22" t="inlineStr">
        <is>
          <t xml:space="preserve"> Space Heating</t>
        </is>
      </c>
    </row>
    <row r="86" ht="15" customHeight="1" s="74">
      <c r="A86" s="20" t="inlineStr">
        <is>
          <t>RST000:la_Pre-1998Homes</t>
        </is>
      </c>
      <c r="B86" s="23" t="inlineStr">
        <is>
          <t xml:space="preserve">   Pre-2015 Homes</t>
        </is>
      </c>
      <c r="C86" s="24" t="n">
        <v>0.969267</v>
      </c>
      <c r="D86" s="24" t="n">
        <v>0.962706</v>
      </c>
      <c r="E86" s="24" t="n">
        <v>0.955339</v>
      </c>
      <c r="F86" s="24" t="n">
        <v>0.947742</v>
      </c>
      <c r="G86" s="24" t="n">
        <v>0.940022</v>
      </c>
      <c r="H86" s="24" t="n">
        <v>0.932227</v>
      </c>
      <c r="I86" s="24" t="n">
        <v>0.924206</v>
      </c>
      <c r="J86" s="24" t="n">
        <v>0.915998</v>
      </c>
      <c r="K86" s="24" t="n">
        <v>0.907842</v>
      </c>
      <c r="L86" s="24" t="n">
        <v>0.899898</v>
      </c>
      <c r="M86" s="24" t="n">
        <v>0.89219</v>
      </c>
      <c r="N86" s="24" t="n">
        <v>0.884327</v>
      </c>
      <c r="O86" s="24" t="n">
        <v>0.8766929999999999</v>
      </c>
      <c r="P86" s="24" t="n">
        <v>0.869206</v>
      </c>
      <c r="Q86" s="24" t="n">
        <v>0.8616509999999999</v>
      </c>
      <c r="R86" s="24" t="n">
        <v>0.854077</v>
      </c>
      <c r="S86" s="24" t="n">
        <v>0.846638</v>
      </c>
      <c r="T86" s="24" t="n">
        <v>0.839336</v>
      </c>
      <c r="U86" s="24" t="n">
        <v>0.83202</v>
      </c>
      <c r="V86" s="24" t="n">
        <v>0.824666</v>
      </c>
      <c r="W86" s="24" t="n">
        <v>0.817346</v>
      </c>
      <c r="X86" s="24" t="n">
        <v>0.810111</v>
      </c>
      <c r="Y86" s="24" t="n">
        <v>0.80289</v>
      </c>
      <c r="Z86" s="24" t="n">
        <v>0.795685</v>
      </c>
      <c r="AA86" s="24" t="n">
        <v>0.788478</v>
      </c>
      <c r="AB86" s="24" t="n">
        <v>0.781287</v>
      </c>
      <c r="AC86" s="24" t="n">
        <v>0.774078</v>
      </c>
      <c r="AD86" s="24" t="n">
        <v>0.766887</v>
      </c>
      <c r="AE86" s="24" t="n">
        <v>0.759675</v>
      </c>
      <c r="AF86" s="24" t="n">
        <v>0.75251</v>
      </c>
      <c r="AG86" s="24" t="n">
        <v>0.745378</v>
      </c>
      <c r="AH86" s="24" t="n">
        <v>0.73828</v>
      </c>
      <c r="AI86" s="25" t="n">
        <v>-0.008743000000000001</v>
      </c>
    </row>
    <row r="87" ht="15" customHeight="1" s="74">
      <c r="A87" s="20" t="inlineStr">
        <is>
          <t>RST000:la_NewConstructi</t>
        </is>
      </c>
      <c r="B87" s="23" t="inlineStr">
        <is>
          <t xml:space="preserve">   New Construction</t>
        </is>
      </c>
      <c r="C87" s="24" t="n">
        <v>0.89037</v>
      </c>
      <c r="D87" s="24" t="n">
        <v>0.890933</v>
      </c>
      <c r="E87" s="24" t="n">
        <v>0.8919010000000001</v>
      </c>
      <c r="F87" s="24" t="n">
        <v>0.8939319999999999</v>
      </c>
      <c r="G87" s="24" t="n">
        <v>0.874777</v>
      </c>
      <c r="H87" s="24" t="n">
        <v>0.873441</v>
      </c>
      <c r="I87" s="24" t="n">
        <v>0.87208</v>
      </c>
      <c r="J87" s="24" t="n">
        <v>0.870838</v>
      </c>
      <c r="K87" s="24" t="n">
        <v>0.869726</v>
      </c>
      <c r="L87" s="24" t="n">
        <v>0.868768</v>
      </c>
      <c r="M87" s="24" t="n">
        <v>0.868039</v>
      </c>
      <c r="N87" s="24" t="n">
        <v>0.866945</v>
      </c>
      <c r="O87" s="24" t="n">
        <v>0.866201</v>
      </c>
      <c r="P87" s="24" t="n">
        <v>0.86522</v>
      </c>
      <c r="Q87" s="24" t="n">
        <v>0.860867</v>
      </c>
      <c r="R87" s="24" t="n">
        <v>0.857726</v>
      </c>
      <c r="S87" s="24" t="n">
        <v>0.854396</v>
      </c>
      <c r="T87" s="24" t="n">
        <v>0.853175</v>
      </c>
      <c r="U87" s="24" t="n">
        <v>0.852634</v>
      </c>
      <c r="V87" s="24" t="n">
        <v>0.852576</v>
      </c>
      <c r="W87" s="24" t="n">
        <v>0.852904</v>
      </c>
      <c r="X87" s="24" t="n">
        <v>0.851959</v>
      </c>
      <c r="Y87" s="24" t="n">
        <v>0.850695</v>
      </c>
      <c r="Z87" s="24" t="n">
        <v>0.849901</v>
      </c>
      <c r="AA87" s="24" t="n">
        <v>0.848386</v>
      </c>
      <c r="AB87" s="24" t="n">
        <v>0.846316</v>
      </c>
      <c r="AC87" s="24" t="n">
        <v>0.844184</v>
      </c>
      <c r="AD87" s="24" t="n">
        <v>0.842336</v>
      </c>
      <c r="AE87" s="24" t="n">
        <v>0.841708</v>
      </c>
      <c r="AF87" s="24" t="n">
        <v>0.841482</v>
      </c>
      <c r="AG87" s="24" t="n">
        <v>0.840773</v>
      </c>
      <c r="AH87" s="24" t="n">
        <v>0.840123</v>
      </c>
      <c r="AI87" s="25" t="n">
        <v>-0.001872</v>
      </c>
    </row>
    <row r="88" ht="15" customHeight="1" s="74">
      <c r="A88" s="20" t="inlineStr">
        <is>
          <t>RST000:la_AllHomes</t>
        </is>
      </c>
      <c r="B88" s="23" t="inlineStr">
        <is>
          <t xml:space="preserve">     All Homes</t>
        </is>
      </c>
      <c r="C88" s="24" t="n">
        <v>0.965274</v>
      </c>
      <c r="D88" s="24" t="n">
        <v>0.9582039999999999</v>
      </c>
      <c r="E88" s="24" t="n">
        <v>0.950527</v>
      </c>
      <c r="F88" s="24" t="n">
        <v>0.9428339999999999</v>
      </c>
      <c r="G88" s="24" t="n">
        <v>0.934983</v>
      </c>
      <c r="H88" s="24" t="n">
        <v>0.927238</v>
      </c>
      <c r="I88" s="24" t="n">
        <v>0.919449</v>
      </c>
      <c r="J88" s="24" t="n">
        <v>0.911667</v>
      </c>
      <c r="K88" s="24" t="n">
        <v>0.904102</v>
      </c>
      <c r="L88" s="24" t="n">
        <v>0.8968739999999999</v>
      </c>
      <c r="M88" s="24" t="n">
        <v>0.889997</v>
      </c>
      <c r="N88" s="24" t="n">
        <v>0.883121</v>
      </c>
      <c r="O88" s="24" t="n">
        <v>0.876572</v>
      </c>
      <c r="P88" s="24" t="n">
        <v>0.870279</v>
      </c>
      <c r="Q88" s="24" t="n">
        <v>0.864017</v>
      </c>
      <c r="R88" s="24" t="n">
        <v>0.857841</v>
      </c>
      <c r="S88" s="24" t="n">
        <v>0.851867</v>
      </c>
      <c r="T88" s="24" t="n">
        <v>0.846113</v>
      </c>
      <c r="U88" s="24" t="n">
        <v>0.84046</v>
      </c>
      <c r="V88" s="24" t="n">
        <v>0.834891</v>
      </c>
      <c r="W88" s="24" t="n">
        <v>0.82946</v>
      </c>
      <c r="X88" s="24" t="n">
        <v>0.824191</v>
      </c>
      <c r="Y88" s="24" t="n">
        <v>0.819024</v>
      </c>
      <c r="Z88" s="24" t="n">
        <v>0.813962</v>
      </c>
      <c r="AA88" s="24" t="n">
        <v>0.808985</v>
      </c>
      <c r="AB88" s="24" t="n">
        <v>0.804105</v>
      </c>
      <c r="AC88" s="24" t="n">
        <v>0.799293</v>
      </c>
      <c r="AD88" s="24" t="n">
        <v>0.794579</v>
      </c>
      <c r="AE88" s="24" t="n">
        <v>0.789943</v>
      </c>
      <c r="AF88" s="24" t="n">
        <v>0.78543</v>
      </c>
      <c r="AG88" s="24" t="n">
        <v>0.781022</v>
      </c>
      <c r="AH88" s="24" t="n">
        <v>0.776717</v>
      </c>
      <c r="AI88" s="25" t="n">
        <v>-0.006986</v>
      </c>
    </row>
    <row r="89" ht="15.75" customHeight="1" s="74">
      <c r="A89" s="2" t="n"/>
      <c r="B89" s="2" t="n"/>
    </row>
    <row r="90" ht="15" customHeight="1" s="74">
      <c r="A90" s="2" t="n"/>
      <c r="B90" s="22" t="inlineStr">
        <is>
          <t xml:space="preserve"> Space Cooling</t>
        </is>
      </c>
    </row>
    <row r="91" ht="15" customHeight="1" s="74">
      <c r="A91" s="20" t="inlineStr">
        <is>
          <t>RST000:ma_Pre-1998Homes</t>
        </is>
      </c>
      <c r="B91" s="23" t="inlineStr">
        <is>
          <t xml:space="preserve">   Pre-2015 Homes</t>
        </is>
      </c>
      <c r="C91" s="24" t="n">
        <v>0.9899019999999999</v>
      </c>
      <c r="D91" s="24" t="n">
        <v>0.9878169999999999</v>
      </c>
      <c r="E91" s="24" t="n">
        <v>0.985382</v>
      </c>
      <c r="F91" s="24" t="n">
        <v>0.982841</v>
      </c>
      <c r="G91" s="24" t="n">
        <v>0.980237</v>
      </c>
      <c r="H91" s="24" t="n">
        <v>0.977597</v>
      </c>
      <c r="I91" s="24" t="n">
        <v>0.9748599999999999</v>
      </c>
      <c r="J91" s="24" t="n">
        <v>0.972048</v>
      </c>
      <c r="K91" s="24" t="n">
        <v>0.969249</v>
      </c>
      <c r="L91" s="24" t="n">
        <v>0.966517</v>
      </c>
      <c r="M91" s="24" t="n">
        <v>0.96387</v>
      </c>
      <c r="N91" s="24" t="n">
        <v>0.961158</v>
      </c>
      <c r="O91" s="24" t="n">
        <v>0.958508</v>
      </c>
      <c r="P91" s="24" t="n">
        <v>0.9559</v>
      </c>
      <c r="Q91" s="24" t="n">
        <v>0.953245</v>
      </c>
      <c r="R91" s="24" t="n">
        <v>0.95058</v>
      </c>
      <c r="S91" s="24" t="n">
        <v>0.947962</v>
      </c>
      <c r="T91" s="24" t="n">
        <v>0.945392</v>
      </c>
      <c r="U91" s="24" t="n">
        <v>0.942814</v>
      </c>
      <c r="V91" s="24" t="n">
        <v>0.940207</v>
      </c>
      <c r="W91" s="24" t="n">
        <v>0.937607</v>
      </c>
      <c r="X91" s="24" t="n">
        <v>0.935039</v>
      </c>
      <c r="Y91" s="24" t="n">
        <v>0.932463</v>
      </c>
      <c r="Z91" s="24" t="n">
        <v>0.929872</v>
      </c>
      <c r="AA91" s="24" t="n">
        <v>0.927284</v>
      </c>
      <c r="AB91" s="24" t="n">
        <v>0.924697</v>
      </c>
      <c r="AC91" s="24" t="n">
        <v>0.922095</v>
      </c>
      <c r="AD91" s="24" t="n">
        <v>0.919496</v>
      </c>
      <c r="AE91" s="24" t="n">
        <v>0.916878</v>
      </c>
      <c r="AF91" s="24" t="n">
        <v>0.91427</v>
      </c>
      <c r="AG91" s="24" t="n">
        <v>0.911672</v>
      </c>
      <c r="AH91" s="24" t="n">
        <v>0.9090819999999999</v>
      </c>
      <c r="AI91" s="25" t="n">
        <v>-0.002744</v>
      </c>
    </row>
    <row r="92" ht="15" customHeight="1" s="74">
      <c r="A92" s="20" t="inlineStr">
        <is>
          <t>RST000:ma_NewConstructi</t>
        </is>
      </c>
      <c r="B92" s="23" t="inlineStr">
        <is>
          <t xml:space="preserve">   New Construction</t>
        </is>
      </c>
      <c r="C92" s="24" t="n">
        <v>0.999447</v>
      </c>
      <c r="D92" s="24" t="n">
        <v>0.999227</v>
      </c>
      <c r="E92" s="24" t="n">
        <v>0.9991910000000001</v>
      </c>
      <c r="F92" s="24" t="n">
        <v>0.999526</v>
      </c>
      <c r="G92" s="24" t="n">
        <v>0.993251</v>
      </c>
      <c r="H92" s="24" t="n">
        <v>0.992742</v>
      </c>
      <c r="I92" s="24" t="n">
        <v>0.9920870000000001</v>
      </c>
      <c r="J92" s="24" t="n">
        <v>0.9917859999999999</v>
      </c>
      <c r="K92" s="24" t="n">
        <v>0.991488</v>
      </c>
      <c r="L92" s="24" t="n">
        <v>0.991473</v>
      </c>
      <c r="M92" s="24" t="n">
        <v>0.99128</v>
      </c>
      <c r="N92" s="24" t="n">
        <v>0.99089</v>
      </c>
      <c r="O92" s="24" t="n">
        <v>0.9907550000000001</v>
      </c>
      <c r="P92" s="24" t="n">
        <v>0.990941</v>
      </c>
      <c r="Q92" s="24" t="n">
        <v>0.988675</v>
      </c>
      <c r="R92" s="24" t="n">
        <v>0.986842</v>
      </c>
      <c r="S92" s="24" t="n">
        <v>0.984645</v>
      </c>
      <c r="T92" s="24" t="n">
        <v>0.98351</v>
      </c>
      <c r="U92" s="24" t="n">
        <v>0.982931</v>
      </c>
      <c r="V92" s="24" t="n">
        <v>0.9825159999999999</v>
      </c>
      <c r="W92" s="24" t="n">
        <v>0.982708</v>
      </c>
      <c r="X92" s="24" t="n">
        <v>0.982251</v>
      </c>
      <c r="Y92" s="24" t="n">
        <v>0.98183</v>
      </c>
      <c r="Z92" s="24" t="n">
        <v>0.981967</v>
      </c>
      <c r="AA92" s="24" t="n">
        <v>0.981534</v>
      </c>
      <c r="AB92" s="24" t="n">
        <v>0.980666</v>
      </c>
      <c r="AC92" s="24" t="n">
        <v>0.979689</v>
      </c>
      <c r="AD92" s="24" t="n">
        <v>0.979006</v>
      </c>
      <c r="AE92" s="24" t="n">
        <v>0.978945</v>
      </c>
      <c r="AF92" s="24" t="n">
        <v>0.978962</v>
      </c>
      <c r="AG92" s="24" t="n">
        <v>0.978576</v>
      </c>
      <c r="AH92" s="24" t="n">
        <v>0.978158</v>
      </c>
      <c r="AI92" s="25" t="n">
        <v>-0.000694</v>
      </c>
    </row>
    <row r="93" ht="15" customHeight="1" s="74">
      <c r="A93" s="20" t="inlineStr">
        <is>
          <t>RST000:ma_AllHomes</t>
        </is>
      </c>
      <c r="B93" s="23" t="inlineStr">
        <is>
          <t xml:space="preserve">     All Homes</t>
        </is>
      </c>
      <c r="C93" s="24" t="n">
        <v>0.990282</v>
      </c>
      <c r="D93" s="24" t="n">
        <v>0.9883729999999999</v>
      </c>
      <c r="E93" s="24" t="n">
        <v>0.986171</v>
      </c>
      <c r="F93" s="24" t="n">
        <v>0.983916</v>
      </c>
      <c r="G93" s="24" t="n">
        <v>0.981578</v>
      </c>
      <c r="H93" s="24" t="n">
        <v>0.979244</v>
      </c>
      <c r="I93" s="24" t="n">
        <v>0.976857</v>
      </c>
      <c r="J93" s="24" t="n">
        <v>0.974437</v>
      </c>
      <c r="K93" s="24" t="n">
        <v>0.972062</v>
      </c>
      <c r="L93" s="24" t="n">
        <v>0.969783</v>
      </c>
      <c r="M93" s="24" t="n">
        <v>0.967611</v>
      </c>
      <c r="N93" s="24" t="n">
        <v>0.965415</v>
      </c>
      <c r="O93" s="24" t="n">
        <v>0.96331</v>
      </c>
      <c r="P93" s="24" t="n">
        <v>0.961271</v>
      </c>
      <c r="Q93" s="24" t="n">
        <v>0.959198</v>
      </c>
      <c r="R93" s="24" t="n">
        <v>0.95713</v>
      </c>
      <c r="S93" s="24" t="n">
        <v>0.955114</v>
      </c>
      <c r="T93" s="24" t="n">
        <v>0.953149</v>
      </c>
      <c r="U93" s="24" t="n">
        <v>0.951196</v>
      </c>
      <c r="V93" s="24" t="n">
        <v>0.949238</v>
      </c>
      <c r="W93" s="24" t="n">
        <v>0.947307</v>
      </c>
      <c r="X93" s="24" t="n">
        <v>0.945423</v>
      </c>
      <c r="Y93" s="24" t="n">
        <v>0.9435519999999999</v>
      </c>
      <c r="Z93" s="24" t="n">
        <v>0.941692</v>
      </c>
      <c r="AA93" s="24" t="n">
        <v>0.939856</v>
      </c>
      <c r="AB93" s="24" t="n">
        <v>0.938042</v>
      </c>
      <c r="AC93" s="24" t="n">
        <v>0.936234</v>
      </c>
      <c r="AD93" s="24" t="n">
        <v>0.934449</v>
      </c>
      <c r="AE93" s="24" t="n">
        <v>0.9326719999999999</v>
      </c>
      <c r="AF93" s="24" t="n">
        <v>0.930922</v>
      </c>
      <c r="AG93" s="24" t="n">
        <v>0.929196</v>
      </c>
      <c r="AH93" s="24" t="n">
        <v>0.927489</v>
      </c>
      <c r="AI93" s="25" t="n">
        <v>-0.002111</v>
      </c>
    </row>
    <row r="94" ht="15.75" customHeight="1" s="74">
      <c r="A94" s="2" t="n"/>
      <c r="B94" s="2" t="n"/>
    </row>
    <row r="95" ht="15" customHeight="1" s="74">
      <c r="A95" s="2" t="n"/>
      <c r="B95" s="22" t="inlineStr">
        <is>
          <t xml:space="preserve"> Distributed Generation and</t>
        </is>
      </c>
    </row>
    <row r="96" ht="15" customHeight="1" s="74">
      <c r="A96" s="2" t="n"/>
      <c r="B96" s="22" t="inlineStr">
        <is>
          <t xml:space="preserve"> Combined Heat and Power</t>
        </is>
      </c>
    </row>
    <row r="97" ht="15" customHeight="1" s="74">
      <c r="A97" s="2" t="n"/>
      <c r="B97" s="22" t="inlineStr">
        <is>
          <t xml:space="preserve">   Generating Capacity (gigawatts)</t>
        </is>
      </c>
    </row>
    <row r="98" ht="15" customHeight="1" s="74">
      <c r="A98" s="20" t="inlineStr">
        <is>
          <t>RST000:dgc_FuelsCells</t>
        </is>
      </c>
      <c r="B98" s="23" t="inlineStr">
        <is>
          <t xml:space="preserve">     Natural Gas Fuel Cells</t>
        </is>
      </c>
      <c r="C98" s="24" t="n">
        <v>0</v>
      </c>
      <c r="D98" s="24" t="n">
        <v>0</v>
      </c>
      <c r="E98" s="24" t="n">
        <v>0</v>
      </c>
      <c r="F98" s="24" t="n">
        <v>0</v>
      </c>
      <c r="G98" s="24" t="n">
        <v>0</v>
      </c>
      <c r="H98" s="24" t="n">
        <v>0</v>
      </c>
      <c r="I98" s="24" t="n">
        <v>0</v>
      </c>
      <c r="J98" s="24" t="n">
        <v>0</v>
      </c>
      <c r="K98" s="24" t="n">
        <v>0</v>
      </c>
      <c r="L98" s="24" t="n">
        <v>0</v>
      </c>
      <c r="M98" s="24" t="n">
        <v>0</v>
      </c>
      <c r="N98" s="24" t="n">
        <v>0</v>
      </c>
      <c r="O98" s="24" t="n">
        <v>0</v>
      </c>
      <c r="P98" s="24" t="n">
        <v>0</v>
      </c>
      <c r="Q98" s="24" t="n">
        <v>0</v>
      </c>
      <c r="R98" s="24" t="n">
        <v>2e-06</v>
      </c>
      <c r="S98" s="24" t="n">
        <v>5e-06</v>
      </c>
      <c r="T98" s="24" t="n">
        <v>1.1e-05</v>
      </c>
      <c r="U98" s="24" t="n">
        <v>2.2e-05</v>
      </c>
      <c r="V98" s="24" t="n">
        <v>4.3e-05</v>
      </c>
      <c r="W98" s="24" t="n">
        <v>8.1e-05</v>
      </c>
      <c r="X98" s="24" t="n">
        <v>0.000151</v>
      </c>
      <c r="Y98" s="24" t="n">
        <v>0.000279</v>
      </c>
      <c r="Z98" s="24" t="n">
        <v>0.000407</v>
      </c>
      <c r="AA98" s="24" t="n">
        <v>0.000536</v>
      </c>
      <c r="AB98" s="24" t="n">
        <v>0.000666</v>
      </c>
      <c r="AC98" s="24" t="n">
        <v>0.000797</v>
      </c>
      <c r="AD98" s="24" t="n">
        <v>0.0009300000000000001</v>
      </c>
      <c r="AE98" s="24" t="n">
        <v>0.001064</v>
      </c>
      <c r="AF98" s="24" t="n">
        <v>0.001197</v>
      </c>
      <c r="AG98" s="24" t="n">
        <v>0.001331</v>
      </c>
      <c r="AH98" s="24" t="n">
        <v>0.001466</v>
      </c>
      <c r="AI98" s="25" t="inlineStr">
        <is>
          <t>- -</t>
        </is>
      </c>
    </row>
    <row r="99" ht="15" customHeight="1" s="74">
      <c r="A99" s="20" t="inlineStr">
        <is>
          <t>RST000:dgc_SolarPhoto</t>
        </is>
      </c>
      <c r="B99" s="23" t="inlineStr">
        <is>
          <t xml:space="preserve">     Solar Photovoltaic</t>
        </is>
      </c>
      <c r="C99" s="28" t="n">
        <v>15.371175</v>
      </c>
      <c r="D99" s="28" t="n">
        <v>17.789476</v>
      </c>
      <c r="E99" s="28" t="n">
        <v>20.174282</v>
      </c>
      <c r="F99" s="28" t="n">
        <v>22.494509</v>
      </c>
      <c r="G99" s="28" t="n">
        <v>24.817797</v>
      </c>
      <c r="H99" s="28" t="n">
        <v>27.148113</v>
      </c>
      <c r="I99" s="28" t="n">
        <v>29.491848</v>
      </c>
      <c r="J99" s="28" t="n">
        <v>31.857082</v>
      </c>
      <c r="K99" s="28" t="n">
        <v>34.242168</v>
      </c>
      <c r="L99" s="28" t="n">
        <v>36.649826</v>
      </c>
      <c r="M99" s="28" t="n">
        <v>39.084167</v>
      </c>
      <c r="N99" s="28" t="n">
        <v>41.55579</v>
      </c>
      <c r="O99" s="28" t="n">
        <v>44.056389</v>
      </c>
      <c r="P99" s="28" t="n">
        <v>46.576397</v>
      </c>
      <c r="Q99" s="28" t="n">
        <v>49.118954</v>
      </c>
      <c r="R99" s="28" t="n">
        <v>51.687271</v>
      </c>
      <c r="S99" s="28" t="n">
        <v>54.275101</v>
      </c>
      <c r="T99" s="28" t="n">
        <v>56.87804</v>
      </c>
      <c r="U99" s="28" t="n">
        <v>59.506382</v>
      </c>
      <c r="V99" s="28" t="n">
        <v>62.160278</v>
      </c>
      <c r="W99" s="28" t="n">
        <v>64.83560900000001</v>
      </c>
      <c r="X99" s="28" t="n">
        <v>67.541222</v>
      </c>
      <c r="Y99" s="28" t="n">
        <v>70.26460299999999</v>
      </c>
      <c r="Z99" s="28" t="n">
        <v>73.011826</v>
      </c>
      <c r="AA99" s="28" t="n">
        <v>75.781441</v>
      </c>
      <c r="AB99" s="28" t="n">
        <v>78.573357</v>
      </c>
      <c r="AC99" s="28" t="n">
        <v>81.397156</v>
      </c>
      <c r="AD99" s="28" t="n">
        <v>84.25427999999999</v>
      </c>
      <c r="AE99" s="28" t="n">
        <v>87.14621699999999</v>
      </c>
      <c r="AF99" s="28" t="n">
        <v>90.068077</v>
      </c>
      <c r="AG99" s="28" t="n">
        <v>93.02538300000001</v>
      </c>
      <c r="AH99" s="28" t="n">
        <v>96.01293200000001</v>
      </c>
      <c r="AI99" s="25" t="n">
        <v>0.060878</v>
      </c>
    </row>
    <row r="100" ht="15" customHeight="1" s="74">
      <c r="A100" s="20" t="inlineStr">
        <is>
          <t>RST000:dgc_WindHuffHuff</t>
        </is>
      </c>
      <c r="B100" s="23" t="inlineStr">
        <is>
          <t xml:space="preserve">     Wind</t>
        </is>
      </c>
      <c r="C100" s="28" t="n">
        <v>0.01408</v>
      </c>
      <c r="D100" s="28" t="n">
        <v>0.01408</v>
      </c>
      <c r="E100" s="28" t="n">
        <v>0.01408</v>
      </c>
      <c r="F100" s="28" t="n">
        <v>0.01408</v>
      </c>
      <c r="G100" s="28" t="n">
        <v>0.01408</v>
      </c>
      <c r="H100" s="28" t="n">
        <v>0.01408</v>
      </c>
      <c r="I100" s="28" t="n">
        <v>0.01408</v>
      </c>
      <c r="J100" s="28" t="n">
        <v>0.01408</v>
      </c>
      <c r="K100" s="28" t="n">
        <v>0.01408</v>
      </c>
      <c r="L100" s="28" t="n">
        <v>0.01408</v>
      </c>
      <c r="M100" s="28" t="n">
        <v>0.01408</v>
      </c>
      <c r="N100" s="28" t="n">
        <v>0.01408</v>
      </c>
      <c r="O100" s="28" t="n">
        <v>0.01408</v>
      </c>
      <c r="P100" s="28" t="n">
        <v>0.01408</v>
      </c>
      <c r="Q100" s="28" t="n">
        <v>0.014081</v>
      </c>
      <c r="R100" s="28" t="n">
        <v>0.014084</v>
      </c>
      <c r="S100" s="28" t="n">
        <v>0.01409</v>
      </c>
      <c r="T100" s="28" t="n">
        <v>0.014102</v>
      </c>
      <c r="U100" s="28" t="n">
        <v>0.014124</v>
      </c>
      <c r="V100" s="28" t="n">
        <v>0.014166</v>
      </c>
      <c r="W100" s="28" t="n">
        <v>0.014242</v>
      </c>
      <c r="X100" s="28" t="n">
        <v>0.014382</v>
      </c>
      <c r="Y100" s="28" t="n">
        <v>0.014637</v>
      </c>
      <c r="Z100" s="28" t="n">
        <v>0.014893</v>
      </c>
      <c r="AA100" s="28" t="n">
        <v>0.015151</v>
      </c>
      <c r="AB100" s="28" t="n">
        <v>0.015412</v>
      </c>
      <c r="AC100" s="28" t="n">
        <v>0.015675</v>
      </c>
      <c r="AD100" s="28" t="n">
        <v>0.01594</v>
      </c>
      <c r="AE100" s="28" t="n">
        <v>0.016207</v>
      </c>
      <c r="AF100" s="28" t="n">
        <v>0.016475</v>
      </c>
      <c r="AG100" s="28" t="n">
        <v>0.016743</v>
      </c>
      <c r="AH100" s="28" t="n">
        <v>0.017012</v>
      </c>
      <c r="AI100" s="25" t="n">
        <v>0.006121</v>
      </c>
    </row>
    <row r="101" ht="15" customHeight="1" s="74">
      <c r="A101" s="20" t="inlineStr">
        <is>
          <t>RST000:dgc_TotalCap</t>
        </is>
      </c>
      <c r="B101" s="23" t="inlineStr">
        <is>
          <t xml:space="preserve">       Total</t>
        </is>
      </c>
      <c r="C101" s="28" t="n">
        <v>15.385255</v>
      </c>
      <c r="D101" s="28" t="n">
        <v>17.803556</v>
      </c>
      <c r="E101" s="28" t="n">
        <v>20.188362</v>
      </c>
      <c r="F101" s="28" t="n">
        <v>22.508589</v>
      </c>
      <c r="G101" s="28" t="n">
        <v>24.831877</v>
      </c>
      <c r="H101" s="28" t="n">
        <v>27.162193</v>
      </c>
      <c r="I101" s="28" t="n">
        <v>29.505928</v>
      </c>
      <c r="J101" s="28" t="n">
        <v>31.871162</v>
      </c>
      <c r="K101" s="28" t="n">
        <v>34.256248</v>
      </c>
      <c r="L101" s="28" t="n">
        <v>36.663906</v>
      </c>
      <c r="M101" s="28" t="n">
        <v>39.098248</v>
      </c>
      <c r="N101" s="28" t="n">
        <v>41.56987</v>
      </c>
      <c r="O101" s="28" t="n">
        <v>44.070469</v>
      </c>
      <c r="P101" s="28" t="n">
        <v>46.590477</v>
      </c>
      <c r="Q101" s="28" t="n">
        <v>49.133034</v>
      </c>
      <c r="R101" s="28" t="n">
        <v>51.701355</v>
      </c>
      <c r="S101" s="28" t="n">
        <v>54.289196</v>
      </c>
      <c r="T101" s="28" t="n">
        <v>56.892155</v>
      </c>
      <c r="U101" s="28" t="n">
        <v>59.520527</v>
      </c>
      <c r="V101" s="28" t="n">
        <v>62.174484</v>
      </c>
      <c r="W101" s="28" t="n">
        <v>64.849937</v>
      </c>
      <c r="X101" s="28" t="n">
        <v>67.555756</v>
      </c>
      <c r="Y101" s="28" t="n">
        <v>70.279526</v>
      </c>
      <c r="Z101" s="28" t="n">
        <v>73.02712200000001</v>
      </c>
      <c r="AA101" s="28" t="n">
        <v>75.797127</v>
      </c>
      <c r="AB101" s="28" t="n">
        <v>78.589432</v>
      </c>
      <c r="AC101" s="28" t="n">
        <v>81.413635</v>
      </c>
      <c r="AD101" s="28" t="n">
        <v>84.27114899999999</v>
      </c>
      <c r="AE101" s="28" t="n">
        <v>87.163483</v>
      </c>
      <c r="AF101" s="28" t="n">
        <v>90.085747</v>
      </c>
      <c r="AG101" s="28" t="n">
        <v>93.043465</v>
      </c>
      <c r="AH101" s="28" t="n">
        <v>96.03140999999999</v>
      </c>
      <c r="AI101" s="25" t="n">
        <v>0.060853</v>
      </c>
    </row>
    <row r="102" ht="15" customHeight="1" s="74">
      <c r="A102" s="2" t="n"/>
      <c r="B102" s="22" t="inlineStr">
        <is>
          <t xml:space="preserve">   Net Generation (billion kilowatthours)</t>
        </is>
      </c>
    </row>
    <row r="103" ht="15" customHeight="1" s="74">
      <c r="A103" s="20" t="inlineStr">
        <is>
          <t>RST000:dgg_FuelCells</t>
        </is>
      </c>
      <c r="B103" s="23" t="inlineStr">
        <is>
          <t xml:space="preserve">     Natural Gas Fuel Cells</t>
        </is>
      </c>
      <c r="C103" s="29" t="n">
        <v>0</v>
      </c>
      <c r="D103" s="29" t="n">
        <v>0</v>
      </c>
      <c r="E103" s="29" t="n">
        <v>0</v>
      </c>
      <c r="F103" s="29" t="n">
        <v>0</v>
      </c>
      <c r="G103" s="29" t="n">
        <v>0</v>
      </c>
      <c r="H103" s="29" t="n">
        <v>0</v>
      </c>
      <c r="I103" s="29" t="n">
        <v>0</v>
      </c>
      <c r="J103" s="29" t="n">
        <v>0</v>
      </c>
      <c r="K103" s="29" t="n">
        <v>0</v>
      </c>
      <c r="L103" s="29" t="n">
        <v>0</v>
      </c>
      <c r="M103" s="29" t="n">
        <v>0</v>
      </c>
      <c r="N103" s="29" t="n">
        <v>0</v>
      </c>
      <c r="O103" s="29" t="n">
        <v>0</v>
      </c>
      <c r="P103" s="29" t="n">
        <v>0</v>
      </c>
      <c r="Q103" s="29" t="n">
        <v>1e-06</v>
      </c>
      <c r="R103" s="29" t="n">
        <v>5e-06</v>
      </c>
      <c r="S103" s="29" t="n">
        <v>1.4e-05</v>
      </c>
      <c r="T103" s="29" t="n">
        <v>3e-05</v>
      </c>
      <c r="U103" s="29" t="n">
        <v>6.1e-05</v>
      </c>
      <c r="V103" s="29" t="n">
        <v>0.000119</v>
      </c>
      <c r="W103" s="29" t="n">
        <v>0.000225</v>
      </c>
      <c r="X103" s="29" t="n">
        <v>0.000421</v>
      </c>
      <c r="Y103" s="29" t="n">
        <v>0.000777</v>
      </c>
      <c r="Z103" s="29" t="n">
        <v>0.001134</v>
      </c>
      <c r="AA103" s="29" t="n">
        <v>0.001494</v>
      </c>
      <c r="AB103" s="29" t="n">
        <v>0.001858</v>
      </c>
      <c r="AC103" s="29" t="n">
        <v>0.002225</v>
      </c>
      <c r="AD103" s="29" t="n">
        <v>0.002595</v>
      </c>
      <c r="AE103" s="29" t="n">
        <v>0.002967</v>
      </c>
      <c r="AF103" s="29" t="n">
        <v>0.003341</v>
      </c>
      <c r="AG103" s="29" t="n">
        <v>0.003715</v>
      </c>
      <c r="AH103" s="29" t="n">
        <v>0.00409</v>
      </c>
      <c r="AI103" s="25" t="inlineStr">
        <is>
          <t>- -</t>
        </is>
      </c>
    </row>
    <row r="104" ht="15" customHeight="1" s="74">
      <c r="A104" s="20" t="inlineStr">
        <is>
          <t>RST000:dgg_SolarPhoto</t>
        </is>
      </c>
      <c r="B104" s="23" t="inlineStr">
        <is>
          <t xml:space="preserve">     Solar Photovoltaic</t>
        </is>
      </c>
      <c r="C104" s="28" t="n">
        <v>21.794682</v>
      </c>
      <c r="D104" s="28" t="n">
        <v>24.929657</v>
      </c>
      <c r="E104" s="28" t="n">
        <v>28.010868</v>
      </c>
      <c r="F104" s="28" t="n">
        <v>30.986258</v>
      </c>
      <c r="G104" s="28" t="n">
        <v>33.966179</v>
      </c>
      <c r="H104" s="28" t="n">
        <v>36.957527</v>
      </c>
      <c r="I104" s="28" t="n">
        <v>39.970741</v>
      </c>
      <c r="J104" s="28" t="n">
        <v>43.018539</v>
      </c>
      <c r="K104" s="28" t="n">
        <v>46.09861</v>
      </c>
      <c r="L104" s="28" t="n">
        <v>49.215427</v>
      </c>
      <c r="M104" s="28" t="n">
        <v>52.375767</v>
      </c>
      <c r="N104" s="28" t="n">
        <v>55.596657</v>
      </c>
      <c r="O104" s="28" t="n">
        <v>58.864422</v>
      </c>
      <c r="P104" s="28" t="n">
        <v>62.163857</v>
      </c>
      <c r="Q104" s="28" t="n">
        <v>65.500038</v>
      </c>
      <c r="R104" s="28" t="n">
        <v>68.878136</v>
      </c>
      <c r="S104" s="28" t="n">
        <v>72.288414</v>
      </c>
      <c r="T104" s="28" t="n">
        <v>75.723862</v>
      </c>
      <c r="U104" s="28" t="n">
        <v>79.201019</v>
      </c>
      <c r="V104" s="28" t="n">
        <v>82.72023799999999</v>
      </c>
      <c r="W104" s="28" t="n">
        <v>86.27494</v>
      </c>
      <c r="X104" s="28" t="n">
        <v>89.879532</v>
      </c>
      <c r="Y104" s="28" t="n">
        <v>93.51366400000001</v>
      </c>
      <c r="Z104" s="28" t="n">
        <v>97.186829</v>
      </c>
      <c r="AA104" s="28" t="n">
        <v>100.896858</v>
      </c>
      <c r="AB104" s="28" t="n">
        <v>104.643654</v>
      </c>
      <c r="AC104" s="28" t="n">
        <v>108.442757</v>
      </c>
      <c r="AD104" s="28" t="n">
        <v>112.296341</v>
      </c>
      <c r="AE104" s="28" t="n">
        <v>116.206825</v>
      </c>
      <c r="AF104" s="28" t="n">
        <v>120.166481</v>
      </c>
      <c r="AG104" s="28" t="n">
        <v>124.184105</v>
      </c>
      <c r="AH104" s="28" t="n">
        <v>128.251419</v>
      </c>
      <c r="AI104" s="25" t="n">
        <v>0.058838</v>
      </c>
    </row>
    <row r="105" ht="15" customHeight="1" s="74">
      <c r="A105" s="20" t="inlineStr">
        <is>
          <t>RST000:dgg_WindHuffHuff</t>
        </is>
      </c>
      <c r="B105" s="23" t="inlineStr">
        <is>
          <t xml:space="preserve">     Wind</t>
        </is>
      </c>
      <c r="C105" s="28" t="n">
        <v>0.018376</v>
      </c>
      <c r="D105" s="28" t="n">
        <v>0.018376</v>
      </c>
      <c r="E105" s="28" t="n">
        <v>0.018376</v>
      </c>
      <c r="F105" s="28" t="n">
        <v>0.018376</v>
      </c>
      <c r="G105" s="28" t="n">
        <v>0.018376</v>
      </c>
      <c r="H105" s="28" t="n">
        <v>0.018376</v>
      </c>
      <c r="I105" s="28" t="n">
        <v>0.018376</v>
      </c>
      <c r="J105" s="28" t="n">
        <v>0.018376</v>
      </c>
      <c r="K105" s="28" t="n">
        <v>0.018376</v>
      </c>
      <c r="L105" s="28" t="n">
        <v>0.018376</v>
      </c>
      <c r="M105" s="28" t="n">
        <v>0.018376</v>
      </c>
      <c r="N105" s="28" t="n">
        <v>0.018376</v>
      </c>
      <c r="O105" s="28" t="n">
        <v>0.018376</v>
      </c>
      <c r="P105" s="28" t="n">
        <v>0.018376</v>
      </c>
      <c r="Q105" s="28" t="n">
        <v>0.018377</v>
      </c>
      <c r="R105" s="28" t="n">
        <v>0.01838</v>
      </c>
      <c r="S105" s="28" t="n">
        <v>0.018386</v>
      </c>
      <c r="T105" s="28" t="n">
        <v>0.018398</v>
      </c>
      <c r="U105" s="28" t="n">
        <v>0.018421</v>
      </c>
      <c r="V105" s="28" t="n">
        <v>0.018463</v>
      </c>
      <c r="W105" s="28" t="n">
        <v>0.018541</v>
      </c>
      <c r="X105" s="28" t="n">
        <v>0.018685</v>
      </c>
      <c r="Y105" s="28" t="n">
        <v>0.018947</v>
      </c>
      <c r="Z105" s="28" t="n">
        <v>0.019209</v>
      </c>
      <c r="AA105" s="28" t="n">
        <v>0.019473</v>
      </c>
      <c r="AB105" s="28" t="n">
        <v>0.01974</v>
      </c>
      <c r="AC105" s="28" t="n">
        <v>0.020009</v>
      </c>
      <c r="AD105" s="28" t="n">
        <v>0.02028</v>
      </c>
      <c r="AE105" s="28" t="n">
        <v>0.020552</v>
      </c>
      <c r="AF105" s="28" t="n">
        <v>0.020826</v>
      </c>
      <c r="AG105" s="28" t="n">
        <v>0.021099</v>
      </c>
      <c r="AH105" s="28" t="n">
        <v>0.021374</v>
      </c>
      <c r="AI105" s="25" t="n">
        <v>0.004887</v>
      </c>
    </row>
    <row r="106" ht="15" customHeight="1" s="74">
      <c r="A106" s="20" t="inlineStr">
        <is>
          <t>RST000:dgg_TotalGen</t>
        </is>
      </c>
      <c r="B106" s="23" t="inlineStr">
        <is>
          <t xml:space="preserve">       Total</t>
        </is>
      </c>
      <c r="C106" s="28" t="n">
        <v>21.813057</v>
      </c>
      <c r="D106" s="28" t="n">
        <v>24.948032</v>
      </c>
      <c r="E106" s="28" t="n">
        <v>28.029243</v>
      </c>
      <c r="F106" s="28" t="n">
        <v>31.004633</v>
      </c>
      <c r="G106" s="28" t="n">
        <v>33.984554</v>
      </c>
      <c r="H106" s="28" t="n">
        <v>36.975903</v>
      </c>
      <c r="I106" s="28" t="n">
        <v>39.989117</v>
      </c>
      <c r="J106" s="28" t="n">
        <v>43.036915</v>
      </c>
      <c r="K106" s="28" t="n">
        <v>46.116985</v>
      </c>
      <c r="L106" s="28" t="n">
        <v>49.233803</v>
      </c>
      <c r="M106" s="28" t="n">
        <v>52.394142</v>
      </c>
      <c r="N106" s="28" t="n">
        <v>55.615032</v>
      </c>
      <c r="O106" s="28" t="n">
        <v>58.882797</v>
      </c>
      <c r="P106" s="28" t="n">
        <v>62.182232</v>
      </c>
      <c r="Q106" s="28" t="n">
        <v>65.518417</v>
      </c>
      <c r="R106" s="28" t="n">
        <v>68.896523</v>
      </c>
      <c r="S106" s="28" t="n">
        <v>72.306816</v>
      </c>
      <c r="T106" s="28" t="n">
        <v>75.742287</v>
      </c>
      <c r="U106" s="28" t="n">
        <v>79.219498</v>
      </c>
      <c r="V106" s="28" t="n">
        <v>82.738823</v>
      </c>
      <c r="W106" s="28" t="n">
        <v>86.29370900000001</v>
      </c>
      <c r="X106" s="28" t="n">
        <v>89.898636</v>
      </c>
      <c r="Y106" s="28" t="n">
        <v>93.53338599999999</v>
      </c>
      <c r="Z106" s="28" t="n">
        <v>97.207176</v>
      </c>
      <c r="AA106" s="28" t="n">
        <v>100.917824</v>
      </c>
      <c r="AB106" s="28" t="n">
        <v>104.665253</v>
      </c>
      <c r="AC106" s="28" t="n">
        <v>108.464996</v>
      </c>
      <c r="AD106" s="28" t="n">
        <v>112.319214</v>
      </c>
      <c r="AE106" s="28" t="n">
        <v>116.230347</v>
      </c>
      <c r="AF106" s="28" t="n">
        <v>120.190651</v>
      </c>
      <c r="AG106" s="28" t="n">
        <v>124.208923</v>
      </c>
      <c r="AH106" s="28" t="n">
        <v>128.276886</v>
      </c>
      <c r="AI106" s="25" t="n">
        <v>0.058816</v>
      </c>
    </row>
    <row r="107" ht="15" customHeight="1" s="74">
      <c r="A107" s="2" t="n"/>
      <c r="B107" s="22" t="inlineStr">
        <is>
          <t xml:space="preserve">     Disposition</t>
        </is>
      </c>
    </row>
    <row r="108" ht="15" customHeight="1" s="74">
      <c r="A108" s="20" t="inlineStr">
        <is>
          <t>RST000:dgg_SalestoGrid</t>
        </is>
      </c>
      <c r="B108" s="23" t="inlineStr">
        <is>
          <t xml:space="preserve">       Sales to the Grid</t>
        </is>
      </c>
      <c r="C108" s="28" t="n">
        <v>4.185037</v>
      </c>
      <c r="D108" s="28" t="n">
        <v>5.115407</v>
      </c>
      <c r="E108" s="28" t="n">
        <v>6.032974</v>
      </c>
      <c r="F108" s="28" t="n">
        <v>6.920341</v>
      </c>
      <c r="G108" s="28" t="n">
        <v>7.810139</v>
      </c>
      <c r="H108" s="28" t="n">
        <v>8.705327</v>
      </c>
      <c r="I108" s="28" t="n">
        <v>9.610492000000001</v>
      </c>
      <c r="J108" s="28" t="n">
        <v>10.531507</v>
      </c>
      <c r="K108" s="28" t="n">
        <v>11.468573</v>
      </c>
      <c r="L108" s="28" t="n">
        <v>12.424288</v>
      </c>
      <c r="M108" s="28" t="n">
        <v>13.402305</v>
      </c>
      <c r="N108" s="28" t="n">
        <v>14.411619</v>
      </c>
      <c r="O108" s="28" t="n">
        <v>15.44573</v>
      </c>
      <c r="P108" s="28" t="n">
        <v>16.495817</v>
      </c>
      <c r="Q108" s="28" t="n">
        <v>17.565903</v>
      </c>
      <c r="R108" s="28" t="n">
        <v>18.658424</v>
      </c>
      <c r="S108" s="28" t="n">
        <v>19.768814</v>
      </c>
      <c r="T108" s="28" t="n">
        <v>20.89094</v>
      </c>
      <c r="U108" s="28" t="n">
        <v>22.03474</v>
      </c>
      <c r="V108" s="28" t="n">
        <v>23.200455</v>
      </c>
      <c r="W108" s="28" t="n">
        <v>24.38176</v>
      </c>
      <c r="X108" s="28" t="n">
        <v>25.588196</v>
      </c>
      <c r="Y108" s="28" t="n">
        <v>26.807058</v>
      </c>
      <c r="Z108" s="28" t="n">
        <v>28.042416</v>
      </c>
      <c r="AA108" s="28" t="n">
        <v>29.292688</v>
      </c>
      <c r="AB108" s="28" t="n">
        <v>30.557383</v>
      </c>
      <c r="AC108" s="28" t="n">
        <v>31.846828</v>
      </c>
      <c r="AD108" s="28" t="n">
        <v>33.157494</v>
      </c>
      <c r="AE108" s="28" t="n">
        <v>34.489929</v>
      </c>
      <c r="AF108" s="28" t="n">
        <v>35.839817</v>
      </c>
      <c r="AG108" s="28" t="n">
        <v>37.210358</v>
      </c>
      <c r="AH108" s="28" t="n">
        <v>38.597221</v>
      </c>
      <c r="AI108" s="25" t="n">
        <v>0.074297</v>
      </c>
    </row>
    <row r="109" ht="15" customHeight="1" s="74">
      <c r="A109" s="20" t="inlineStr">
        <is>
          <t>RST000:dgg_forOwnUse</t>
        </is>
      </c>
      <c r="B109" s="23" t="inlineStr">
        <is>
          <t xml:space="preserve">       Generation for Own Use</t>
        </is>
      </c>
      <c r="C109" s="28" t="n">
        <v>17.628019</v>
      </c>
      <c r="D109" s="28" t="n">
        <v>19.832623</v>
      </c>
      <c r="E109" s="28" t="n">
        <v>21.996267</v>
      </c>
      <c r="F109" s="28" t="n">
        <v>24.084291</v>
      </c>
      <c r="G109" s="28" t="n">
        <v>26.174414</v>
      </c>
      <c r="H109" s="28" t="n">
        <v>28.270575</v>
      </c>
      <c r="I109" s="28" t="n">
        <v>30.378626</v>
      </c>
      <c r="J109" s="28" t="n">
        <v>32.505409</v>
      </c>
      <c r="K109" s="28" t="n">
        <v>34.648411</v>
      </c>
      <c r="L109" s="28" t="n">
        <v>36.809513</v>
      </c>
      <c r="M109" s="28" t="n">
        <v>38.991837</v>
      </c>
      <c r="N109" s="28" t="n">
        <v>41.203411</v>
      </c>
      <c r="O109" s="28" t="n">
        <v>43.437065</v>
      </c>
      <c r="P109" s="28" t="n">
        <v>45.686413</v>
      </c>
      <c r="Q109" s="28" t="n">
        <v>47.952507</v>
      </c>
      <c r="R109" s="28" t="n">
        <v>50.238094</v>
      </c>
      <c r="S109" s="28" t="n">
        <v>52.537994</v>
      </c>
      <c r="T109" s="28" t="n">
        <v>54.851349</v>
      </c>
      <c r="U109" s="28" t="n">
        <v>57.184753</v>
      </c>
      <c r="V109" s="28" t="n">
        <v>59.538364</v>
      </c>
      <c r="W109" s="28" t="n">
        <v>61.911945</v>
      </c>
      <c r="X109" s="28" t="n">
        <v>64.31044799999999</v>
      </c>
      <c r="Y109" s="28" t="n">
        <v>66.726326</v>
      </c>
      <c r="Z109" s="28" t="n">
        <v>69.16475699999999</v>
      </c>
      <c r="AA109" s="28" t="n">
        <v>71.625137</v>
      </c>
      <c r="AB109" s="28" t="n">
        <v>74.107872</v>
      </c>
      <c r="AC109" s="28" t="n">
        <v>76.61816399999999</v>
      </c>
      <c r="AD109" s="28" t="n">
        <v>79.161728</v>
      </c>
      <c r="AE109" s="28" t="n">
        <v>81.74041699999999</v>
      </c>
      <c r="AF109" s="28" t="n">
        <v>84.35083</v>
      </c>
      <c r="AG109" s="28" t="n">
        <v>86.998566</v>
      </c>
      <c r="AH109" s="28" t="n">
        <v>89.679672</v>
      </c>
      <c r="AI109" s="25" t="n">
        <v>0.053877</v>
      </c>
    </row>
    <row r="110" ht="15" customHeight="1" s="74">
      <c r="A110" s="2" t="n"/>
      <c r="B110" s="22" t="inlineStr">
        <is>
          <t xml:space="preserve">   Energy Input (trillion Btu)</t>
        </is>
      </c>
    </row>
    <row r="111" ht="15" customHeight="1" s="74">
      <c r="A111" s="20" t="inlineStr">
        <is>
          <t>RST000:dge_FuelCells</t>
        </is>
      </c>
      <c r="B111" s="23" t="inlineStr">
        <is>
          <t xml:space="preserve">     Natural Gas Fuel Cells</t>
        </is>
      </c>
      <c r="C111" s="29" t="n">
        <v>0</v>
      </c>
      <c r="D111" s="29" t="n">
        <v>0</v>
      </c>
      <c r="E111" s="29" t="n">
        <v>0</v>
      </c>
      <c r="F111" s="29" t="n">
        <v>0</v>
      </c>
      <c r="G111" s="29" t="n">
        <v>0</v>
      </c>
      <c r="H111" s="29" t="n">
        <v>0</v>
      </c>
      <c r="I111" s="29" t="n">
        <v>0</v>
      </c>
      <c r="J111" s="29" t="n">
        <v>0</v>
      </c>
      <c r="K111" s="29" t="n">
        <v>0</v>
      </c>
      <c r="L111" s="29" t="n">
        <v>0</v>
      </c>
      <c r="M111" s="29" t="n">
        <v>0</v>
      </c>
      <c r="N111" s="29" t="n">
        <v>0</v>
      </c>
      <c r="O111" s="29" t="n">
        <v>0</v>
      </c>
      <c r="P111" s="29" t="n">
        <v>3e-06</v>
      </c>
      <c r="Q111" s="29" t="n">
        <v>9e-06</v>
      </c>
      <c r="R111" s="29" t="n">
        <v>4.1e-05</v>
      </c>
      <c r="S111" s="29" t="n">
        <v>0.000104</v>
      </c>
      <c r="T111" s="29" t="n">
        <v>0.000232</v>
      </c>
      <c r="U111" s="29" t="n">
        <v>0.000467</v>
      </c>
      <c r="V111" s="29" t="n">
        <v>0.000911</v>
      </c>
      <c r="W111" s="29" t="n">
        <v>0.001717</v>
      </c>
      <c r="X111" s="29" t="n">
        <v>0.003197</v>
      </c>
      <c r="Y111" s="29" t="n">
        <v>0.005894</v>
      </c>
      <c r="Z111" s="29" t="n">
        <v>0.00859</v>
      </c>
      <c r="AA111" s="29" t="n">
        <v>0.011302</v>
      </c>
      <c r="AB111" s="29" t="n">
        <v>0.014034</v>
      </c>
      <c r="AC111" s="29" t="n">
        <v>0.016785</v>
      </c>
      <c r="AD111" s="29" t="n">
        <v>0.019556</v>
      </c>
      <c r="AE111" s="29" t="n">
        <v>0.022334</v>
      </c>
      <c r="AF111" s="29" t="n">
        <v>0.025116</v>
      </c>
      <c r="AG111" s="29" t="n">
        <v>0.027898</v>
      </c>
      <c r="AH111" s="29" t="n">
        <v>0.030682</v>
      </c>
      <c r="AI111" s="25" t="inlineStr">
        <is>
          <t>- -</t>
        </is>
      </c>
    </row>
    <row r="112" ht="15" customHeight="1" s="74">
      <c r="A112" s="20" t="inlineStr">
        <is>
          <t>RST000:dge_SolarPhoto</t>
        </is>
      </c>
      <c r="B112" s="23" t="inlineStr">
        <is>
          <t xml:space="preserve">     Solar Photovoltaic</t>
        </is>
      </c>
      <c r="C112" s="28" t="n">
        <v>188.543427</v>
      </c>
      <c r="D112" s="28" t="n">
        <v>213.614777</v>
      </c>
      <c r="E112" s="28" t="n">
        <v>238.959351</v>
      </c>
      <c r="F112" s="28" t="n">
        <v>259.72049</v>
      </c>
      <c r="G112" s="28" t="n">
        <v>279.437958</v>
      </c>
      <c r="H112" s="28" t="n">
        <v>300.011719</v>
      </c>
      <c r="I112" s="28" t="n">
        <v>323.117035</v>
      </c>
      <c r="J112" s="28" t="n">
        <v>341.938049</v>
      </c>
      <c r="K112" s="28" t="n">
        <v>363.440063</v>
      </c>
      <c r="L112" s="28" t="n">
        <v>387.82489</v>
      </c>
      <c r="M112" s="28" t="n">
        <v>412.259277</v>
      </c>
      <c r="N112" s="28" t="n">
        <v>437.47403</v>
      </c>
      <c r="O112" s="28" t="n">
        <v>466.016541</v>
      </c>
      <c r="P112" s="28" t="n">
        <v>492.217102</v>
      </c>
      <c r="Q112" s="28" t="n">
        <v>518.3688959999999</v>
      </c>
      <c r="R112" s="28" t="n">
        <v>544.726257</v>
      </c>
      <c r="S112" s="28" t="n">
        <v>570.9875489999999</v>
      </c>
      <c r="T112" s="28" t="n">
        <v>599.299622</v>
      </c>
      <c r="U112" s="28" t="n">
        <v>626.858582</v>
      </c>
      <c r="V112" s="28" t="n">
        <v>654.4746699999999</v>
      </c>
      <c r="W112" s="28" t="n">
        <v>682.602905</v>
      </c>
      <c r="X112" s="28" t="n">
        <v>709.3046880000001</v>
      </c>
      <c r="Y112" s="28" t="n">
        <v>738.323547</v>
      </c>
      <c r="Z112" s="28" t="n">
        <v>767.804199</v>
      </c>
      <c r="AA112" s="28" t="n">
        <v>802.226318</v>
      </c>
      <c r="AB112" s="28" t="n">
        <v>831.557068</v>
      </c>
      <c r="AC112" s="28" t="n">
        <v>862.383545</v>
      </c>
      <c r="AD112" s="28" t="n">
        <v>895.2119750000001</v>
      </c>
      <c r="AE112" s="28" t="n">
        <v>924.213806</v>
      </c>
      <c r="AF112" s="28" t="n">
        <v>955.487427</v>
      </c>
      <c r="AG112" s="28" t="n">
        <v>987.381653</v>
      </c>
      <c r="AH112" s="28" t="n">
        <v>1021.664673</v>
      </c>
      <c r="AI112" s="25" t="n">
        <v>0.056025</v>
      </c>
    </row>
    <row r="113" ht="15" customHeight="1" s="74">
      <c r="A113" s="20" t="inlineStr">
        <is>
          <t>RST000:dge_WindHuffHuff</t>
        </is>
      </c>
      <c r="B113" s="23" t="inlineStr">
        <is>
          <t xml:space="preserve">     Wind</t>
        </is>
      </c>
      <c r="C113" s="28" t="n">
        <v>0.174828</v>
      </c>
      <c r="D113" s="28" t="n">
        <v>0.173362</v>
      </c>
      <c r="E113" s="28" t="n">
        <v>0.173171</v>
      </c>
      <c r="F113" s="28" t="n">
        <v>0.170936</v>
      </c>
      <c r="G113" s="28" t="n">
        <v>0.168345</v>
      </c>
      <c r="H113" s="28" t="n">
        <v>0.166429</v>
      </c>
      <c r="I113" s="28" t="n">
        <v>0.166415</v>
      </c>
      <c r="J113" s="28" t="n">
        <v>0.161698</v>
      </c>
      <c r="K113" s="28" t="n">
        <v>0.160958</v>
      </c>
      <c r="L113" s="28" t="n">
        <v>0.160559</v>
      </c>
      <c r="M113" s="28" t="n">
        <v>0.160403</v>
      </c>
      <c r="N113" s="28" t="n">
        <v>0.159977</v>
      </c>
      <c r="O113" s="28" t="n">
        <v>0.160198</v>
      </c>
      <c r="P113" s="28" t="n">
        <v>0.159842</v>
      </c>
      <c r="Q113" s="28" t="n">
        <v>0.159768</v>
      </c>
      <c r="R113" s="28" t="n">
        <v>0.159668</v>
      </c>
      <c r="S113" s="28" t="n">
        <v>0.159306</v>
      </c>
      <c r="T113" s="28" t="n">
        <v>0.159258</v>
      </c>
      <c r="U113" s="28" t="n">
        <v>0.15913</v>
      </c>
      <c r="V113" s="28" t="n">
        <v>0.159296</v>
      </c>
      <c r="W113" s="28" t="n">
        <v>0.159701</v>
      </c>
      <c r="X113" s="28" t="n">
        <v>0.160468</v>
      </c>
      <c r="Y113" s="28" t="n">
        <v>0.1624</v>
      </c>
      <c r="Z113" s="28" t="n">
        <v>0.164489</v>
      </c>
      <c r="AA113" s="28" t="n">
        <v>0.166667</v>
      </c>
      <c r="AB113" s="28" t="n">
        <v>0.168646</v>
      </c>
      <c r="AC113" s="28" t="n">
        <v>0.170911</v>
      </c>
      <c r="AD113" s="28" t="n">
        <v>0.173132</v>
      </c>
      <c r="AE113" s="28" t="n">
        <v>0.175217</v>
      </c>
      <c r="AF113" s="28" t="n">
        <v>0.17733</v>
      </c>
      <c r="AG113" s="28" t="n">
        <v>0.179459</v>
      </c>
      <c r="AH113" s="28" t="n">
        <v>0.181696</v>
      </c>
      <c r="AI113" s="25" t="n">
        <v>0.001244</v>
      </c>
    </row>
    <row r="114" ht="15" customHeight="1" s="74">
      <c r="A114" s="20" t="inlineStr">
        <is>
          <t>RST000:dge_TotalGen</t>
        </is>
      </c>
      <c r="B114" s="23" t="inlineStr">
        <is>
          <t xml:space="preserve">       Total</t>
        </is>
      </c>
      <c r="C114" s="28" t="n">
        <v>188.718262</v>
      </c>
      <c r="D114" s="28" t="n">
        <v>213.788132</v>
      </c>
      <c r="E114" s="28" t="n">
        <v>239.132523</v>
      </c>
      <c r="F114" s="28" t="n">
        <v>259.891418</v>
      </c>
      <c r="G114" s="28" t="n">
        <v>279.606293</v>
      </c>
      <c r="H114" s="28" t="n">
        <v>300.178162</v>
      </c>
      <c r="I114" s="28" t="n">
        <v>323.283447</v>
      </c>
      <c r="J114" s="28" t="n">
        <v>342.099762</v>
      </c>
      <c r="K114" s="28" t="n">
        <v>363.601013</v>
      </c>
      <c r="L114" s="28" t="n">
        <v>387.985443</v>
      </c>
      <c r="M114" s="28" t="n">
        <v>412.419678</v>
      </c>
      <c r="N114" s="28" t="n">
        <v>437.634003</v>
      </c>
      <c r="O114" s="28" t="n">
        <v>466.176727</v>
      </c>
      <c r="P114" s="28" t="n">
        <v>492.376953</v>
      </c>
      <c r="Q114" s="28" t="n">
        <v>518.528687</v>
      </c>
      <c r="R114" s="28" t="n">
        <v>544.885986</v>
      </c>
      <c r="S114" s="28" t="n">
        <v>571.146973</v>
      </c>
      <c r="T114" s="28" t="n">
        <v>599.459106</v>
      </c>
      <c r="U114" s="28" t="n">
        <v>627.018188</v>
      </c>
      <c r="V114" s="28" t="n">
        <v>654.634888</v>
      </c>
      <c r="W114" s="28" t="n">
        <v>682.7643430000001</v>
      </c>
      <c r="X114" s="28" t="n">
        <v>709.4683230000001</v>
      </c>
      <c r="Y114" s="28" t="n">
        <v>738.491882</v>
      </c>
      <c r="Z114" s="28" t="n">
        <v>767.977295</v>
      </c>
      <c r="AA114" s="28" t="n">
        <v>802.404297</v>
      </c>
      <c r="AB114" s="28" t="n">
        <v>831.739746</v>
      </c>
      <c r="AC114" s="28" t="n">
        <v>862.571228</v>
      </c>
      <c r="AD114" s="28" t="n">
        <v>895.404663</v>
      </c>
      <c r="AE114" s="28" t="n">
        <v>924.411377</v>
      </c>
      <c r="AF114" s="28" t="n">
        <v>955.68988</v>
      </c>
      <c r="AG114" s="28" t="n">
        <v>987.588989</v>
      </c>
      <c r="AH114" s="28" t="n">
        <v>1021.877075</v>
      </c>
      <c r="AI114" s="25" t="n">
        <v>0.056</v>
      </c>
    </row>
    <row r="115" ht="15" customHeight="1" s="74">
      <c r="A115" s="2" t="n"/>
      <c r="B115" s="2" t="n"/>
    </row>
    <row r="116" ht="15" customHeight="1" s="74">
      <c r="A116" s="2" t="n"/>
      <c r="B116" s="71" t="inlineStr">
        <is>
          <t xml:space="preserve">   1/ Does not include microwave ovens or outdoor grills.</t>
        </is>
      </c>
      <c r="C116" s="72" t="n"/>
      <c r="D116" s="72" t="n"/>
      <c r="E116" s="72" t="n"/>
      <c r="F116" s="72" t="n"/>
      <c r="G116" s="72" t="n"/>
      <c r="H116" s="72" t="n"/>
      <c r="I116" s="72" t="n"/>
      <c r="J116" s="72" t="n"/>
      <c r="K116" s="72" t="n"/>
      <c r="L116" s="72" t="n"/>
      <c r="M116" s="72" t="n"/>
      <c r="N116" s="72" t="n"/>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row>
    <row r="117" ht="15" customHeight="1" s="74">
      <c r="A117" s="2" t="n"/>
      <c r="B117" s="30" t="inlineStr">
        <is>
          <t xml:space="preserve">   2/ Kilowatthours per year to run the appliance under certain test conditions as specified by the Department of Energy.</t>
        </is>
      </c>
    </row>
    <row r="118" ht="15" customHeight="1" s="74">
      <c r="A118" s="2" t="n"/>
      <c r="B118" s="30" t="inlineStr">
        <is>
          <t xml:space="preserve">   3/ The building shell efficiency index sets the space heating and space cooling value at 1.00 for an average home in 2015</t>
        </is>
      </c>
    </row>
    <row r="119" ht="15" customHeight="1" s="74">
      <c r="A119" s="2" t="n"/>
      <c r="B119" s="30" t="inlineStr">
        <is>
          <t>(by type) in each Census division.  The values listed for New Construction represent the change in heating and cooling load</t>
        </is>
      </c>
    </row>
    <row r="120" ht="15" customHeight="1" s="74">
      <c r="A120" s="2" t="n"/>
      <c r="B120" s="30" t="inlineStr">
        <is>
          <t>based on the difference in physical size and shell attributes for a newly-constructed home (by type and Census division).</t>
        </is>
      </c>
    </row>
    <row r="121" ht="15" customHeight="1" s="74">
      <c r="A121" s="2" t="n"/>
      <c r="B121" s="30" t="inlineStr">
        <is>
          <t>As an example, a value of 0.95 for cooling in the New Construction row equates to a cooling load 5% lower than the 2015</t>
        </is>
      </c>
    </row>
    <row r="122" ht="15" customHeight="1" s="74">
      <c r="A122" s="2" t="n"/>
      <c r="B122" s="30" t="inlineStr">
        <is>
          <t>stock, after accounting for the physical size difference and efficiency gains from better insulation, window replacement,</t>
        </is>
      </c>
    </row>
    <row r="123" ht="15" customHeight="1" s="74">
      <c r="A123" s="2" t="n"/>
      <c r="B123" s="30" t="inlineStr">
        <is>
          <t>or other building envelope improvements.</t>
        </is>
      </c>
    </row>
    <row r="124" ht="15" customHeight="1" s="74">
      <c r="A124" s="2" t="n"/>
      <c r="B124" s="30" t="inlineStr">
        <is>
          <t xml:space="preserve">   HSPF = Heating Seasonal Performance Factor:  The total heating output of a heat pump in Btu during its normal annual usage</t>
        </is>
      </c>
    </row>
    <row r="125" ht="15" customHeight="1" s="74">
      <c r="A125" s="2" t="n"/>
      <c r="B125" s="30" t="inlineStr">
        <is>
          <t>period for heating divided by total electric input in watt-hours during the same period.</t>
        </is>
      </c>
    </row>
    <row r="126" ht="15" customHeight="1" s="74">
      <c r="A126" s="2" t="n"/>
      <c r="B126" s="30" t="inlineStr">
        <is>
          <t xml:space="preserve">   COP  = Coefficient of Performance:  Energy efficiency rating measure determined, under specific testing conditions, by</t>
        </is>
      </c>
    </row>
    <row r="127" ht="15" customHeight="1" s="74">
      <c r="A127" s="2" t="n"/>
      <c r="B127" s="30" t="inlineStr">
        <is>
          <t>dividing the energy output by the energy input.</t>
        </is>
      </c>
    </row>
    <row r="128" ht="15" customHeight="1" s="74">
      <c r="A128" s="2" t="n"/>
      <c r="B128" s="30" t="inlineStr">
        <is>
          <t xml:space="preserve">   GCOP = Gas Coefficient of Performance:  Energy efficiency rating measure for natural gas heat pumps determined, under specific testing</t>
        </is>
      </c>
    </row>
    <row r="129" ht="15" customHeight="1" s="74">
      <c r="A129" s="2" t="n"/>
      <c r="B129" s="30" t="inlineStr">
        <is>
          <t>conditions, by dividing the energy output by the energy input.</t>
        </is>
      </c>
    </row>
    <row r="130" ht="15" customHeight="1" s="74">
      <c r="A130" s="2" t="n"/>
      <c r="B130" s="30" t="inlineStr">
        <is>
          <t xml:space="preserve">   AFUE = Annual Fuel Utilization Efficiency:  Efficiency rating based on average usage, including on and off cycling, as set</t>
        </is>
      </c>
    </row>
    <row r="131" ht="15" customHeight="1" s="74">
      <c r="A131" s="2" t="n"/>
      <c r="B131" s="30" t="inlineStr">
        <is>
          <t>out in the standardized Department of Energy test procedures.</t>
        </is>
      </c>
    </row>
    <row r="132" ht="15" customHeight="1" s="74">
      <c r="A132" s="2" t="n"/>
      <c r="B132" s="30" t="inlineStr">
        <is>
          <t xml:space="preserve">   SEER = Seasonal Energy Efficiency Ratio:  The total cooling of a central unitary air conditioner or a unitary heat pump in</t>
        </is>
      </c>
    </row>
    <row r="133" ht="15" customHeight="1" s="74">
      <c r="A133" s="2" t="n"/>
      <c r="B133" s="30" t="inlineStr">
        <is>
          <t>Btu during its normal annual usage period for cooling divided by the total electric energy input in watt-hours during the same</t>
        </is>
      </c>
    </row>
    <row r="134" ht="15" customHeight="1" s="74">
      <c r="A134" s="2" t="n"/>
      <c r="B134" s="30" t="inlineStr">
        <is>
          <t>period.</t>
        </is>
      </c>
    </row>
    <row r="135" ht="15" customHeight="1" s="74">
      <c r="A135" s="2" t="n"/>
      <c r="B135" s="30" t="inlineStr">
        <is>
          <t xml:space="preserve">   EER = Energy Efficiency Ratio:  A ratio calculated by dividing the cooling capacity in Btu per hour by the power input in</t>
        </is>
      </c>
    </row>
    <row r="136" ht="15" customHeight="1" s="74">
      <c r="A136" s="2" t="n"/>
      <c r="B136" s="30" t="inlineStr">
        <is>
          <t>watts at any given set of rating conditions, expressed in Btu per hour per watt.</t>
        </is>
      </c>
    </row>
    <row r="137" ht="15" customHeight="1" s="74">
      <c r="A137" s="2" t="n"/>
      <c r="B137" s="30" t="inlineStr">
        <is>
          <t xml:space="preserve">   EF = Efficiency Factor:  Efficiency (measured in Btu out / Btu in) of water heaters under certain test conditions specified</t>
        </is>
      </c>
    </row>
    <row r="138" ht="15" customHeight="1" s="74">
      <c r="A138" s="2" t="n"/>
      <c r="B138" s="30" t="inlineStr">
        <is>
          <t>by the U.S. Department of Energy.</t>
        </is>
      </c>
    </row>
    <row r="139" ht="15" customHeight="1" s="74">
      <c r="A139" s="2" t="n"/>
      <c r="B139" s="30" t="inlineStr">
        <is>
          <t xml:space="preserve">   Btu = British thermal unit.</t>
        </is>
      </c>
    </row>
    <row r="140" ht="15" customHeight="1" s="74">
      <c r="A140" s="2" t="n"/>
      <c r="B140" s="30" t="inlineStr">
        <is>
          <t xml:space="preserve">   - - = Not applicable.</t>
        </is>
      </c>
    </row>
    <row r="141" ht="15" customHeight="1" s="74">
      <c r="A141" s="2" t="n"/>
      <c r="B141" s="30" t="inlineStr">
        <is>
          <t xml:space="preserve">   Note:  Totals may not equal sum of components due to independent rounding.</t>
        </is>
      </c>
    </row>
    <row r="142" ht="15" customHeight="1" s="74">
      <c r="A142" s="2" t="n"/>
      <c r="B142" s="30" t="inlineStr">
        <is>
          <t xml:space="preserve">   Sources:  2019:  U.S. Energy Information Administration (EIA), Short-Term Energy Outlook, October 2019 and EIA,</t>
        </is>
      </c>
    </row>
    <row r="143" ht="15" customHeight="1" s="74">
      <c r="A143" s="2" t="n"/>
      <c r="B143" s="30" t="inlineStr">
        <is>
          <t>AEO2020 National Energy Modeling System run ref2020.d112119a.Projections:  EIA, AEO2020 National Energy Modeling System run ref2020.d112119a.</t>
        </is>
      </c>
    </row>
    <row r="144" ht="15.75" customHeight="1" s="74">
      <c r="A144" s="2" t="n"/>
      <c r="B144" s="2" t="n"/>
    </row>
    <row r="145" ht="15.75" customHeight="1" s="74">
      <c r="A145" s="2" t="n"/>
      <c r="B145" s="2" t="n"/>
    </row>
    <row r="146" ht="15.75" customHeight="1" s="74">
      <c r="A146" s="2" t="n"/>
      <c r="B146" s="2" t="n"/>
    </row>
    <row r="147" ht="15.75" customHeight="1" s="74">
      <c r="A147" s="2" t="n"/>
      <c r="B147" s="2" t="n"/>
    </row>
    <row r="148" ht="15.75" customHeight="1" s="74">
      <c r="A148" s="2" t="n"/>
      <c r="B148" s="2" t="n"/>
    </row>
    <row r="149" ht="15.75" customHeight="1" s="74">
      <c r="A149" s="2" t="n"/>
      <c r="B149" s="2" t="n"/>
    </row>
    <row r="150" ht="15.75" customHeight="1" s="74">
      <c r="A150" s="2" t="n"/>
      <c r="B150" s="2" t="n"/>
    </row>
    <row r="151" ht="15.75" customHeight="1" s="74">
      <c r="A151" s="2" t="n"/>
      <c r="B151" s="2" t="n"/>
    </row>
    <row r="152" ht="15.75" customHeight="1" s="74">
      <c r="A152" s="2" t="n"/>
      <c r="B152" s="2" t="n"/>
    </row>
    <row r="153" ht="15.75" customHeight="1" s="74">
      <c r="A153" s="2" t="n"/>
      <c r="B153" s="2" t="n"/>
    </row>
    <row r="154" ht="15.75" customHeight="1" s="74">
      <c r="A154" s="2" t="n"/>
      <c r="B154" s="2" t="n"/>
    </row>
    <row r="155" ht="15.75" customHeight="1" s="74">
      <c r="A155" s="2" t="n"/>
      <c r="B155" s="2" t="n"/>
    </row>
    <row r="156" ht="15.75" customHeight="1" s="74">
      <c r="A156" s="2" t="n"/>
      <c r="B156" s="2" t="n"/>
    </row>
    <row r="157" ht="15.75" customHeight="1" s="74">
      <c r="A157" s="2" t="n"/>
      <c r="B157" s="2" t="n"/>
    </row>
    <row r="158" ht="15.75" customHeight="1" s="74">
      <c r="A158" s="2" t="n"/>
      <c r="B158" s="2" t="n"/>
    </row>
    <row r="159" ht="15.75" customHeight="1" s="74">
      <c r="A159" s="2" t="n"/>
      <c r="B159" s="2" t="n"/>
    </row>
    <row r="160" ht="15.75" customHeight="1" s="74">
      <c r="A160" s="2" t="n"/>
      <c r="B160" s="2" t="n"/>
    </row>
    <row r="161" ht="15.75" customHeight="1" s="74">
      <c r="A161" s="2" t="n"/>
      <c r="B161" s="2" t="n"/>
    </row>
    <row r="162" ht="15.75" customHeight="1" s="74">
      <c r="A162" s="2" t="n"/>
      <c r="B162" s="2" t="n"/>
    </row>
    <row r="163" ht="15.75" customHeight="1" s="74">
      <c r="A163" s="2" t="n"/>
      <c r="B163" s="2" t="n"/>
    </row>
    <row r="164" ht="15.75" customHeight="1" s="74">
      <c r="A164" s="2" t="n"/>
      <c r="B164" s="2" t="n"/>
    </row>
    <row r="165" ht="15.75" customHeight="1" s="74">
      <c r="A165" s="2" t="n"/>
      <c r="B165" s="2" t="n"/>
    </row>
    <row r="166" ht="15.75" customHeight="1" s="74">
      <c r="A166" s="2" t="n"/>
      <c r="B166" s="2" t="n"/>
    </row>
    <row r="167" ht="15.75" customHeight="1" s="74">
      <c r="A167" s="2" t="n"/>
      <c r="B167" s="2" t="n"/>
    </row>
    <row r="168" ht="15.75" customHeight="1" s="74">
      <c r="A168" s="2" t="n"/>
      <c r="B168" s="2" t="n"/>
    </row>
    <row r="169" ht="15.75" customHeight="1" s="74">
      <c r="A169" s="2" t="n"/>
      <c r="B169" s="2" t="n"/>
    </row>
    <row r="170" ht="15.75" customHeight="1" s="74">
      <c r="A170" s="2" t="n"/>
      <c r="B170" s="2" t="n"/>
    </row>
    <row r="171" ht="15.75" customHeight="1" s="74">
      <c r="A171" s="2" t="n"/>
      <c r="B171" s="2" t="n"/>
    </row>
    <row r="172" ht="15.75" customHeight="1" s="74">
      <c r="A172" s="2" t="n"/>
      <c r="B172" s="2" t="n"/>
    </row>
    <row r="173" ht="15.75" customHeight="1" s="74">
      <c r="A173" s="2" t="n"/>
      <c r="B173" s="2" t="n"/>
    </row>
    <row r="174" ht="15.75" customHeight="1" s="74">
      <c r="A174" s="2" t="n"/>
      <c r="B174" s="2" t="n"/>
    </row>
    <row r="175" ht="15.75" customHeight="1" s="74">
      <c r="A175" s="2" t="n"/>
      <c r="B175" s="2" t="n"/>
    </row>
    <row r="176" ht="15.75" customHeight="1" s="74">
      <c r="A176" s="2" t="n"/>
      <c r="B176" s="2" t="n"/>
    </row>
    <row r="177" ht="15.75" customHeight="1" s="74">
      <c r="A177" s="2" t="n"/>
      <c r="B177" s="2" t="n"/>
    </row>
    <row r="178" ht="15.75" customHeight="1" s="74">
      <c r="A178" s="2" t="n"/>
      <c r="B178" s="2" t="n"/>
    </row>
    <row r="179" ht="15.75" customHeight="1" s="74">
      <c r="A179" s="2" t="n"/>
      <c r="B179" s="2" t="n"/>
    </row>
    <row r="180" ht="15.75" customHeight="1" s="74">
      <c r="A180" s="2" t="n"/>
      <c r="B180" s="2" t="n"/>
    </row>
    <row r="181" ht="15.75" customHeight="1" s="74">
      <c r="A181" s="2" t="n"/>
      <c r="B181" s="2" t="n"/>
    </row>
    <row r="182" ht="15.75" customHeight="1" s="74">
      <c r="A182" s="2" t="n"/>
      <c r="B182" s="2" t="n"/>
    </row>
    <row r="183" ht="15.75" customHeight="1" s="74">
      <c r="A183" s="2" t="n"/>
      <c r="B183" s="2" t="n"/>
    </row>
    <row r="184" ht="15.75" customHeight="1" s="74">
      <c r="A184" s="2" t="n"/>
      <c r="B184" s="2" t="n"/>
    </row>
    <row r="185" ht="15.75" customHeight="1" s="74">
      <c r="A185" s="2" t="n"/>
      <c r="B185" s="2" t="n"/>
    </row>
    <row r="186" ht="15.75" customHeight="1" s="74">
      <c r="A186" s="2" t="n"/>
      <c r="B186" s="2" t="n"/>
    </row>
    <row r="187" ht="15.75" customHeight="1" s="74">
      <c r="A187" s="2" t="n"/>
      <c r="B187" s="2" t="n"/>
    </row>
    <row r="188" ht="15.75" customHeight="1" s="74">
      <c r="A188" s="2" t="n"/>
      <c r="B188" s="2" t="n"/>
    </row>
    <row r="189" ht="15.75" customHeight="1" s="74">
      <c r="A189" s="2" t="n"/>
      <c r="B189" s="2" t="n"/>
    </row>
    <row r="190" ht="15.75" customHeight="1" s="74">
      <c r="A190" s="2" t="n"/>
      <c r="B190" s="2" t="n"/>
    </row>
    <row r="191" ht="15.75" customHeight="1" s="74">
      <c r="A191" s="2" t="n"/>
      <c r="B191" s="2" t="n"/>
    </row>
    <row r="192" ht="15.75" customHeight="1" s="74">
      <c r="A192" s="2" t="n"/>
      <c r="B192" s="2" t="n"/>
    </row>
    <row r="193" ht="15.75" customHeight="1" s="74">
      <c r="A193" s="2" t="n"/>
      <c r="B193" s="2" t="n"/>
    </row>
    <row r="194" ht="15.75" customHeight="1" s="74">
      <c r="A194" s="2" t="n"/>
      <c r="B194" s="2" t="n"/>
    </row>
    <row r="195" ht="15.75" customHeight="1" s="74">
      <c r="A195" s="2" t="n"/>
      <c r="B195" s="2" t="n"/>
    </row>
    <row r="196" ht="15.75" customHeight="1" s="74">
      <c r="A196" s="2" t="n"/>
      <c r="B196" s="2" t="n"/>
    </row>
    <row r="197" ht="15.75" customHeight="1" s="74">
      <c r="A197" s="2" t="n"/>
      <c r="B197" s="2" t="n"/>
    </row>
    <row r="198" ht="15.75" customHeight="1" s="74">
      <c r="A198" s="2" t="n"/>
      <c r="B198" s="2" t="n"/>
    </row>
    <row r="199" ht="15.75" customHeight="1" s="74">
      <c r="A199" s="2" t="n"/>
      <c r="B199" s="2" t="n"/>
    </row>
    <row r="200" ht="15.75" customHeight="1" s="74">
      <c r="A200" s="2" t="n"/>
      <c r="B200" s="2" t="n"/>
    </row>
    <row r="201" ht="15.75" customHeight="1" s="74">
      <c r="A201" s="2" t="n"/>
      <c r="B201" s="2" t="n"/>
    </row>
    <row r="202" ht="15.75" customHeight="1" s="74">
      <c r="A202" s="2" t="n"/>
      <c r="B202" s="2" t="n"/>
    </row>
    <row r="203" ht="15.75" customHeight="1" s="74">
      <c r="A203" s="2" t="n"/>
      <c r="B203" s="2" t="n"/>
    </row>
    <row r="204" ht="15.75" customHeight="1" s="74">
      <c r="A204" s="2" t="n"/>
      <c r="B204" s="2" t="n"/>
    </row>
    <row r="205" ht="15.75" customHeight="1" s="74">
      <c r="A205" s="2" t="n"/>
      <c r="B205" s="2" t="n"/>
    </row>
    <row r="206" ht="15.75" customHeight="1" s="74">
      <c r="A206" s="2" t="n"/>
      <c r="B206" s="2" t="n"/>
    </row>
    <row r="207" ht="15.75" customHeight="1" s="74">
      <c r="A207" s="2" t="n"/>
      <c r="B207" s="2" t="n"/>
    </row>
    <row r="208" ht="15.75" customHeight="1" s="74">
      <c r="A208" s="2" t="n"/>
      <c r="B208" s="2" t="n"/>
    </row>
    <row r="209" ht="15.75" customHeight="1" s="74">
      <c r="A209" s="2" t="n"/>
      <c r="B209" s="2" t="n"/>
    </row>
    <row r="210" ht="15.75" customHeight="1" s="74">
      <c r="A210" s="2" t="n"/>
      <c r="B210" s="2" t="n"/>
    </row>
    <row r="211" ht="15.75" customHeight="1" s="74">
      <c r="A211" s="2" t="n"/>
      <c r="B211" s="2" t="n"/>
    </row>
    <row r="212" ht="15.75" customHeight="1" s="74">
      <c r="A212" s="2" t="n"/>
      <c r="B212" s="2" t="n"/>
    </row>
    <row r="213" ht="15.75" customHeight="1" s="74">
      <c r="A213" s="2" t="n"/>
      <c r="B213" s="2" t="n"/>
    </row>
    <row r="214" ht="15.75" customHeight="1" s="74">
      <c r="A214" s="2" t="n"/>
      <c r="B214" s="2" t="n"/>
    </row>
    <row r="215" ht="15.75" customHeight="1" s="74">
      <c r="A215" s="2" t="n"/>
      <c r="B215" s="2" t="n"/>
    </row>
    <row r="216" ht="15.75" customHeight="1" s="74">
      <c r="A216" s="2" t="n"/>
      <c r="B216" s="2" t="n"/>
    </row>
    <row r="217" ht="15.75" customHeight="1" s="74">
      <c r="A217" s="2" t="n"/>
      <c r="B217" s="2" t="n"/>
    </row>
    <row r="218" ht="15.75" customHeight="1" s="74">
      <c r="A218" s="2" t="n"/>
      <c r="B218" s="2" t="n"/>
    </row>
    <row r="219" ht="15.75" customHeight="1" s="74">
      <c r="A219" s="2" t="n"/>
      <c r="B219" s="2" t="n"/>
    </row>
    <row r="220" ht="15.75" customHeight="1" s="74">
      <c r="A220" s="2" t="n"/>
      <c r="B220" s="2" t="n"/>
    </row>
    <row r="221" ht="15.75" customHeight="1" s="74">
      <c r="A221" s="2" t="n"/>
      <c r="B221" s="2" t="n"/>
    </row>
    <row r="222" ht="15.75" customHeight="1" s="74">
      <c r="A222" s="2" t="n"/>
      <c r="B222" s="2" t="n"/>
    </row>
    <row r="223" ht="15.75" customHeight="1" s="74">
      <c r="A223" s="2" t="n"/>
      <c r="B223" s="2" t="n"/>
    </row>
    <row r="224" ht="15.75" customHeight="1" s="74">
      <c r="A224" s="2" t="n"/>
      <c r="B224" s="2" t="n"/>
    </row>
    <row r="225" ht="15.75" customHeight="1" s="74">
      <c r="A225" s="2" t="n"/>
      <c r="B225" s="2" t="n"/>
    </row>
    <row r="226" ht="15.75" customHeight="1" s="74">
      <c r="A226" s="2" t="n"/>
      <c r="B226" s="2" t="n"/>
    </row>
    <row r="227" ht="15.75" customHeight="1" s="74">
      <c r="A227" s="2" t="n"/>
      <c r="B227" s="2" t="n"/>
    </row>
    <row r="228" ht="15.75" customHeight="1" s="74">
      <c r="A228" s="2" t="n"/>
      <c r="B228" s="2" t="n"/>
    </row>
    <row r="229" ht="15.75" customHeight="1" s="74">
      <c r="A229" s="2" t="n"/>
      <c r="B229" s="2" t="n"/>
    </row>
    <row r="230" ht="15.75" customHeight="1" s="74">
      <c r="A230" s="2" t="n"/>
      <c r="B230" s="2" t="n"/>
    </row>
    <row r="231" ht="15.75" customHeight="1" s="74">
      <c r="A231" s="2" t="n"/>
      <c r="B231" s="2" t="n"/>
    </row>
    <row r="232" ht="15.75" customHeight="1" s="74">
      <c r="A232" s="2" t="n"/>
      <c r="B232" s="2" t="n"/>
    </row>
    <row r="233" ht="15.75" customHeight="1" s="74">
      <c r="A233" s="2" t="n"/>
      <c r="B233" s="2" t="n"/>
    </row>
    <row r="234" ht="15.75" customHeight="1" s="74">
      <c r="A234" s="2" t="n"/>
      <c r="B234" s="2" t="n"/>
    </row>
    <row r="235" ht="15.75" customHeight="1" s="74">
      <c r="A235" s="2" t="n"/>
      <c r="B235" s="2" t="n"/>
    </row>
    <row r="236" ht="15.75" customHeight="1" s="74">
      <c r="A236" s="2" t="n"/>
      <c r="B236" s="2" t="n"/>
    </row>
    <row r="237" ht="15.75" customHeight="1" s="74">
      <c r="A237" s="2" t="n"/>
      <c r="B237" s="2" t="n"/>
    </row>
    <row r="238" ht="15.75" customHeight="1" s="74">
      <c r="A238" s="2" t="n"/>
      <c r="B238" s="2" t="n"/>
    </row>
    <row r="239" ht="15.75" customHeight="1" s="74">
      <c r="A239" s="2" t="n"/>
      <c r="B239" s="2" t="n"/>
    </row>
    <row r="240" ht="15.75" customHeight="1" s="74">
      <c r="A240" s="2" t="n"/>
      <c r="B240" s="2" t="n"/>
    </row>
    <row r="241" ht="15.75" customHeight="1" s="74">
      <c r="A241" s="2" t="n"/>
      <c r="B241" s="2" t="n"/>
    </row>
    <row r="242" ht="15.75" customHeight="1" s="74">
      <c r="A242" s="2" t="n"/>
      <c r="B242" s="2" t="n"/>
    </row>
    <row r="243" ht="15.75" customHeight="1" s="74">
      <c r="A243" s="2" t="n"/>
      <c r="B243" s="2" t="n"/>
    </row>
    <row r="244" ht="15.75" customHeight="1" s="74">
      <c r="A244" s="2" t="n"/>
      <c r="B244" s="2" t="n"/>
    </row>
    <row r="245" ht="15.75" customHeight="1" s="74">
      <c r="A245" s="2" t="n"/>
      <c r="B245" s="2" t="n"/>
    </row>
    <row r="246" ht="15.75" customHeight="1" s="74">
      <c r="A246" s="2" t="n"/>
      <c r="B246" s="2" t="n"/>
    </row>
    <row r="247" ht="15.75" customHeight="1" s="74">
      <c r="A247" s="2" t="n"/>
      <c r="B247" s="2" t="n"/>
    </row>
    <row r="248" ht="15.75" customHeight="1" s="74">
      <c r="A248" s="2" t="n"/>
      <c r="B248" s="2" t="n"/>
    </row>
    <row r="249" ht="15.75" customHeight="1" s="74">
      <c r="A249" s="2" t="n"/>
      <c r="B249" s="2" t="n"/>
    </row>
    <row r="250" ht="15.75" customHeight="1" s="74">
      <c r="A250" s="2" t="n"/>
      <c r="B250" s="2" t="n"/>
    </row>
    <row r="251" ht="15.75" customHeight="1" s="74">
      <c r="A251" s="2" t="n"/>
      <c r="B251" s="2" t="n"/>
    </row>
    <row r="252" ht="15.75" customHeight="1" s="74">
      <c r="A252" s="2" t="n"/>
      <c r="B252" s="2" t="n"/>
    </row>
    <row r="253" ht="15.75" customHeight="1" s="74">
      <c r="A253" s="2" t="n"/>
      <c r="B253" s="2" t="n"/>
    </row>
    <row r="254" ht="15.75" customHeight="1" s="74">
      <c r="A254" s="2" t="n"/>
      <c r="B254" s="2" t="n"/>
    </row>
    <row r="255" ht="15.75" customHeight="1" s="74">
      <c r="A255" s="2" t="n"/>
      <c r="B255" s="2" t="n"/>
    </row>
    <row r="256" ht="15.75" customHeight="1" s="74">
      <c r="A256" s="2" t="n"/>
      <c r="B256" s="2" t="n"/>
    </row>
    <row r="257" ht="15.75" customHeight="1" s="74">
      <c r="A257" s="2" t="n"/>
      <c r="B257" s="2" t="n"/>
    </row>
    <row r="258" ht="15.75" customHeight="1" s="74">
      <c r="A258" s="2" t="n"/>
      <c r="B258" s="2" t="n"/>
    </row>
    <row r="259" ht="15.75" customHeight="1" s="74">
      <c r="A259" s="2" t="n"/>
      <c r="B259" s="2" t="n"/>
    </row>
    <row r="260" ht="15.75" customHeight="1" s="74">
      <c r="A260" s="2" t="n"/>
      <c r="B260" s="2" t="n"/>
    </row>
    <row r="261" ht="15.75" customHeight="1" s="74">
      <c r="A261" s="2" t="n"/>
      <c r="B261" s="2" t="n"/>
    </row>
    <row r="262" ht="15.75" customHeight="1" s="74">
      <c r="A262" s="2" t="n"/>
      <c r="B262" s="2" t="n"/>
    </row>
    <row r="263" ht="15.75" customHeight="1" s="74">
      <c r="A263" s="2" t="n"/>
      <c r="B263" s="2" t="n"/>
    </row>
    <row r="264" ht="15.75" customHeight="1" s="74">
      <c r="A264" s="2" t="n"/>
      <c r="B264" s="2" t="n"/>
    </row>
    <row r="265" ht="15.75" customHeight="1" s="74">
      <c r="A265" s="2" t="n"/>
      <c r="B265" s="2" t="n"/>
    </row>
    <row r="266" ht="15.75" customHeight="1" s="74">
      <c r="A266" s="2" t="n"/>
      <c r="B266" s="2" t="n"/>
    </row>
    <row r="267" ht="15.75" customHeight="1" s="74">
      <c r="A267" s="2" t="n"/>
      <c r="B267" s="2" t="n"/>
    </row>
    <row r="268" ht="15.75" customHeight="1" s="74">
      <c r="A268" s="2" t="n"/>
      <c r="B268" s="2" t="n"/>
    </row>
    <row r="269" ht="15.75" customHeight="1" s="74">
      <c r="A269" s="2" t="n"/>
      <c r="B269" s="2" t="n"/>
    </row>
    <row r="270" ht="15.75" customHeight="1" s="74">
      <c r="A270" s="2" t="n"/>
      <c r="B270" s="2" t="n"/>
    </row>
    <row r="271" ht="15.75" customHeight="1" s="74">
      <c r="A271" s="2" t="n"/>
      <c r="B271" s="2" t="n"/>
    </row>
    <row r="272" ht="15.75" customHeight="1" s="74">
      <c r="A272" s="2" t="n"/>
      <c r="B272" s="2" t="n"/>
    </row>
    <row r="273" ht="15.75" customHeight="1" s="74">
      <c r="A273" s="2" t="n"/>
      <c r="B273" s="2" t="n"/>
    </row>
    <row r="274" ht="15.75" customHeight="1" s="74">
      <c r="A274" s="2" t="n"/>
      <c r="B274" s="2" t="n"/>
    </row>
    <row r="275" ht="15.75" customHeight="1" s="74">
      <c r="A275" s="2" t="n"/>
      <c r="B275" s="2" t="n"/>
    </row>
    <row r="276" ht="15.75" customHeight="1" s="74">
      <c r="A276" s="2" t="n"/>
      <c r="B276" s="2" t="n"/>
    </row>
    <row r="277" ht="15.75" customHeight="1" s="74">
      <c r="A277" s="2" t="n"/>
      <c r="B277" s="2" t="n"/>
    </row>
    <row r="278" ht="15.75" customHeight="1" s="74">
      <c r="A278" s="2" t="n"/>
      <c r="B278" s="2" t="n"/>
    </row>
    <row r="279" ht="15.75" customHeight="1" s="74">
      <c r="A279" s="2" t="n"/>
      <c r="B279" s="2" t="n"/>
    </row>
    <row r="280" ht="15.75" customHeight="1" s="74">
      <c r="A280" s="2" t="n"/>
      <c r="B280" s="2" t="n"/>
    </row>
    <row r="281" ht="15.75" customHeight="1" s="74">
      <c r="A281" s="2" t="n"/>
      <c r="B281" s="2" t="n"/>
    </row>
    <row r="282" ht="15.75" customHeight="1" s="74">
      <c r="A282" s="2" t="n"/>
      <c r="B282" s="2" t="n"/>
    </row>
    <row r="283" ht="15.75" customHeight="1" s="74">
      <c r="A283" s="2" t="n"/>
      <c r="B283" s="2" t="n"/>
    </row>
    <row r="284" ht="15.75" customHeight="1" s="74">
      <c r="A284" s="2" t="n"/>
      <c r="B284" s="2" t="n"/>
    </row>
    <row r="285" ht="15.75" customHeight="1" s="74">
      <c r="A285" s="2" t="n"/>
      <c r="B285" s="2" t="n"/>
    </row>
    <row r="286" ht="15.75" customHeight="1" s="74">
      <c r="A286" s="2" t="n"/>
      <c r="B286" s="2" t="n"/>
    </row>
    <row r="287" ht="15.75" customHeight="1" s="74">
      <c r="A287" s="2" t="n"/>
      <c r="B287" s="2" t="n"/>
    </row>
    <row r="288" ht="15.75" customHeight="1" s="74">
      <c r="A288" s="2" t="n"/>
      <c r="B288" s="2" t="n"/>
    </row>
    <row r="289" ht="15.75" customHeight="1" s="74">
      <c r="A289" s="2" t="n"/>
      <c r="B289" s="2" t="n"/>
    </row>
    <row r="290" ht="15.75" customHeight="1" s="74">
      <c r="A290" s="2" t="n"/>
      <c r="B290" s="2" t="n"/>
    </row>
    <row r="291" ht="15.75" customHeight="1" s="74">
      <c r="A291" s="2" t="n"/>
      <c r="B291" s="2" t="n"/>
    </row>
    <row r="292" ht="15.75" customHeight="1" s="74">
      <c r="A292" s="2" t="n"/>
      <c r="B292" s="2" t="n"/>
    </row>
    <row r="293" ht="15.75" customHeight="1" s="74">
      <c r="A293" s="2" t="n"/>
      <c r="B293" s="2" t="n"/>
    </row>
    <row r="294" ht="15.75" customHeight="1" s="74">
      <c r="A294" s="2" t="n"/>
      <c r="B294" s="2" t="n"/>
    </row>
    <row r="295" ht="15.75" customHeight="1" s="74">
      <c r="A295" s="2" t="n"/>
      <c r="B295" s="2" t="n"/>
    </row>
    <row r="296" ht="15.75" customHeight="1" s="74">
      <c r="A296" s="2" t="n"/>
      <c r="B296" s="2" t="n"/>
    </row>
    <row r="297" ht="15.75" customHeight="1" s="74">
      <c r="A297" s="2" t="n"/>
      <c r="B297" s="2" t="n"/>
    </row>
    <row r="298" ht="15.75" customHeight="1" s="74">
      <c r="A298" s="2" t="n"/>
      <c r="B298" s="2" t="n"/>
    </row>
    <row r="299" ht="15.75" customHeight="1" s="74">
      <c r="A299" s="2" t="n"/>
      <c r="B299" s="2" t="n"/>
    </row>
    <row r="300" ht="15.75" customHeight="1" s="74">
      <c r="A300" s="2" t="n"/>
      <c r="B300" s="2" t="n"/>
    </row>
    <row r="301" ht="15.75" customHeight="1" s="74">
      <c r="A301" s="2" t="n"/>
      <c r="B301" s="2" t="n"/>
    </row>
    <row r="302" ht="15.75" customHeight="1" s="74">
      <c r="A302" s="2" t="n"/>
      <c r="B302" s="2" t="n"/>
    </row>
    <row r="303" ht="15.75" customHeight="1" s="74">
      <c r="A303" s="2" t="n"/>
      <c r="B303" s="2" t="n"/>
    </row>
    <row r="304" ht="15.75" customHeight="1" s="74">
      <c r="A304" s="2" t="n"/>
      <c r="B304" s="2" t="n"/>
    </row>
    <row r="305" ht="15.75" customHeight="1" s="74">
      <c r="A305" s="2" t="n"/>
      <c r="B305" s="2" t="n"/>
    </row>
    <row r="306" ht="15.75" customHeight="1" s="74">
      <c r="A306" s="2" t="n"/>
      <c r="B306" s="2" t="n"/>
    </row>
    <row r="307" ht="15.75" customHeight="1" s="74">
      <c r="A307" s="2" t="n"/>
      <c r="B307" s="2" t="n"/>
    </row>
    <row r="308" ht="15.75" customHeight="1" s="74">
      <c r="A308" s="2" t="n"/>
      <c r="B308" s="2" t="n"/>
    </row>
    <row r="309" ht="15.75" customHeight="1" s="74">
      <c r="A309" s="2" t="n"/>
      <c r="B309" s="2" t="n"/>
    </row>
    <row r="310" ht="15.75" customHeight="1" s="74">
      <c r="A310" s="2" t="n"/>
      <c r="B310" s="2" t="n"/>
    </row>
    <row r="311" ht="15.75" customHeight="1" s="74">
      <c r="A311" s="2" t="n"/>
      <c r="B311" s="2" t="n"/>
    </row>
    <row r="312" ht="15.75" customHeight="1" s="74">
      <c r="A312" s="2" t="n"/>
      <c r="B312" s="2" t="n"/>
    </row>
    <row r="313" ht="15.75" customHeight="1" s="74">
      <c r="A313" s="2" t="n"/>
      <c r="B313" s="2" t="n"/>
    </row>
    <row r="314" ht="15.75" customHeight="1" s="74">
      <c r="A314" s="2" t="n"/>
      <c r="B314" s="2" t="n"/>
    </row>
    <row r="315" ht="15.75" customHeight="1" s="74">
      <c r="A315" s="2" t="n"/>
      <c r="B315" s="2" t="n"/>
    </row>
    <row r="316" ht="15.75" customHeight="1" s="74">
      <c r="A316" s="2" t="n"/>
      <c r="B316" s="2" t="n"/>
    </row>
    <row r="317" ht="15.75" customHeight="1" s="74">
      <c r="A317" s="2" t="n"/>
      <c r="B317" s="2" t="n"/>
    </row>
    <row r="318" ht="15.75" customHeight="1" s="74">
      <c r="A318" s="2" t="n"/>
      <c r="B318" s="2" t="n"/>
    </row>
    <row r="319" ht="15.75" customHeight="1" s="74">
      <c r="A319" s="2" t="n"/>
      <c r="B319" s="2" t="n"/>
    </row>
    <row r="320" ht="15.75" customHeight="1" s="74">
      <c r="A320" s="2" t="n"/>
      <c r="B320" s="2" t="n"/>
    </row>
    <row r="321" ht="15.75" customHeight="1" s="74">
      <c r="A321" s="2" t="n"/>
      <c r="B321" s="2" t="n"/>
    </row>
    <row r="322" ht="15.75" customHeight="1" s="74">
      <c r="A322" s="2" t="n"/>
      <c r="B322" s="2" t="n"/>
    </row>
    <row r="323" ht="15.75" customHeight="1" s="74">
      <c r="A323" s="2" t="n"/>
      <c r="B323" s="2" t="n"/>
    </row>
    <row r="324" ht="15.75" customHeight="1" s="74">
      <c r="A324" s="2" t="n"/>
      <c r="B324" s="2" t="n"/>
    </row>
    <row r="325" ht="15.75" customHeight="1" s="74">
      <c r="A325" s="2" t="n"/>
      <c r="B325" s="2" t="n"/>
    </row>
    <row r="326" ht="15.75" customHeight="1" s="74">
      <c r="A326" s="2" t="n"/>
      <c r="B326" s="2" t="n"/>
    </row>
    <row r="327" ht="15.75" customHeight="1" s="74">
      <c r="A327" s="2" t="n"/>
      <c r="B327" s="2" t="n"/>
    </row>
    <row r="328" ht="15.75" customHeight="1" s="74">
      <c r="A328" s="2" t="n"/>
      <c r="B328" s="2" t="n"/>
    </row>
    <row r="329" ht="15.75" customHeight="1" s="74">
      <c r="A329" s="2" t="n"/>
      <c r="B329" s="2" t="n"/>
    </row>
    <row r="330" ht="15.75" customHeight="1" s="74">
      <c r="A330" s="2" t="n"/>
      <c r="B330" s="2" t="n"/>
    </row>
    <row r="331" ht="15.75" customHeight="1" s="74">
      <c r="A331" s="2" t="n"/>
      <c r="B331" s="2" t="n"/>
    </row>
    <row r="332" ht="15.75" customHeight="1" s="74">
      <c r="A332" s="2" t="n"/>
      <c r="B332" s="2" t="n"/>
    </row>
    <row r="333" ht="15.75" customHeight="1" s="74">
      <c r="A333" s="2" t="n"/>
      <c r="B333" s="2" t="n"/>
    </row>
    <row r="334" ht="15.75" customHeight="1" s="74">
      <c r="A334" s="2" t="n"/>
      <c r="B334" s="2" t="n"/>
    </row>
    <row r="335" ht="15.75" customHeight="1" s="74">
      <c r="A335" s="2" t="n"/>
      <c r="B335" s="2" t="n"/>
    </row>
    <row r="336" ht="15.75" customHeight="1" s="74">
      <c r="A336" s="2" t="n"/>
      <c r="B336" s="2" t="n"/>
    </row>
    <row r="337" ht="15.75" customHeight="1" s="74">
      <c r="A337" s="2" t="n"/>
      <c r="B337" s="2" t="n"/>
    </row>
    <row r="338" ht="15.75" customHeight="1" s="74">
      <c r="A338" s="2" t="n"/>
      <c r="B338" s="2" t="n"/>
    </row>
    <row r="339" ht="15.75" customHeight="1" s="74">
      <c r="A339" s="2" t="n"/>
      <c r="B339" s="2" t="n"/>
    </row>
    <row r="340" ht="15.75" customHeight="1" s="74">
      <c r="A340" s="2" t="n"/>
      <c r="B340" s="2" t="n"/>
    </row>
    <row r="341" ht="15.75" customHeight="1" s="74">
      <c r="A341" s="2" t="n"/>
      <c r="B341" s="2" t="n"/>
    </row>
    <row r="342" ht="15.75" customHeight="1" s="74">
      <c r="A342" s="2" t="n"/>
      <c r="B342" s="2" t="n"/>
    </row>
    <row r="343" ht="15.75" customHeight="1" s="74">
      <c r="A343" s="2" t="n"/>
      <c r="B343" s="2" t="n"/>
    </row>
    <row r="344" ht="15.75" customHeight="1" s="74">
      <c r="A344" s="2" t="n"/>
      <c r="B344" s="2" t="n"/>
    </row>
    <row r="345" ht="15.75" customHeight="1" s="74">
      <c r="A345" s="2" t="n"/>
      <c r="B345" s="2" t="n"/>
    </row>
    <row r="346" ht="15.75" customHeight="1" s="74">
      <c r="A346" s="2" t="n"/>
      <c r="B346" s="2" t="n"/>
    </row>
    <row r="347" ht="15.75" customHeight="1" s="74">
      <c r="A347" s="2" t="n"/>
      <c r="B347" s="2" t="n"/>
    </row>
    <row r="348" ht="15.75" customHeight="1" s="74">
      <c r="A348" s="2" t="n"/>
      <c r="B348" s="2" t="n"/>
    </row>
    <row r="349" ht="15.75" customHeight="1" s="74">
      <c r="A349" s="2" t="n"/>
      <c r="B349" s="2" t="n"/>
    </row>
    <row r="350" ht="15.75" customHeight="1" s="74">
      <c r="A350" s="2" t="n"/>
      <c r="B350" s="2" t="n"/>
    </row>
    <row r="351" ht="15.75" customHeight="1" s="74">
      <c r="A351" s="2" t="n"/>
      <c r="B351" s="2" t="n"/>
    </row>
    <row r="352" ht="15.75" customHeight="1" s="74">
      <c r="A352" s="2" t="n"/>
      <c r="B352" s="2" t="n"/>
    </row>
    <row r="353" ht="15.75" customHeight="1" s="74">
      <c r="A353" s="2" t="n"/>
      <c r="B353" s="2" t="n"/>
    </row>
    <row r="354" ht="15.75" customHeight="1" s="74">
      <c r="A354" s="2" t="n"/>
      <c r="B354" s="2" t="n"/>
    </row>
    <row r="355" ht="15.75" customHeight="1" s="74">
      <c r="A355" s="2" t="n"/>
      <c r="B355" s="2" t="n"/>
    </row>
    <row r="356" ht="15.75" customHeight="1" s="74">
      <c r="A356" s="2" t="n"/>
      <c r="B356" s="2" t="n"/>
    </row>
    <row r="357" ht="15.75" customHeight="1" s="74">
      <c r="A357" s="2" t="n"/>
      <c r="B357" s="2" t="n"/>
    </row>
    <row r="358" ht="15.75" customHeight="1" s="74">
      <c r="A358" s="2" t="n"/>
      <c r="B358" s="2" t="n"/>
    </row>
    <row r="359" ht="15.75" customHeight="1" s="74">
      <c r="A359" s="2" t="n"/>
      <c r="B359" s="2" t="n"/>
    </row>
    <row r="360" ht="15.75" customHeight="1" s="74">
      <c r="A360" s="2" t="n"/>
      <c r="B360" s="2" t="n"/>
    </row>
    <row r="361" ht="15.75" customHeight="1" s="74">
      <c r="A361" s="2" t="n"/>
      <c r="B361" s="2" t="n"/>
    </row>
    <row r="362" ht="15.75" customHeight="1" s="74">
      <c r="A362" s="2" t="n"/>
      <c r="B362" s="2" t="n"/>
    </row>
    <row r="363" ht="15.75" customHeight="1" s="74">
      <c r="A363" s="2" t="n"/>
      <c r="B363" s="2" t="n"/>
    </row>
    <row r="364" ht="15.75" customHeight="1" s="74">
      <c r="A364" s="2" t="n"/>
      <c r="B364" s="2" t="n"/>
    </row>
    <row r="365" ht="15.75" customHeight="1" s="74">
      <c r="A365" s="2" t="n"/>
      <c r="B365" s="2" t="n"/>
    </row>
    <row r="366" ht="15.75" customHeight="1" s="74">
      <c r="A366" s="2" t="n"/>
      <c r="B366" s="2" t="n"/>
    </row>
    <row r="367" ht="15.75" customHeight="1" s="74">
      <c r="A367" s="2" t="n"/>
      <c r="B367" s="2" t="n"/>
    </row>
    <row r="368" ht="15.75" customHeight="1" s="74">
      <c r="A368" s="2" t="n"/>
      <c r="B368" s="2" t="n"/>
    </row>
    <row r="369" ht="15.75" customHeight="1" s="74">
      <c r="A369" s="2" t="n"/>
      <c r="B369" s="2" t="n"/>
    </row>
    <row r="370" ht="15.75" customHeight="1" s="74">
      <c r="A370" s="2" t="n"/>
      <c r="B370" s="2" t="n"/>
    </row>
    <row r="371" ht="15.75" customHeight="1" s="74">
      <c r="A371" s="2" t="n"/>
      <c r="B371" s="2" t="n"/>
    </row>
    <row r="372" ht="15.75" customHeight="1" s="74">
      <c r="A372" s="2" t="n"/>
      <c r="B372" s="2" t="n"/>
    </row>
    <row r="373" ht="15.75" customHeight="1" s="74">
      <c r="A373" s="2" t="n"/>
      <c r="B373" s="2" t="n"/>
    </row>
    <row r="374" ht="15.75" customHeight="1" s="74">
      <c r="A374" s="2" t="n"/>
      <c r="B374" s="2" t="n"/>
    </row>
    <row r="375" ht="15.75" customHeight="1" s="74">
      <c r="A375" s="2" t="n"/>
      <c r="B375" s="2" t="n"/>
    </row>
    <row r="376" ht="15.75" customHeight="1" s="74">
      <c r="A376" s="2" t="n"/>
      <c r="B376" s="2" t="n"/>
    </row>
    <row r="377" ht="15.75" customHeight="1" s="74">
      <c r="A377" s="2" t="n"/>
      <c r="B377" s="2" t="n"/>
    </row>
    <row r="378" ht="15.75" customHeight="1" s="74">
      <c r="A378" s="2" t="n"/>
      <c r="B378" s="2" t="n"/>
    </row>
    <row r="379" ht="15.75" customHeight="1" s="74">
      <c r="A379" s="2" t="n"/>
      <c r="B379" s="2" t="n"/>
    </row>
    <row r="380" ht="15.75" customHeight="1" s="74">
      <c r="A380" s="2" t="n"/>
      <c r="B380" s="2" t="n"/>
    </row>
    <row r="381" ht="15.75" customHeight="1" s="74">
      <c r="A381" s="2" t="n"/>
      <c r="B381" s="2" t="n"/>
    </row>
    <row r="382" ht="15.75" customHeight="1" s="74">
      <c r="A382" s="2" t="n"/>
      <c r="B382" s="2" t="n"/>
    </row>
    <row r="383" ht="15.75" customHeight="1" s="74">
      <c r="A383" s="2" t="n"/>
      <c r="B383" s="2" t="n"/>
    </row>
    <row r="384" ht="15.75" customHeight="1" s="74">
      <c r="A384" s="2" t="n"/>
      <c r="B384" s="2" t="n"/>
    </row>
    <row r="385" ht="15.75" customHeight="1" s="74">
      <c r="A385" s="2" t="n"/>
      <c r="B385" s="2" t="n"/>
    </row>
    <row r="386" ht="15.75" customHeight="1" s="74">
      <c r="A386" s="2" t="n"/>
      <c r="B386" s="2" t="n"/>
    </row>
    <row r="387" ht="15.75" customHeight="1" s="74">
      <c r="A387" s="2" t="n"/>
      <c r="B387" s="2" t="n"/>
    </row>
    <row r="388" ht="15.75" customHeight="1" s="74">
      <c r="A388" s="2" t="n"/>
      <c r="B388" s="2" t="n"/>
    </row>
    <row r="389" ht="15.75" customHeight="1" s="74">
      <c r="A389" s="2" t="n"/>
      <c r="B389" s="2" t="n"/>
    </row>
    <row r="390" ht="15.75" customHeight="1" s="74">
      <c r="A390" s="2" t="n"/>
      <c r="B390" s="2" t="n"/>
    </row>
    <row r="391" ht="15.75" customHeight="1" s="74">
      <c r="A391" s="2" t="n"/>
      <c r="B391" s="2" t="n"/>
    </row>
    <row r="392" ht="15.75" customHeight="1" s="74">
      <c r="A392" s="2" t="n"/>
      <c r="B392" s="2" t="n"/>
    </row>
    <row r="393" ht="15.75" customHeight="1" s="74">
      <c r="A393" s="2" t="n"/>
      <c r="B393" s="2" t="n"/>
    </row>
    <row r="394" ht="15.75" customHeight="1" s="74">
      <c r="A394" s="2" t="n"/>
      <c r="B394" s="2" t="n"/>
    </row>
    <row r="395" ht="15.75" customHeight="1" s="74">
      <c r="A395" s="2" t="n"/>
      <c r="B395" s="2" t="n"/>
    </row>
    <row r="396" ht="15.75" customHeight="1" s="74">
      <c r="A396" s="2" t="n"/>
      <c r="B396" s="2" t="n"/>
    </row>
    <row r="397" ht="15.75" customHeight="1" s="74">
      <c r="A397" s="2" t="n"/>
      <c r="B397" s="2" t="n"/>
    </row>
    <row r="398" ht="15.75" customHeight="1" s="74">
      <c r="A398" s="2" t="n"/>
      <c r="B398" s="2" t="n"/>
    </row>
    <row r="399" ht="15.75" customHeight="1" s="74">
      <c r="A399" s="2" t="n"/>
      <c r="B399" s="2" t="n"/>
    </row>
    <row r="400" ht="15.75" customHeight="1" s="74">
      <c r="A400" s="2" t="n"/>
      <c r="B400" s="2" t="n"/>
    </row>
    <row r="401" ht="15.75" customHeight="1" s="74">
      <c r="A401" s="2" t="n"/>
      <c r="B401" s="2" t="n"/>
    </row>
    <row r="402" ht="15.75" customHeight="1" s="74">
      <c r="A402" s="2" t="n"/>
      <c r="B402" s="2" t="n"/>
    </row>
    <row r="403" ht="15.75" customHeight="1" s="74">
      <c r="A403" s="2" t="n"/>
      <c r="B403" s="2" t="n"/>
    </row>
    <row r="404" ht="15.75" customHeight="1" s="74">
      <c r="A404" s="2" t="n"/>
      <c r="B404" s="2" t="n"/>
    </row>
    <row r="405" ht="15.75" customHeight="1" s="74">
      <c r="A405" s="2" t="n"/>
      <c r="B405" s="2" t="n"/>
    </row>
    <row r="406" ht="15.75" customHeight="1" s="74">
      <c r="A406" s="2" t="n"/>
      <c r="B406" s="2" t="n"/>
    </row>
    <row r="407" ht="15.75" customHeight="1" s="74">
      <c r="A407" s="2" t="n"/>
      <c r="B407" s="2" t="n"/>
    </row>
    <row r="408" ht="15.75" customHeight="1" s="74">
      <c r="A408" s="2" t="n"/>
      <c r="B408" s="2" t="n"/>
    </row>
    <row r="409" ht="15.75" customHeight="1" s="74">
      <c r="A409" s="2" t="n"/>
      <c r="B409" s="2" t="n"/>
    </row>
    <row r="410" ht="15.75" customHeight="1" s="74">
      <c r="A410" s="2" t="n"/>
      <c r="B410" s="2" t="n"/>
    </row>
    <row r="411" ht="15.75" customHeight="1" s="74">
      <c r="A411" s="2" t="n"/>
      <c r="B411" s="2" t="n"/>
    </row>
    <row r="412" ht="15.75" customHeight="1" s="74">
      <c r="A412" s="2" t="n"/>
      <c r="B412" s="2" t="n"/>
    </row>
    <row r="413" ht="15.75" customHeight="1" s="74">
      <c r="A413" s="2" t="n"/>
      <c r="B413" s="2" t="n"/>
    </row>
    <row r="414" ht="15.75" customHeight="1" s="74">
      <c r="A414" s="2" t="n"/>
      <c r="B414" s="2" t="n"/>
    </row>
    <row r="415" ht="15.75" customHeight="1" s="74">
      <c r="A415" s="2" t="n"/>
      <c r="B415" s="2" t="n"/>
    </row>
    <row r="416" ht="15.75" customHeight="1" s="74">
      <c r="A416" s="2" t="n"/>
      <c r="B416" s="2" t="n"/>
    </row>
    <row r="417" ht="15.75" customHeight="1" s="74">
      <c r="A417" s="2" t="n"/>
      <c r="B417" s="2" t="n"/>
    </row>
    <row r="418" ht="15.75" customHeight="1" s="74">
      <c r="A418" s="2" t="n"/>
      <c r="B418" s="2" t="n"/>
    </row>
    <row r="419" ht="15.75" customHeight="1" s="74">
      <c r="A419" s="2" t="n"/>
      <c r="B419" s="2" t="n"/>
    </row>
    <row r="420" ht="15.75" customHeight="1" s="74">
      <c r="A420" s="2" t="n"/>
      <c r="B420" s="2" t="n"/>
    </row>
    <row r="421" ht="15.75" customHeight="1" s="74">
      <c r="A421" s="2" t="n"/>
      <c r="B421" s="2" t="n"/>
    </row>
    <row r="422" ht="15.75" customHeight="1" s="74">
      <c r="A422" s="2" t="n"/>
      <c r="B422" s="2" t="n"/>
    </row>
    <row r="423" ht="15.75" customHeight="1" s="74">
      <c r="A423" s="2" t="n"/>
      <c r="B423" s="2" t="n"/>
    </row>
    <row r="424" ht="15.75" customHeight="1" s="74">
      <c r="A424" s="2" t="n"/>
      <c r="B424" s="2" t="n"/>
    </row>
    <row r="425" ht="15.75" customHeight="1" s="74">
      <c r="A425" s="2" t="n"/>
      <c r="B425" s="2" t="n"/>
    </row>
    <row r="426" ht="15.75" customHeight="1" s="74">
      <c r="A426" s="2" t="n"/>
      <c r="B426" s="2" t="n"/>
    </row>
    <row r="427" ht="15.75" customHeight="1" s="74">
      <c r="A427" s="2" t="n"/>
      <c r="B427" s="2" t="n"/>
    </row>
    <row r="428" ht="15.75" customHeight="1" s="74">
      <c r="A428" s="2" t="n"/>
      <c r="B428" s="2" t="n"/>
    </row>
    <row r="429" ht="15.75" customHeight="1" s="74">
      <c r="A429" s="2" t="n"/>
      <c r="B429" s="2" t="n"/>
    </row>
    <row r="430" ht="15.75" customHeight="1" s="74">
      <c r="A430" s="2" t="n"/>
      <c r="B430" s="2" t="n"/>
    </row>
    <row r="431" ht="15.75" customHeight="1" s="74">
      <c r="A431" s="2" t="n"/>
      <c r="B431" s="2" t="n"/>
    </row>
    <row r="432" ht="15.75" customHeight="1" s="74">
      <c r="A432" s="2" t="n"/>
      <c r="B432" s="2" t="n"/>
    </row>
    <row r="433" ht="15.75" customHeight="1" s="74">
      <c r="A433" s="2" t="n"/>
      <c r="B433" s="2" t="n"/>
    </row>
    <row r="434" ht="15.75" customHeight="1" s="74">
      <c r="A434" s="2" t="n"/>
      <c r="B434" s="2" t="n"/>
    </row>
    <row r="435" ht="15.75" customHeight="1" s="74">
      <c r="A435" s="2" t="n"/>
      <c r="B435" s="2" t="n"/>
    </row>
    <row r="436" ht="15.75" customHeight="1" s="74">
      <c r="A436" s="2" t="n"/>
      <c r="B436" s="2" t="n"/>
    </row>
    <row r="437" ht="15.75" customHeight="1" s="74">
      <c r="A437" s="2" t="n"/>
      <c r="B437" s="2" t="n"/>
    </row>
    <row r="438" ht="15.75" customHeight="1" s="74">
      <c r="A438" s="2" t="n"/>
      <c r="B438" s="2" t="n"/>
    </row>
    <row r="439" ht="15.75" customHeight="1" s="74">
      <c r="A439" s="2" t="n"/>
      <c r="B439" s="2" t="n"/>
    </row>
    <row r="440" ht="15.75" customHeight="1" s="74">
      <c r="A440" s="2" t="n"/>
      <c r="B440" s="2" t="n"/>
    </row>
    <row r="441" ht="15.75" customHeight="1" s="74">
      <c r="A441" s="2" t="n"/>
      <c r="B441" s="2" t="n"/>
    </row>
    <row r="442" ht="15.75" customHeight="1" s="74">
      <c r="A442" s="2" t="n"/>
      <c r="B442" s="2" t="n"/>
    </row>
    <row r="443" ht="15.75" customHeight="1" s="74">
      <c r="A443" s="2" t="n"/>
      <c r="B443" s="2" t="n"/>
    </row>
    <row r="444" ht="15.75" customHeight="1" s="74">
      <c r="A444" s="2" t="n"/>
      <c r="B444" s="2" t="n"/>
    </row>
    <row r="445" ht="15.75" customHeight="1" s="74">
      <c r="A445" s="2" t="n"/>
      <c r="B445" s="2" t="n"/>
    </row>
    <row r="446" ht="15.75" customHeight="1" s="74">
      <c r="A446" s="2" t="n"/>
      <c r="B446" s="2" t="n"/>
    </row>
    <row r="447" ht="15.75" customHeight="1" s="74">
      <c r="A447" s="2" t="n"/>
      <c r="B447" s="2" t="n"/>
    </row>
    <row r="448" ht="15.75" customHeight="1" s="74">
      <c r="A448" s="2" t="n"/>
      <c r="B448" s="2" t="n"/>
    </row>
    <row r="449" ht="15.75" customHeight="1" s="74">
      <c r="A449" s="2" t="n"/>
      <c r="B449" s="2" t="n"/>
    </row>
    <row r="450" ht="15.75" customHeight="1" s="74">
      <c r="A450" s="2" t="n"/>
      <c r="B450" s="2" t="n"/>
    </row>
    <row r="451" ht="15.75" customHeight="1" s="74">
      <c r="A451" s="2" t="n"/>
      <c r="B451" s="2" t="n"/>
    </row>
    <row r="452" ht="15.75" customHeight="1" s="74">
      <c r="A452" s="2" t="n"/>
      <c r="B452" s="2" t="n"/>
    </row>
    <row r="453" ht="15.75" customHeight="1" s="74">
      <c r="A453" s="2" t="n"/>
      <c r="B453" s="2" t="n"/>
    </row>
    <row r="454" ht="15.75" customHeight="1" s="74">
      <c r="A454" s="2" t="n"/>
      <c r="B454" s="2" t="n"/>
    </row>
    <row r="455" ht="15.75" customHeight="1" s="74">
      <c r="A455" s="2" t="n"/>
      <c r="B455" s="2" t="n"/>
    </row>
    <row r="456" ht="15.75" customHeight="1" s="74">
      <c r="A456" s="2" t="n"/>
      <c r="B456" s="2" t="n"/>
    </row>
    <row r="457" ht="15.75" customHeight="1" s="74">
      <c r="A457" s="2" t="n"/>
      <c r="B457" s="2" t="n"/>
    </row>
    <row r="458" ht="15.75" customHeight="1" s="74">
      <c r="A458" s="2" t="n"/>
      <c r="B458" s="2" t="n"/>
    </row>
    <row r="459" ht="15.75" customHeight="1" s="74">
      <c r="A459" s="2" t="n"/>
      <c r="B459" s="2" t="n"/>
    </row>
    <row r="460" ht="15.75" customHeight="1" s="74">
      <c r="A460" s="2" t="n"/>
      <c r="B460" s="2" t="n"/>
    </row>
    <row r="461" ht="15.75" customHeight="1" s="74">
      <c r="A461" s="2" t="n"/>
      <c r="B461" s="2" t="n"/>
    </row>
    <row r="462" ht="15.75" customHeight="1" s="74">
      <c r="A462" s="2" t="n"/>
      <c r="B462" s="2" t="n"/>
    </row>
    <row r="463" ht="15.75" customHeight="1" s="74">
      <c r="A463" s="2" t="n"/>
      <c r="B463" s="2" t="n"/>
    </row>
    <row r="464" ht="15.75" customHeight="1" s="74">
      <c r="A464" s="2" t="n"/>
      <c r="B464" s="2" t="n"/>
    </row>
    <row r="465" ht="15.75" customHeight="1" s="74">
      <c r="A465" s="2" t="n"/>
      <c r="B465" s="2" t="n"/>
    </row>
    <row r="466" ht="15.75" customHeight="1" s="74">
      <c r="A466" s="2" t="n"/>
      <c r="B466" s="2" t="n"/>
    </row>
    <row r="467" ht="15.75" customHeight="1" s="74">
      <c r="A467" s="2" t="n"/>
      <c r="B467" s="2" t="n"/>
    </row>
    <row r="468" ht="15.75" customHeight="1" s="74">
      <c r="A468" s="2" t="n"/>
      <c r="B468" s="2" t="n"/>
    </row>
    <row r="469" ht="15.75" customHeight="1" s="74">
      <c r="A469" s="2" t="n"/>
      <c r="B469" s="2" t="n"/>
    </row>
    <row r="470" ht="15.75" customHeight="1" s="74">
      <c r="A470" s="2" t="n"/>
      <c r="B470" s="2" t="n"/>
    </row>
    <row r="471" ht="15.75" customHeight="1" s="74">
      <c r="A471" s="2" t="n"/>
      <c r="B471" s="2" t="n"/>
    </row>
    <row r="472" ht="15.75" customHeight="1" s="74">
      <c r="A472" s="2" t="n"/>
      <c r="B472" s="2" t="n"/>
    </row>
    <row r="473" ht="15.75" customHeight="1" s="74">
      <c r="A473" s="2" t="n"/>
      <c r="B473" s="2" t="n"/>
    </row>
    <row r="474" ht="15.75" customHeight="1" s="74">
      <c r="A474" s="2" t="n"/>
      <c r="B474" s="2" t="n"/>
    </row>
    <row r="475" ht="15.75" customHeight="1" s="74">
      <c r="A475" s="2" t="n"/>
      <c r="B475" s="2" t="n"/>
    </row>
    <row r="476" ht="15.75" customHeight="1" s="74">
      <c r="A476" s="2" t="n"/>
      <c r="B476" s="2" t="n"/>
    </row>
    <row r="477" ht="15.75" customHeight="1" s="74">
      <c r="A477" s="2" t="n"/>
      <c r="B477" s="2" t="n"/>
    </row>
    <row r="478" ht="15.75" customHeight="1" s="74">
      <c r="A478" s="2" t="n"/>
      <c r="B478" s="2" t="n"/>
    </row>
    <row r="479" ht="15.75" customHeight="1" s="74">
      <c r="A479" s="2" t="n"/>
      <c r="B479" s="2" t="n"/>
    </row>
    <row r="480" ht="15.75" customHeight="1" s="74">
      <c r="A480" s="2" t="n"/>
      <c r="B480" s="2" t="n"/>
    </row>
    <row r="481" ht="15.75" customHeight="1" s="74">
      <c r="A481" s="2" t="n"/>
      <c r="B481" s="2" t="n"/>
    </row>
    <row r="482" ht="15.75" customHeight="1" s="74">
      <c r="A482" s="2" t="n"/>
      <c r="B482" s="2" t="n"/>
    </row>
    <row r="483" ht="15.75" customHeight="1" s="74">
      <c r="A483" s="2" t="n"/>
      <c r="B483" s="2" t="n"/>
    </row>
    <row r="484" ht="15.75" customHeight="1" s="74">
      <c r="A484" s="2" t="n"/>
      <c r="B484" s="2" t="n"/>
    </row>
    <row r="485" ht="15.75" customHeight="1" s="74">
      <c r="A485" s="2" t="n"/>
      <c r="B485" s="2" t="n"/>
    </row>
    <row r="486" ht="15.75" customHeight="1" s="74">
      <c r="A486" s="2" t="n"/>
      <c r="B486" s="2" t="n"/>
    </row>
    <row r="487" ht="15.75" customHeight="1" s="74">
      <c r="A487" s="2" t="n"/>
      <c r="B487" s="2" t="n"/>
    </row>
    <row r="488" ht="15.75" customHeight="1" s="74">
      <c r="A488" s="2" t="n"/>
      <c r="B488" s="2" t="n"/>
    </row>
    <row r="489" ht="15.75" customHeight="1" s="74">
      <c r="A489" s="2" t="n"/>
      <c r="B489" s="2" t="n"/>
    </row>
    <row r="490" ht="15.75" customHeight="1" s="74">
      <c r="A490" s="2" t="n"/>
      <c r="B490" s="2" t="n"/>
    </row>
    <row r="491" ht="15.75" customHeight="1" s="74">
      <c r="A491" s="2" t="n"/>
      <c r="B491" s="2" t="n"/>
    </row>
    <row r="492" ht="15.75" customHeight="1" s="74">
      <c r="A492" s="2" t="n"/>
      <c r="B492" s="2" t="n"/>
    </row>
    <row r="493" ht="15.75" customHeight="1" s="74">
      <c r="A493" s="2" t="n"/>
      <c r="B493" s="2" t="n"/>
    </row>
    <row r="494" ht="15.75" customHeight="1" s="74">
      <c r="A494" s="2" t="n"/>
      <c r="B494" s="2" t="n"/>
    </row>
    <row r="495" ht="15.75" customHeight="1" s="74">
      <c r="A495" s="2" t="n"/>
      <c r="B495" s="2" t="n"/>
    </row>
    <row r="496" ht="15.75" customHeight="1" s="74">
      <c r="A496" s="2" t="n"/>
      <c r="B496" s="2" t="n"/>
    </row>
    <row r="497" ht="15.75" customHeight="1" s="74">
      <c r="A497" s="2" t="n"/>
      <c r="B497" s="2" t="n"/>
    </row>
    <row r="498" ht="15.75" customHeight="1" s="74">
      <c r="A498" s="2" t="n"/>
      <c r="B498" s="2" t="n"/>
    </row>
    <row r="499" ht="15.75" customHeight="1" s="74">
      <c r="A499" s="2" t="n"/>
      <c r="B499" s="2" t="n"/>
    </row>
    <row r="500" ht="15.75" customHeight="1" s="74">
      <c r="A500" s="2" t="n"/>
      <c r="B500" s="2" t="n"/>
    </row>
    <row r="501" ht="15.75" customHeight="1" s="74">
      <c r="A501" s="2" t="n"/>
      <c r="B501" s="2" t="n"/>
    </row>
    <row r="502" ht="15.75" customHeight="1" s="74">
      <c r="A502" s="2" t="n"/>
      <c r="B502" s="2" t="n"/>
    </row>
    <row r="503" ht="15.75" customHeight="1" s="74">
      <c r="A503" s="2" t="n"/>
      <c r="B503" s="2" t="n"/>
    </row>
    <row r="504" ht="15.75" customHeight="1" s="74">
      <c r="A504" s="2" t="n"/>
      <c r="B504" s="2" t="n"/>
    </row>
    <row r="505" ht="15.75" customHeight="1" s="74">
      <c r="A505" s="2" t="n"/>
      <c r="B505" s="2" t="n"/>
    </row>
    <row r="506" ht="15.75" customHeight="1" s="74">
      <c r="A506" s="2" t="n"/>
      <c r="B506" s="2" t="n"/>
    </row>
    <row r="507" ht="15.75" customHeight="1" s="74">
      <c r="A507" s="2" t="n"/>
      <c r="B507" s="2" t="n"/>
    </row>
    <row r="508" ht="15.75" customHeight="1" s="74">
      <c r="A508" s="2" t="n"/>
      <c r="B508" s="2" t="n"/>
    </row>
    <row r="509" ht="15.75" customHeight="1" s="74">
      <c r="A509" s="2" t="n"/>
      <c r="B509" s="2" t="n"/>
    </row>
    <row r="510" ht="15.75" customHeight="1" s="74">
      <c r="A510" s="2" t="n"/>
      <c r="B510" s="2" t="n"/>
    </row>
    <row r="511" ht="15.75" customHeight="1" s="74">
      <c r="A511" s="2" t="n"/>
      <c r="B511" s="2" t="n"/>
    </row>
    <row r="512" ht="15.75" customHeight="1" s="74">
      <c r="A512" s="2" t="n"/>
      <c r="B512" s="2" t="n"/>
    </row>
    <row r="513" ht="15.75" customHeight="1" s="74">
      <c r="A513" s="2" t="n"/>
      <c r="B513" s="2" t="n"/>
    </row>
    <row r="514" ht="15.75" customHeight="1" s="74">
      <c r="A514" s="2" t="n"/>
      <c r="B514" s="2" t="n"/>
    </row>
    <row r="515" ht="15.75" customHeight="1" s="74">
      <c r="A515" s="2" t="n"/>
      <c r="B515" s="2" t="n"/>
    </row>
    <row r="516" ht="15.75" customHeight="1" s="74">
      <c r="A516" s="2" t="n"/>
      <c r="B516" s="2" t="n"/>
    </row>
    <row r="517" ht="15.75" customHeight="1" s="74">
      <c r="A517" s="2" t="n"/>
      <c r="B517" s="2" t="n"/>
    </row>
    <row r="518" ht="15.75" customHeight="1" s="74">
      <c r="A518" s="2" t="n"/>
      <c r="B518" s="2" t="n"/>
    </row>
    <row r="519" ht="15.75" customHeight="1" s="74">
      <c r="A519" s="2" t="n"/>
      <c r="B519" s="2" t="n"/>
    </row>
    <row r="520" ht="15.75" customHeight="1" s="74">
      <c r="A520" s="2" t="n"/>
      <c r="B520" s="2" t="n"/>
    </row>
    <row r="521" ht="15.75" customHeight="1" s="74">
      <c r="A521" s="2" t="n"/>
      <c r="B521" s="2" t="n"/>
    </row>
    <row r="522" ht="15.75" customHeight="1" s="74">
      <c r="A522" s="2" t="n"/>
      <c r="B522" s="2" t="n"/>
    </row>
    <row r="523" ht="15.75" customHeight="1" s="74">
      <c r="A523" s="2" t="n"/>
      <c r="B523" s="2" t="n"/>
    </row>
    <row r="524" ht="15.75" customHeight="1" s="74">
      <c r="A524" s="2" t="n"/>
      <c r="B524" s="2" t="n"/>
    </row>
    <row r="525" ht="15.75" customHeight="1" s="74">
      <c r="A525" s="2" t="n"/>
      <c r="B525" s="2" t="n"/>
    </row>
    <row r="526" ht="15.75" customHeight="1" s="74">
      <c r="A526" s="2" t="n"/>
      <c r="B526" s="2" t="n"/>
    </row>
    <row r="527" ht="15.75" customHeight="1" s="74">
      <c r="A527" s="2" t="n"/>
      <c r="B527" s="2" t="n"/>
    </row>
    <row r="528" ht="15.75" customHeight="1" s="74">
      <c r="A528" s="2" t="n"/>
      <c r="B528" s="2" t="n"/>
    </row>
    <row r="529" ht="15.75" customHeight="1" s="74">
      <c r="A529" s="2" t="n"/>
      <c r="B529" s="2" t="n"/>
    </row>
    <row r="530" ht="15.75" customHeight="1" s="74">
      <c r="A530" s="2" t="n"/>
      <c r="B530" s="2" t="n"/>
    </row>
    <row r="531" ht="15.75" customHeight="1" s="74">
      <c r="A531" s="2" t="n"/>
      <c r="B531" s="2" t="n"/>
    </row>
    <row r="532" ht="15.75" customHeight="1" s="74">
      <c r="A532" s="2" t="n"/>
      <c r="B532" s="2" t="n"/>
    </row>
    <row r="533" ht="15.75" customHeight="1" s="74">
      <c r="A533" s="2" t="n"/>
      <c r="B533" s="2" t="n"/>
    </row>
    <row r="534" ht="15.75" customHeight="1" s="74">
      <c r="A534" s="2" t="n"/>
      <c r="B534" s="2" t="n"/>
    </row>
    <row r="535" ht="15.75" customHeight="1" s="74">
      <c r="A535" s="2" t="n"/>
      <c r="B535" s="2" t="n"/>
    </row>
    <row r="536" ht="15.75" customHeight="1" s="74">
      <c r="A536" s="2" t="n"/>
      <c r="B536" s="2" t="n"/>
    </row>
    <row r="537" ht="15.75" customHeight="1" s="74">
      <c r="A537" s="2" t="n"/>
      <c r="B537" s="2" t="n"/>
    </row>
    <row r="538" ht="15.75" customHeight="1" s="74">
      <c r="A538" s="2" t="n"/>
      <c r="B538" s="2" t="n"/>
    </row>
    <row r="539" ht="15.75" customHeight="1" s="74">
      <c r="A539" s="2" t="n"/>
      <c r="B539" s="2" t="n"/>
    </row>
    <row r="540" ht="15.75" customHeight="1" s="74">
      <c r="A540" s="2" t="n"/>
      <c r="B540" s="2" t="n"/>
    </row>
    <row r="541" ht="15.75" customHeight="1" s="74">
      <c r="A541" s="2" t="n"/>
      <c r="B541" s="2" t="n"/>
    </row>
    <row r="542" ht="15.75" customHeight="1" s="74">
      <c r="A542" s="2" t="n"/>
      <c r="B542" s="2" t="n"/>
    </row>
    <row r="543" ht="15.75" customHeight="1" s="74">
      <c r="A543" s="2" t="n"/>
      <c r="B543" s="2" t="n"/>
    </row>
    <row r="544" ht="15.75" customHeight="1" s="74">
      <c r="A544" s="2" t="n"/>
      <c r="B544" s="2" t="n"/>
    </row>
    <row r="545" ht="15.75" customHeight="1" s="74">
      <c r="A545" s="2" t="n"/>
      <c r="B545" s="2" t="n"/>
    </row>
    <row r="546" ht="15.75" customHeight="1" s="74">
      <c r="A546" s="2" t="n"/>
      <c r="B546" s="2" t="n"/>
    </row>
    <row r="547" ht="15.75" customHeight="1" s="74">
      <c r="A547" s="2" t="n"/>
      <c r="B547" s="2" t="n"/>
    </row>
    <row r="548" ht="15.75" customHeight="1" s="74">
      <c r="A548" s="2" t="n"/>
      <c r="B548" s="2" t="n"/>
    </row>
    <row r="549" ht="15.75" customHeight="1" s="74">
      <c r="A549" s="2" t="n"/>
      <c r="B549" s="2" t="n"/>
    </row>
    <row r="550" ht="15.75" customHeight="1" s="74">
      <c r="A550" s="2" t="n"/>
      <c r="B550" s="2" t="n"/>
    </row>
    <row r="551" ht="15.75" customHeight="1" s="74">
      <c r="A551" s="2" t="n"/>
      <c r="B551" s="2" t="n"/>
    </row>
    <row r="552" ht="15.75" customHeight="1" s="74">
      <c r="A552" s="2" t="n"/>
      <c r="B552" s="2" t="n"/>
    </row>
    <row r="553" ht="15.75" customHeight="1" s="74">
      <c r="A553" s="2" t="n"/>
      <c r="B553" s="2" t="n"/>
    </row>
    <row r="554" ht="15.75" customHeight="1" s="74">
      <c r="A554" s="2" t="n"/>
      <c r="B554" s="2" t="n"/>
    </row>
    <row r="555" ht="15.75" customHeight="1" s="74">
      <c r="A555" s="2" t="n"/>
      <c r="B555" s="2" t="n"/>
    </row>
    <row r="556" ht="15.75" customHeight="1" s="74">
      <c r="A556" s="2" t="n"/>
      <c r="B556" s="2" t="n"/>
    </row>
    <row r="557" ht="15.75" customHeight="1" s="74">
      <c r="A557" s="2" t="n"/>
      <c r="B557" s="2" t="n"/>
    </row>
    <row r="558" ht="15.75" customHeight="1" s="74">
      <c r="A558" s="2" t="n"/>
      <c r="B558" s="2" t="n"/>
    </row>
    <row r="559" ht="15.75" customHeight="1" s="74">
      <c r="A559" s="2" t="n"/>
      <c r="B559" s="2" t="n"/>
    </row>
    <row r="560" ht="15.75" customHeight="1" s="74">
      <c r="A560" s="2" t="n"/>
      <c r="B560" s="2" t="n"/>
    </row>
    <row r="561" ht="15.75" customHeight="1" s="74">
      <c r="A561" s="2" t="n"/>
      <c r="B561" s="2" t="n"/>
    </row>
    <row r="562" ht="15.75" customHeight="1" s="74">
      <c r="A562" s="2" t="n"/>
      <c r="B562" s="2" t="n"/>
    </row>
    <row r="563" ht="15.75" customHeight="1" s="74">
      <c r="A563" s="2" t="n"/>
      <c r="B563" s="2" t="n"/>
    </row>
    <row r="564" ht="15.75" customHeight="1" s="74">
      <c r="A564" s="2" t="n"/>
      <c r="B564" s="2" t="n"/>
    </row>
    <row r="565" ht="15.75" customHeight="1" s="74">
      <c r="A565" s="2" t="n"/>
      <c r="B565" s="2" t="n"/>
    </row>
    <row r="566" ht="15.75" customHeight="1" s="74">
      <c r="A566" s="2" t="n"/>
      <c r="B566" s="2" t="n"/>
    </row>
    <row r="567" ht="15.75" customHeight="1" s="74">
      <c r="A567" s="2" t="n"/>
      <c r="B567" s="2" t="n"/>
    </row>
    <row r="568" ht="15.75" customHeight="1" s="74">
      <c r="A568" s="2" t="n"/>
      <c r="B568" s="2" t="n"/>
    </row>
    <row r="569" ht="15.75" customHeight="1" s="74">
      <c r="A569" s="2" t="n"/>
      <c r="B569" s="2" t="n"/>
    </row>
    <row r="570" ht="15.75" customHeight="1" s="74">
      <c r="A570" s="2" t="n"/>
      <c r="B570" s="2" t="n"/>
    </row>
    <row r="571" ht="15.75" customHeight="1" s="74">
      <c r="A571" s="2" t="n"/>
      <c r="B571" s="2" t="n"/>
    </row>
    <row r="572" ht="15.75" customHeight="1" s="74">
      <c r="A572" s="2" t="n"/>
      <c r="B572" s="2" t="n"/>
    </row>
    <row r="573" ht="15.75" customHeight="1" s="74">
      <c r="A573" s="2" t="n"/>
      <c r="B573" s="2" t="n"/>
    </row>
    <row r="574" ht="15.75" customHeight="1" s="74">
      <c r="A574" s="2" t="n"/>
      <c r="B574" s="2" t="n"/>
    </row>
    <row r="575" ht="15.75" customHeight="1" s="74">
      <c r="A575" s="2" t="n"/>
      <c r="B575" s="2" t="n"/>
    </row>
    <row r="576" ht="15.75" customHeight="1" s="74">
      <c r="A576" s="2" t="n"/>
      <c r="B576" s="2" t="n"/>
    </row>
    <row r="577" ht="15.75" customHeight="1" s="74">
      <c r="A577" s="2" t="n"/>
      <c r="B577" s="2" t="n"/>
    </row>
    <row r="578" ht="15.75" customHeight="1" s="74">
      <c r="A578" s="2" t="n"/>
      <c r="B578" s="2" t="n"/>
    </row>
    <row r="579" ht="15.75" customHeight="1" s="74">
      <c r="A579" s="2" t="n"/>
      <c r="B579" s="2" t="n"/>
    </row>
    <row r="580" ht="15.75" customHeight="1" s="74">
      <c r="A580" s="2" t="n"/>
      <c r="B580" s="2" t="n"/>
    </row>
    <row r="581" ht="15.75" customHeight="1" s="74">
      <c r="A581" s="2" t="n"/>
      <c r="B581" s="2" t="n"/>
    </row>
    <row r="582" ht="15.75" customHeight="1" s="74">
      <c r="A582" s="2" t="n"/>
      <c r="B582" s="2" t="n"/>
    </row>
    <row r="583" ht="15.75" customHeight="1" s="74">
      <c r="A583" s="2" t="n"/>
      <c r="B583" s="2" t="n"/>
    </row>
    <row r="584" ht="15.75" customHeight="1" s="74">
      <c r="A584" s="2" t="n"/>
      <c r="B584" s="2" t="n"/>
    </row>
    <row r="585" ht="15.75" customHeight="1" s="74">
      <c r="A585" s="2" t="n"/>
      <c r="B585" s="2" t="n"/>
    </row>
    <row r="586" ht="15.75" customHeight="1" s="74">
      <c r="A586" s="2" t="n"/>
      <c r="B586" s="2" t="n"/>
    </row>
    <row r="587" ht="15.75" customHeight="1" s="74">
      <c r="A587" s="2" t="n"/>
      <c r="B587" s="2" t="n"/>
    </row>
    <row r="588" ht="15.75" customHeight="1" s="74">
      <c r="A588" s="2" t="n"/>
      <c r="B588" s="2" t="n"/>
    </row>
    <row r="589" ht="15.75" customHeight="1" s="74">
      <c r="A589" s="2" t="n"/>
      <c r="B589" s="2" t="n"/>
    </row>
    <row r="590" ht="15.75" customHeight="1" s="74">
      <c r="A590" s="2" t="n"/>
      <c r="B590" s="2" t="n"/>
    </row>
    <row r="591" ht="15.75" customHeight="1" s="74">
      <c r="A591" s="2" t="n"/>
      <c r="B591" s="2" t="n"/>
    </row>
    <row r="592" ht="15.75" customHeight="1" s="74">
      <c r="A592" s="2" t="n"/>
      <c r="B592" s="2" t="n"/>
    </row>
    <row r="593" ht="15.75" customHeight="1" s="74">
      <c r="A593" s="2" t="n"/>
      <c r="B593" s="2" t="n"/>
    </row>
    <row r="594" ht="15.75" customHeight="1" s="74">
      <c r="A594" s="2" t="n"/>
      <c r="B594" s="2" t="n"/>
    </row>
    <row r="595" ht="15.75" customHeight="1" s="74">
      <c r="A595" s="2" t="n"/>
      <c r="B595" s="2" t="n"/>
    </row>
    <row r="596" ht="15.75" customHeight="1" s="74">
      <c r="A596" s="2" t="n"/>
      <c r="B596" s="2" t="n"/>
    </row>
    <row r="597" ht="15.75" customHeight="1" s="74">
      <c r="A597" s="2" t="n"/>
      <c r="B597" s="2" t="n"/>
    </row>
    <row r="598" ht="15.75" customHeight="1" s="74">
      <c r="A598" s="2" t="n"/>
      <c r="B598" s="2" t="n"/>
    </row>
    <row r="599" ht="15.75" customHeight="1" s="74">
      <c r="A599" s="2" t="n"/>
      <c r="B599" s="2" t="n"/>
    </row>
    <row r="600" ht="15.75" customHeight="1" s="74">
      <c r="A600" s="2" t="n"/>
      <c r="B600" s="2" t="n"/>
    </row>
    <row r="601" ht="15.75" customHeight="1" s="74">
      <c r="A601" s="2" t="n"/>
      <c r="B601" s="2" t="n"/>
    </row>
    <row r="602" ht="15.75" customHeight="1" s="74">
      <c r="A602" s="2" t="n"/>
      <c r="B602" s="2" t="n"/>
    </row>
    <row r="603" ht="15.75" customHeight="1" s="74">
      <c r="A603" s="2" t="n"/>
      <c r="B603" s="2" t="n"/>
    </row>
    <row r="604" ht="15.75" customHeight="1" s="74">
      <c r="A604" s="2" t="n"/>
      <c r="B604" s="2" t="n"/>
    </row>
    <row r="605" ht="15.75" customHeight="1" s="74">
      <c r="A605" s="2" t="n"/>
      <c r="B605" s="2" t="n"/>
    </row>
    <row r="606" ht="15.75" customHeight="1" s="74">
      <c r="A606" s="2" t="n"/>
      <c r="B606" s="2" t="n"/>
    </row>
    <row r="607" ht="15.75" customHeight="1" s="74">
      <c r="A607" s="2" t="n"/>
      <c r="B607" s="2" t="n"/>
    </row>
    <row r="608" ht="15.75" customHeight="1" s="74">
      <c r="A608" s="2" t="n"/>
      <c r="B608" s="2" t="n"/>
    </row>
    <row r="609" ht="15.75" customHeight="1" s="74">
      <c r="A609" s="2" t="n"/>
      <c r="B609" s="2" t="n"/>
    </row>
    <row r="610" ht="15.75" customHeight="1" s="74">
      <c r="A610" s="2" t="n"/>
      <c r="B610" s="2" t="n"/>
    </row>
    <row r="611" ht="15.75" customHeight="1" s="74">
      <c r="A611" s="2" t="n"/>
      <c r="B611" s="2" t="n"/>
    </row>
    <row r="612" ht="15.75" customHeight="1" s="74">
      <c r="A612" s="2" t="n"/>
      <c r="B612" s="2" t="n"/>
    </row>
    <row r="613" ht="15.75" customHeight="1" s="74">
      <c r="A613" s="2" t="n"/>
      <c r="B613" s="2" t="n"/>
    </row>
    <row r="614" ht="15.75" customHeight="1" s="74">
      <c r="A614" s="2" t="n"/>
      <c r="B614" s="2" t="n"/>
    </row>
    <row r="615" ht="15.75" customHeight="1" s="74">
      <c r="A615" s="2" t="n"/>
      <c r="B615" s="2" t="n"/>
    </row>
    <row r="616" ht="15.75" customHeight="1" s="74">
      <c r="A616" s="2" t="n"/>
      <c r="B616" s="2" t="n"/>
    </row>
    <row r="617" ht="15.75" customHeight="1" s="74">
      <c r="A617" s="2" t="n"/>
      <c r="B617" s="2" t="n"/>
    </row>
    <row r="618" ht="15.75" customHeight="1" s="74">
      <c r="A618" s="2" t="n"/>
      <c r="B618" s="2" t="n"/>
    </row>
    <row r="619" ht="15.75" customHeight="1" s="74">
      <c r="A619" s="2" t="n"/>
      <c r="B619" s="2" t="n"/>
    </row>
    <row r="620" ht="15.75" customHeight="1" s="74">
      <c r="A620" s="2" t="n"/>
      <c r="B620" s="2" t="n"/>
    </row>
    <row r="621" ht="15.75" customHeight="1" s="74">
      <c r="A621" s="2" t="n"/>
      <c r="B621" s="2" t="n"/>
    </row>
    <row r="622" ht="15.75" customHeight="1" s="74">
      <c r="A622" s="2" t="n"/>
      <c r="B622" s="2" t="n"/>
    </row>
    <row r="623" ht="15.75" customHeight="1" s="74">
      <c r="A623" s="2" t="n"/>
      <c r="B623" s="2" t="n"/>
    </row>
    <row r="624" ht="15.75" customHeight="1" s="74">
      <c r="A624" s="2" t="n"/>
      <c r="B624" s="2" t="n"/>
    </row>
    <row r="625" ht="15.75" customHeight="1" s="74">
      <c r="A625" s="2" t="n"/>
      <c r="B625" s="2" t="n"/>
    </row>
    <row r="626" ht="15.75" customHeight="1" s="74">
      <c r="A626" s="2" t="n"/>
      <c r="B626" s="2" t="n"/>
    </row>
    <row r="627" ht="15.75" customHeight="1" s="74">
      <c r="A627" s="2" t="n"/>
      <c r="B627" s="2" t="n"/>
    </row>
    <row r="628" ht="15.75" customHeight="1" s="74">
      <c r="A628" s="2" t="n"/>
      <c r="B628" s="2" t="n"/>
    </row>
    <row r="629" ht="15.75" customHeight="1" s="74">
      <c r="A629" s="2" t="n"/>
      <c r="B629" s="2" t="n"/>
    </row>
    <row r="630" ht="15.75" customHeight="1" s="74">
      <c r="A630" s="2" t="n"/>
      <c r="B630" s="2" t="n"/>
    </row>
    <row r="631" ht="15.75" customHeight="1" s="74">
      <c r="A631" s="2" t="n"/>
      <c r="B631" s="2" t="n"/>
    </row>
    <row r="632" ht="15.75" customHeight="1" s="74">
      <c r="A632" s="2" t="n"/>
      <c r="B632" s="2" t="n"/>
    </row>
    <row r="633" ht="15.75" customHeight="1" s="74">
      <c r="A633" s="2" t="n"/>
      <c r="B633" s="2" t="n"/>
    </row>
    <row r="634" ht="15.75" customHeight="1" s="74">
      <c r="A634" s="2" t="n"/>
      <c r="B634" s="2" t="n"/>
    </row>
    <row r="635" ht="15.75" customHeight="1" s="74">
      <c r="A635" s="2" t="n"/>
      <c r="B635" s="2" t="n"/>
    </row>
    <row r="636" ht="15.75" customHeight="1" s="74">
      <c r="A636" s="2" t="n"/>
      <c r="B636" s="2" t="n"/>
    </row>
    <row r="637" ht="15.75" customHeight="1" s="74">
      <c r="A637" s="2" t="n"/>
      <c r="B637" s="2" t="n"/>
    </row>
    <row r="638" ht="15.75" customHeight="1" s="74">
      <c r="A638" s="2" t="n"/>
      <c r="B638" s="2" t="n"/>
    </row>
    <row r="639" ht="15.75" customHeight="1" s="74">
      <c r="A639" s="2" t="n"/>
      <c r="B639" s="2" t="n"/>
    </row>
    <row r="640" ht="15.75" customHeight="1" s="74">
      <c r="A640" s="2" t="n"/>
      <c r="B640" s="2" t="n"/>
    </row>
    <row r="641" ht="15.75" customHeight="1" s="74">
      <c r="A641" s="2" t="n"/>
      <c r="B641" s="2" t="n"/>
    </row>
    <row r="642" ht="15.75" customHeight="1" s="74">
      <c r="A642" s="2" t="n"/>
      <c r="B642" s="2" t="n"/>
    </row>
    <row r="643" ht="15.75" customHeight="1" s="74">
      <c r="A643" s="2" t="n"/>
      <c r="B643" s="2" t="n"/>
    </row>
    <row r="644" ht="15.75" customHeight="1" s="74">
      <c r="A644" s="2" t="n"/>
      <c r="B644" s="2" t="n"/>
    </row>
    <row r="645" ht="15.75" customHeight="1" s="74">
      <c r="A645" s="2" t="n"/>
      <c r="B645" s="2" t="n"/>
    </row>
    <row r="646" ht="15.75" customHeight="1" s="74">
      <c r="A646" s="2" t="n"/>
      <c r="B646" s="2" t="n"/>
    </row>
    <row r="647" ht="15.75" customHeight="1" s="74">
      <c r="A647" s="2" t="n"/>
      <c r="B647" s="2" t="n"/>
    </row>
    <row r="648" ht="15.75" customHeight="1" s="74">
      <c r="A648" s="2" t="n"/>
      <c r="B648" s="2" t="n"/>
    </row>
    <row r="649" ht="15.75" customHeight="1" s="74">
      <c r="A649" s="2" t="n"/>
      <c r="B649" s="2" t="n"/>
    </row>
    <row r="650" ht="15.75" customHeight="1" s="74">
      <c r="A650" s="2" t="n"/>
      <c r="B650" s="2" t="n"/>
    </row>
    <row r="651" ht="15.75" customHeight="1" s="74">
      <c r="A651" s="2" t="n"/>
      <c r="B651" s="2" t="n"/>
    </row>
    <row r="652" ht="15.75" customHeight="1" s="74">
      <c r="A652" s="2" t="n"/>
      <c r="B652" s="2" t="n"/>
    </row>
    <row r="653" ht="15.75" customHeight="1" s="74">
      <c r="A653" s="2" t="n"/>
      <c r="B653" s="2" t="n"/>
    </row>
    <row r="654" ht="15.75" customHeight="1" s="74">
      <c r="A654" s="2" t="n"/>
      <c r="B654" s="2" t="n"/>
    </row>
    <row r="655" ht="15.75" customHeight="1" s="74">
      <c r="A655" s="2" t="n"/>
      <c r="B655" s="2" t="n"/>
    </row>
    <row r="656" ht="15.75" customHeight="1" s="74">
      <c r="A656" s="2" t="n"/>
      <c r="B656" s="2" t="n"/>
    </row>
    <row r="657" ht="15.75" customHeight="1" s="74">
      <c r="A657" s="2" t="n"/>
      <c r="B657" s="2" t="n"/>
    </row>
    <row r="658" ht="15.75" customHeight="1" s="74">
      <c r="A658" s="2" t="n"/>
      <c r="B658" s="2" t="n"/>
    </row>
    <row r="659" ht="15.75" customHeight="1" s="74">
      <c r="A659" s="2" t="n"/>
      <c r="B659" s="2" t="n"/>
    </row>
    <row r="660" ht="15.75" customHeight="1" s="74">
      <c r="A660" s="2" t="n"/>
      <c r="B660" s="2" t="n"/>
    </row>
    <row r="661" ht="15.75" customHeight="1" s="74">
      <c r="A661" s="2" t="n"/>
      <c r="B661" s="2" t="n"/>
    </row>
    <row r="662" ht="15.75" customHeight="1" s="74">
      <c r="A662" s="2" t="n"/>
      <c r="B662" s="2" t="n"/>
    </row>
    <row r="663" ht="15.75" customHeight="1" s="74">
      <c r="A663" s="2" t="n"/>
      <c r="B663" s="2" t="n"/>
    </row>
    <row r="664" ht="15.75" customHeight="1" s="74">
      <c r="A664" s="2" t="n"/>
      <c r="B664" s="2" t="n"/>
    </row>
    <row r="665" ht="15.75" customHeight="1" s="74">
      <c r="A665" s="2" t="n"/>
      <c r="B665" s="2" t="n"/>
    </row>
    <row r="666" ht="15.75" customHeight="1" s="74">
      <c r="A666" s="2" t="n"/>
      <c r="B666" s="2" t="n"/>
    </row>
    <row r="667" ht="15.75" customHeight="1" s="74">
      <c r="A667" s="2" t="n"/>
      <c r="B667" s="2" t="n"/>
    </row>
    <row r="668" ht="15.75" customHeight="1" s="74">
      <c r="A668" s="2" t="n"/>
      <c r="B668" s="2" t="n"/>
    </row>
    <row r="669" ht="15.75" customHeight="1" s="74">
      <c r="A669" s="2" t="n"/>
      <c r="B669" s="2" t="n"/>
    </row>
    <row r="670" ht="15.75" customHeight="1" s="74">
      <c r="A670" s="2" t="n"/>
      <c r="B670" s="2" t="n"/>
    </row>
    <row r="671" ht="15.75" customHeight="1" s="74">
      <c r="A671" s="2" t="n"/>
      <c r="B671" s="2" t="n"/>
    </row>
    <row r="672" ht="15.75" customHeight="1" s="74">
      <c r="A672" s="2" t="n"/>
      <c r="B672" s="2" t="n"/>
    </row>
    <row r="673" ht="15.75" customHeight="1" s="74">
      <c r="A673" s="2" t="n"/>
      <c r="B673" s="2" t="n"/>
    </row>
    <row r="674" ht="15.75" customHeight="1" s="74">
      <c r="A674" s="2" t="n"/>
      <c r="B674" s="2" t="n"/>
    </row>
    <row r="675" ht="15.75" customHeight="1" s="74">
      <c r="A675" s="2" t="n"/>
      <c r="B675" s="2" t="n"/>
    </row>
    <row r="676" ht="15.75" customHeight="1" s="74">
      <c r="A676" s="2" t="n"/>
      <c r="B676" s="2" t="n"/>
    </row>
    <row r="677" ht="15.75" customHeight="1" s="74">
      <c r="A677" s="2" t="n"/>
      <c r="B677" s="2" t="n"/>
    </row>
    <row r="678" ht="15.75" customHeight="1" s="74">
      <c r="A678" s="2" t="n"/>
      <c r="B678" s="2" t="n"/>
    </row>
    <row r="679" ht="15.75" customHeight="1" s="74">
      <c r="A679" s="2" t="n"/>
      <c r="B679" s="2" t="n"/>
    </row>
    <row r="680" ht="15.75" customHeight="1" s="74">
      <c r="A680" s="2" t="n"/>
      <c r="B680" s="2" t="n"/>
    </row>
    <row r="681" ht="15.75" customHeight="1" s="74">
      <c r="A681" s="2" t="n"/>
      <c r="B681" s="2" t="n"/>
    </row>
    <row r="682" ht="15.75" customHeight="1" s="74">
      <c r="A682" s="2" t="n"/>
      <c r="B682" s="2" t="n"/>
    </row>
    <row r="683" ht="15.75" customHeight="1" s="74">
      <c r="A683" s="2" t="n"/>
      <c r="B683" s="2" t="n"/>
    </row>
    <row r="684" ht="15.75" customHeight="1" s="74">
      <c r="A684" s="2" t="n"/>
      <c r="B684" s="2" t="n"/>
    </row>
    <row r="685" ht="15.75" customHeight="1" s="74">
      <c r="A685" s="2" t="n"/>
      <c r="B685" s="2" t="n"/>
    </row>
    <row r="686" ht="15.75" customHeight="1" s="74">
      <c r="A686" s="2" t="n"/>
      <c r="B686" s="2" t="n"/>
    </row>
    <row r="687" ht="15.75" customHeight="1" s="74">
      <c r="A687" s="2" t="n"/>
      <c r="B687" s="2" t="n"/>
    </row>
    <row r="688" ht="15.75" customHeight="1" s="74">
      <c r="A688" s="2" t="n"/>
      <c r="B688" s="2" t="n"/>
    </row>
    <row r="689" ht="15.75" customHeight="1" s="74">
      <c r="A689" s="2" t="n"/>
      <c r="B689" s="2" t="n"/>
    </row>
    <row r="690" ht="15.75" customHeight="1" s="74">
      <c r="A690" s="2" t="n"/>
      <c r="B690" s="2" t="n"/>
    </row>
    <row r="691" ht="15.75" customHeight="1" s="74">
      <c r="A691" s="2" t="n"/>
      <c r="B691" s="2" t="n"/>
    </row>
    <row r="692" ht="15.75" customHeight="1" s="74">
      <c r="A692" s="2" t="n"/>
      <c r="B692" s="2" t="n"/>
    </row>
    <row r="693" ht="15.75" customHeight="1" s="74">
      <c r="A693" s="2" t="n"/>
      <c r="B693" s="2" t="n"/>
    </row>
    <row r="694" ht="15.75" customHeight="1" s="74">
      <c r="A694" s="2" t="n"/>
      <c r="B694" s="2" t="n"/>
    </row>
    <row r="695" ht="15.75" customHeight="1" s="74">
      <c r="A695" s="2" t="n"/>
      <c r="B695" s="2" t="n"/>
    </row>
    <row r="696" ht="15.75" customHeight="1" s="74">
      <c r="A696" s="2" t="n"/>
      <c r="B696" s="2" t="n"/>
    </row>
    <row r="697" ht="15.75" customHeight="1" s="74">
      <c r="A697" s="2" t="n"/>
      <c r="B697" s="2" t="n"/>
    </row>
    <row r="698" ht="15.75" customHeight="1" s="74">
      <c r="A698" s="2" t="n"/>
      <c r="B698" s="2" t="n"/>
    </row>
    <row r="699" ht="15.75" customHeight="1" s="74">
      <c r="A699" s="2" t="n"/>
      <c r="B699" s="2" t="n"/>
    </row>
    <row r="700" ht="15.75" customHeight="1" s="74">
      <c r="A700" s="2" t="n"/>
      <c r="B700" s="2" t="n"/>
    </row>
    <row r="701" ht="15.75" customHeight="1" s="74">
      <c r="A701" s="2" t="n"/>
      <c r="B701" s="2" t="n"/>
    </row>
    <row r="702" ht="15.75" customHeight="1" s="74">
      <c r="A702" s="2" t="n"/>
      <c r="B702" s="2" t="n"/>
    </row>
    <row r="703" ht="15.75" customHeight="1" s="74">
      <c r="A703" s="2" t="n"/>
      <c r="B703" s="2" t="n"/>
    </row>
    <row r="704" ht="15.75" customHeight="1" s="74">
      <c r="A704" s="2" t="n"/>
      <c r="B704" s="2" t="n"/>
    </row>
    <row r="705" ht="15.75" customHeight="1" s="74">
      <c r="A705" s="2" t="n"/>
      <c r="B705" s="2" t="n"/>
    </row>
    <row r="706" ht="15.75" customHeight="1" s="74">
      <c r="A706" s="2" t="n"/>
      <c r="B706" s="2" t="n"/>
    </row>
    <row r="707" ht="15.75" customHeight="1" s="74">
      <c r="A707" s="2" t="n"/>
      <c r="B707" s="2" t="n"/>
    </row>
    <row r="708" ht="15.75" customHeight="1" s="74">
      <c r="A708" s="2" t="n"/>
      <c r="B708" s="2" t="n"/>
    </row>
    <row r="709" ht="15.75" customHeight="1" s="74">
      <c r="A709" s="2" t="n"/>
      <c r="B709" s="2" t="n"/>
    </row>
    <row r="710" ht="15.75" customHeight="1" s="74">
      <c r="A710" s="2" t="n"/>
      <c r="B710" s="2" t="n"/>
    </row>
    <row r="711" ht="15.75" customHeight="1" s="74">
      <c r="A711" s="2" t="n"/>
      <c r="B711" s="2" t="n"/>
    </row>
    <row r="712" ht="15.75" customHeight="1" s="74">
      <c r="A712" s="2" t="n"/>
      <c r="B712" s="2" t="n"/>
    </row>
    <row r="713" ht="15.75" customHeight="1" s="74">
      <c r="A713" s="2" t="n"/>
      <c r="B713" s="2" t="n"/>
    </row>
    <row r="714" ht="15.75" customHeight="1" s="74">
      <c r="A714" s="2" t="n"/>
      <c r="B714" s="2" t="n"/>
    </row>
    <row r="715" ht="15.75" customHeight="1" s="74">
      <c r="A715" s="2" t="n"/>
      <c r="B715" s="2" t="n"/>
    </row>
    <row r="716" ht="15.75" customHeight="1" s="74">
      <c r="A716" s="2" t="n"/>
      <c r="B716" s="2" t="n"/>
    </row>
    <row r="717" ht="15.75" customHeight="1" s="74">
      <c r="A717" s="2" t="n"/>
      <c r="B717" s="2" t="n"/>
    </row>
    <row r="718" ht="15.75" customHeight="1" s="74">
      <c r="A718" s="2" t="n"/>
      <c r="B718" s="2" t="n"/>
    </row>
    <row r="719" ht="15.75" customHeight="1" s="74">
      <c r="A719" s="2" t="n"/>
      <c r="B719" s="2" t="n"/>
    </row>
    <row r="720" ht="15.75" customHeight="1" s="74">
      <c r="A720" s="2" t="n"/>
      <c r="B720" s="2" t="n"/>
    </row>
    <row r="721" ht="15.75" customHeight="1" s="74">
      <c r="A721" s="2" t="n"/>
      <c r="B721" s="2" t="n"/>
    </row>
    <row r="722" ht="15.75" customHeight="1" s="74">
      <c r="A722" s="2" t="n"/>
      <c r="B722" s="2" t="n"/>
    </row>
    <row r="723" ht="15.75" customHeight="1" s="74">
      <c r="A723" s="2" t="n"/>
      <c r="B723" s="2" t="n"/>
    </row>
    <row r="724" ht="15.75" customHeight="1" s="74">
      <c r="A724" s="2" t="n"/>
      <c r="B724" s="2" t="n"/>
    </row>
    <row r="725" ht="15.75" customHeight="1" s="74">
      <c r="A725" s="2" t="n"/>
      <c r="B725" s="2" t="n"/>
    </row>
    <row r="726" ht="15.75" customHeight="1" s="74">
      <c r="A726" s="2" t="n"/>
      <c r="B726" s="2" t="n"/>
    </row>
    <row r="727" ht="15.75" customHeight="1" s="74">
      <c r="A727" s="2" t="n"/>
      <c r="B727" s="2" t="n"/>
    </row>
    <row r="728" ht="15.75" customHeight="1" s="74">
      <c r="A728" s="2" t="n"/>
      <c r="B728" s="2" t="n"/>
    </row>
    <row r="729" ht="15.75" customHeight="1" s="74">
      <c r="A729" s="2" t="n"/>
      <c r="B729" s="2" t="n"/>
    </row>
    <row r="730" ht="15.75" customHeight="1" s="74">
      <c r="A730" s="2" t="n"/>
      <c r="B730" s="2" t="n"/>
    </row>
    <row r="731" ht="15.75" customHeight="1" s="74">
      <c r="A731" s="2" t="n"/>
      <c r="B731" s="2" t="n"/>
    </row>
    <row r="732" ht="15.75" customHeight="1" s="74">
      <c r="A732" s="2" t="n"/>
      <c r="B732" s="2" t="n"/>
    </row>
    <row r="733" ht="15.75" customHeight="1" s="74">
      <c r="A733" s="2" t="n"/>
      <c r="B733" s="2" t="n"/>
    </row>
    <row r="734" ht="15.75" customHeight="1" s="74">
      <c r="A734" s="2" t="n"/>
      <c r="B734" s="2" t="n"/>
    </row>
    <row r="735" ht="15.75" customHeight="1" s="74">
      <c r="A735" s="2" t="n"/>
      <c r="B735" s="2" t="n"/>
    </row>
    <row r="736" ht="15.75" customHeight="1" s="74">
      <c r="A736" s="2" t="n"/>
      <c r="B736" s="2" t="n"/>
    </row>
    <row r="737" ht="15.75" customHeight="1" s="74">
      <c r="A737" s="2" t="n"/>
      <c r="B737" s="2" t="n"/>
    </row>
    <row r="738" ht="15.75" customHeight="1" s="74">
      <c r="A738" s="2" t="n"/>
      <c r="B738" s="2" t="n"/>
    </row>
    <row r="739" ht="15.75" customHeight="1" s="74">
      <c r="A739" s="2" t="n"/>
      <c r="B739" s="2" t="n"/>
    </row>
    <row r="740" ht="15.75" customHeight="1" s="74">
      <c r="A740" s="2" t="n"/>
      <c r="B740" s="2" t="n"/>
    </row>
    <row r="741" ht="15.75" customHeight="1" s="74">
      <c r="A741" s="2" t="n"/>
      <c r="B741" s="2" t="n"/>
    </row>
    <row r="742" ht="15.75" customHeight="1" s="74">
      <c r="A742" s="2" t="n"/>
      <c r="B742" s="2" t="n"/>
    </row>
    <row r="743" ht="15.75" customHeight="1" s="74">
      <c r="A743" s="2" t="n"/>
      <c r="B743" s="2" t="n"/>
    </row>
    <row r="744" ht="15.75" customHeight="1" s="74">
      <c r="A744" s="2" t="n"/>
      <c r="B744" s="2" t="n"/>
    </row>
    <row r="745" ht="15.75" customHeight="1" s="74">
      <c r="A745" s="2" t="n"/>
      <c r="B745" s="2" t="n"/>
    </row>
    <row r="746" ht="15.75" customHeight="1" s="74">
      <c r="A746" s="2" t="n"/>
      <c r="B746" s="2" t="n"/>
    </row>
    <row r="747" ht="15.75" customHeight="1" s="74">
      <c r="A747" s="2" t="n"/>
      <c r="B747" s="2" t="n"/>
    </row>
    <row r="748" ht="15.75" customHeight="1" s="74">
      <c r="A748" s="2" t="n"/>
      <c r="B748" s="2" t="n"/>
    </row>
    <row r="749" ht="15.75" customHeight="1" s="74">
      <c r="A749" s="2" t="n"/>
      <c r="B749" s="2" t="n"/>
    </row>
    <row r="750" ht="15.75" customHeight="1" s="74">
      <c r="A750" s="2" t="n"/>
      <c r="B750" s="2" t="n"/>
    </row>
    <row r="751" ht="15.75" customHeight="1" s="74">
      <c r="A751" s="2" t="n"/>
      <c r="B751" s="2" t="n"/>
    </row>
    <row r="752" ht="15.75" customHeight="1" s="74">
      <c r="A752" s="2" t="n"/>
      <c r="B752" s="2" t="n"/>
    </row>
    <row r="753" ht="15.75" customHeight="1" s="74">
      <c r="A753" s="2" t="n"/>
      <c r="B753" s="2" t="n"/>
    </row>
    <row r="754" ht="15.75" customHeight="1" s="74">
      <c r="A754" s="2" t="n"/>
      <c r="B754" s="2" t="n"/>
    </row>
    <row r="755" ht="15.75" customHeight="1" s="74">
      <c r="A755" s="2" t="n"/>
      <c r="B755" s="2" t="n"/>
    </row>
    <row r="756" ht="15.75" customHeight="1" s="74">
      <c r="A756" s="2" t="n"/>
      <c r="B756" s="2" t="n"/>
    </row>
    <row r="757" ht="15.75" customHeight="1" s="74">
      <c r="A757" s="2" t="n"/>
      <c r="B757" s="2" t="n"/>
    </row>
    <row r="758" ht="15.75" customHeight="1" s="74">
      <c r="A758" s="2" t="n"/>
      <c r="B758" s="2" t="n"/>
    </row>
    <row r="759" ht="15.75" customHeight="1" s="74">
      <c r="A759" s="2" t="n"/>
      <c r="B759" s="2" t="n"/>
    </row>
    <row r="760" ht="15.75" customHeight="1" s="74">
      <c r="A760" s="2" t="n"/>
      <c r="B760" s="2" t="n"/>
    </row>
    <row r="761" ht="15.75" customHeight="1" s="74">
      <c r="A761" s="2" t="n"/>
      <c r="B761" s="2" t="n"/>
    </row>
    <row r="762" ht="15.75" customHeight="1" s="74">
      <c r="A762" s="2" t="n"/>
      <c r="B762" s="2" t="n"/>
    </row>
    <row r="763" ht="15.75" customHeight="1" s="74">
      <c r="A763" s="2" t="n"/>
      <c r="B763" s="2" t="n"/>
    </row>
    <row r="764" ht="15.75" customHeight="1" s="74">
      <c r="A764" s="2" t="n"/>
      <c r="B764" s="2" t="n"/>
    </row>
    <row r="765" ht="15.75" customHeight="1" s="74">
      <c r="A765" s="2" t="n"/>
      <c r="B765" s="2" t="n"/>
    </row>
    <row r="766" ht="15.75" customHeight="1" s="74">
      <c r="A766" s="2" t="n"/>
      <c r="B766" s="2" t="n"/>
    </row>
    <row r="767" ht="15.75" customHeight="1" s="74">
      <c r="A767" s="2" t="n"/>
      <c r="B767" s="2" t="n"/>
    </row>
    <row r="768" ht="15.75" customHeight="1" s="74">
      <c r="A768" s="2" t="n"/>
      <c r="B768" s="2" t="n"/>
    </row>
    <row r="769" ht="15.75" customHeight="1" s="74">
      <c r="A769" s="2" t="n"/>
      <c r="B769" s="2" t="n"/>
    </row>
    <row r="770" ht="15.75" customHeight="1" s="74">
      <c r="A770" s="2" t="n"/>
      <c r="B770" s="2" t="n"/>
    </row>
    <row r="771" ht="15.75" customHeight="1" s="74">
      <c r="A771" s="2" t="n"/>
      <c r="B771" s="2" t="n"/>
    </row>
    <row r="772" ht="15.75" customHeight="1" s="74">
      <c r="A772" s="2" t="n"/>
      <c r="B772" s="2" t="n"/>
    </row>
    <row r="773" ht="15.75" customHeight="1" s="74">
      <c r="A773" s="2" t="n"/>
      <c r="B773" s="2" t="n"/>
    </row>
    <row r="774" ht="15.75" customHeight="1" s="74">
      <c r="A774" s="2" t="n"/>
      <c r="B774" s="2" t="n"/>
    </row>
    <row r="775" ht="15.75" customHeight="1" s="74">
      <c r="A775" s="2" t="n"/>
      <c r="B775" s="2" t="n"/>
    </row>
    <row r="776" ht="15.75" customHeight="1" s="74">
      <c r="A776" s="2" t="n"/>
      <c r="B776" s="2" t="n"/>
    </row>
    <row r="777" ht="15.75" customHeight="1" s="74">
      <c r="A777" s="2" t="n"/>
      <c r="B777" s="2" t="n"/>
    </row>
    <row r="778" ht="15.75" customHeight="1" s="74">
      <c r="A778" s="2" t="n"/>
      <c r="B778" s="2" t="n"/>
    </row>
    <row r="779" ht="15.75" customHeight="1" s="74">
      <c r="A779" s="2" t="n"/>
      <c r="B779" s="2" t="n"/>
    </row>
    <row r="780" ht="15.75" customHeight="1" s="74">
      <c r="A780" s="2" t="n"/>
      <c r="B780" s="2" t="n"/>
    </row>
    <row r="781" ht="15.75" customHeight="1" s="74">
      <c r="A781" s="2" t="n"/>
      <c r="B781" s="2" t="n"/>
    </row>
    <row r="782" ht="15.75" customHeight="1" s="74">
      <c r="A782" s="2" t="n"/>
      <c r="B782" s="2" t="n"/>
    </row>
    <row r="783" ht="15.75" customHeight="1" s="74">
      <c r="A783" s="2" t="n"/>
      <c r="B783" s="2" t="n"/>
    </row>
    <row r="784" ht="15.75" customHeight="1" s="74">
      <c r="A784" s="2" t="n"/>
      <c r="B784" s="2" t="n"/>
    </row>
    <row r="785" ht="15.75" customHeight="1" s="74">
      <c r="A785" s="2" t="n"/>
      <c r="B785" s="2" t="n"/>
    </row>
    <row r="786" ht="15.75" customHeight="1" s="74">
      <c r="A786" s="2" t="n"/>
      <c r="B786" s="2" t="n"/>
    </row>
    <row r="787" ht="15.75" customHeight="1" s="74">
      <c r="A787" s="2" t="n"/>
      <c r="B787" s="2" t="n"/>
    </row>
    <row r="788" ht="15.75" customHeight="1" s="74">
      <c r="A788" s="2" t="n"/>
      <c r="B788" s="2" t="n"/>
    </row>
    <row r="789" ht="15.75" customHeight="1" s="74">
      <c r="A789" s="2" t="n"/>
      <c r="B789" s="2" t="n"/>
    </row>
    <row r="790" ht="15.75" customHeight="1" s="74">
      <c r="A790" s="2" t="n"/>
      <c r="B790" s="2" t="n"/>
    </row>
    <row r="791" ht="15.75" customHeight="1" s="74">
      <c r="A791" s="2" t="n"/>
      <c r="B791" s="2" t="n"/>
    </row>
    <row r="792" ht="15.75" customHeight="1" s="74">
      <c r="A792" s="2" t="n"/>
      <c r="B792" s="2" t="n"/>
    </row>
    <row r="793" ht="15.75" customHeight="1" s="74">
      <c r="A793" s="2" t="n"/>
      <c r="B793" s="2" t="n"/>
    </row>
    <row r="794" ht="15.75" customHeight="1" s="74">
      <c r="A794" s="2" t="n"/>
      <c r="B794" s="2" t="n"/>
    </row>
    <row r="795" ht="15.75" customHeight="1" s="74">
      <c r="A795" s="2" t="n"/>
      <c r="B795" s="2" t="n"/>
    </row>
    <row r="796" ht="15.75" customHeight="1" s="74">
      <c r="A796" s="2" t="n"/>
      <c r="B796" s="2" t="n"/>
    </row>
    <row r="797" ht="15.75" customHeight="1" s="74">
      <c r="A797" s="2" t="n"/>
      <c r="B797" s="2" t="n"/>
    </row>
    <row r="798" ht="15.75" customHeight="1" s="74">
      <c r="A798" s="2" t="n"/>
      <c r="B798" s="2" t="n"/>
    </row>
    <row r="799" ht="15.75" customHeight="1" s="74">
      <c r="A799" s="2" t="n"/>
      <c r="B799" s="2" t="n"/>
    </row>
    <row r="800" ht="15.75" customHeight="1" s="74">
      <c r="A800" s="2" t="n"/>
      <c r="B800" s="2" t="n"/>
    </row>
    <row r="801" ht="15.75" customHeight="1" s="74">
      <c r="A801" s="2" t="n"/>
      <c r="B801" s="2" t="n"/>
    </row>
    <row r="802" ht="15.75" customHeight="1" s="74">
      <c r="A802" s="2" t="n"/>
      <c r="B802" s="2" t="n"/>
    </row>
    <row r="803" ht="15.75" customHeight="1" s="74">
      <c r="A803" s="2" t="n"/>
      <c r="B803" s="2" t="n"/>
    </row>
    <row r="804" ht="15.75" customHeight="1" s="74">
      <c r="A804" s="2" t="n"/>
      <c r="B804" s="2" t="n"/>
    </row>
    <row r="805" ht="15.75" customHeight="1" s="74">
      <c r="A805" s="2" t="n"/>
      <c r="B805" s="2" t="n"/>
    </row>
    <row r="806" ht="15.75" customHeight="1" s="74">
      <c r="A806" s="2" t="n"/>
      <c r="B806" s="2" t="n"/>
    </row>
    <row r="807" ht="15.75" customHeight="1" s="74">
      <c r="A807" s="2" t="n"/>
      <c r="B807" s="2" t="n"/>
    </row>
    <row r="808" ht="15.75" customHeight="1" s="74">
      <c r="A808" s="2" t="n"/>
      <c r="B808" s="2" t="n"/>
    </row>
    <row r="809" ht="15.75" customHeight="1" s="74">
      <c r="A809" s="2" t="n"/>
      <c r="B809" s="2" t="n"/>
    </row>
    <row r="810" ht="15.75" customHeight="1" s="74">
      <c r="A810" s="2" t="n"/>
      <c r="B810" s="2" t="n"/>
    </row>
    <row r="811" ht="15.75" customHeight="1" s="74">
      <c r="A811" s="2" t="n"/>
      <c r="B811" s="2" t="n"/>
    </row>
    <row r="812" ht="15.75" customHeight="1" s="74">
      <c r="A812" s="2" t="n"/>
      <c r="B812" s="2" t="n"/>
    </row>
    <row r="813" ht="15.75" customHeight="1" s="74">
      <c r="A813" s="2" t="n"/>
      <c r="B813" s="2" t="n"/>
    </row>
    <row r="814" ht="15.75" customHeight="1" s="74">
      <c r="A814" s="2" t="n"/>
      <c r="B814" s="2" t="n"/>
    </row>
    <row r="815" ht="15.75" customHeight="1" s="74">
      <c r="A815" s="2" t="n"/>
      <c r="B815" s="2" t="n"/>
    </row>
    <row r="816" ht="15.75" customHeight="1" s="74">
      <c r="A816" s="2" t="n"/>
      <c r="B816" s="2" t="n"/>
    </row>
    <row r="817" ht="15.75" customHeight="1" s="74">
      <c r="A817" s="2" t="n"/>
      <c r="B817" s="2" t="n"/>
    </row>
    <row r="818" ht="15.75" customHeight="1" s="74">
      <c r="A818" s="2" t="n"/>
      <c r="B818" s="2" t="n"/>
    </row>
    <row r="819" ht="15.75" customHeight="1" s="74">
      <c r="A819" s="2" t="n"/>
      <c r="B819" s="2" t="n"/>
    </row>
    <row r="820" ht="15.75" customHeight="1" s="74">
      <c r="A820" s="2" t="n"/>
      <c r="B820" s="2" t="n"/>
    </row>
    <row r="821" ht="15.75" customHeight="1" s="74">
      <c r="A821" s="2" t="n"/>
      <c r="B821" s="2" t="n"/>
    </row>
    <row r="822" ht="15.75" customHeight="1" s="74">
      <c r="A822" s="2" t="n"/>
      <c r="B822" s="2" t="n"/>
    </row>
    <row r="823" ht="15.75" customHeight="1" s="74">
      <c r="A823" s="2" t="n"/>
      <c r="B823" s="2" t="n"/>
    </row>
    <row r="824" ht="15.75" customHeight="1" s="74">
      <c r="A824" s="2" t="n"/>
      <c r="B824" s="2" t="n"/>
    </row>
    <row r="825" ht="15.75" customHeight="1" s="74">
      <c r="A825" s="2" t="n"/>
      <c r="B825" s="2" t="n"/>
    </row>
    <row r="826" ht="15.75" customHeight="1" s="74">
      <c r="A826" s="2" t="n"/>
      <c r="B826" s="2" t="n"/>
    </row>
    <row r="827" ht="15.75" customHeight="1" s="74">
      <c r="A827" s="2" t="n"/>
      <c r="B827" s="2" t="n"/>
    </row>
    <row r="828" ht="15.75" customHeight="1" s="74">
      <c r="A828" s="2" t="n"/>
      <c r="B828" s="2" t="n"/>
    </row>
    <row r="829" ht="15.75" customHeight="1" s="74">
      <c r="A829" s="2" t="n"/>
      <c r="B829" s="2" t="n"/>
    </row>
    <row r="830" ht="15.75" customHeight="1" s="74">
      <c r="A830" s="2" t="n"/>
      <c r="B830" s="2" t="n"/>
    </row>
    <row r="831" ht="15.75" customHeight="1" s="74">
      <c r="A831" s="2" t="n"/>
      <c r="B831" s="2" t="n"/>
    </row>
    <row r="832" ht="15.75" customHeight="1" s="74">
      <c r="A832" s="2" t="n"/>
      <c r="B832" s="2" t="n"/>
    </row>
    <row r="833" ht="15.75" customHeight="1" s="74">
      <c r="A833" s="2" t="n"/>
      <c r="B833" s="2" t="n"/>
    </row>
    <row r="834" ht="15.75" customHeight="1" s="74">
      <c r="A834" s="2" t="n"/>
      <c r="B834" s="2" t="n"/>
    </row>
    <row r="835" ht="15.75" customHeight="1" s="74">
      <c r="A835" s="2" t="n"/>
      <c r="B835" s="2" t="n"/>
    </row>
    <row r="836" ht="15.75" customHeight="1" s="74">
      <c r="A836" s="2" t="n"/>
      <c r="B836" s="2" t="n"/>
    </row>
    <row r="837" ht="15.75" customHeight="1" s="74">
      <c r="A837" s="2" t="n"/>
      <c r="B837" s="2" t="n"/>
    </row>
    <row r="838" ht="15.75" customHeight="1" s="74">
      <c r="A838" s="2" t="n"/>
      <c r="B838" s="2" t="n"/>
    </row>
    <row r="839" ht="15.75" customHeight="1" s="74">
      <c r="A839" s="2" t="n"/>
      <c r="B839" s="2" t="n"/>
    </row>
    <row r="840" ht="15.75" customHeight="1" s="74">
      <c r="A840" s="2" t="n"/>
      <c r="B840" s="2" t="n"/>
    </row>
    <row r="841" ht="15.75" customHeight="1" s="74">
      <c r="A841" s="2" t="n"/>
      <c r="B841" s="2" t="n"/>
    </row>
    <row r="842" ht="15.75" customHeight="1" s="74">
      <c r="A842" s="2" t="n"/>
      <c r="B842" s="2" t="n"/>
    </row>
    <row r="843" ht="15.75" customHeight="1" s="74">
      <c r="A843" s="2" t="n"/>
      <c r="B843" s="2" t="n"/>
    </row>
    <row r="844" ht="15.75" customHeight="1" s="74">
      <c r="A844" s="2" t="n"/>
      <c r="B844" s="2" t="n"/>
    </row>
    <row r="845" ht="15.75" customHeight="1" s="74">
      <c r="A845" s="2" t="n"/>
      <c r="B845" s="2" t="n"/>
    </row>
    <row r="846" ht="15.75" customHeight="1" s="74">
      <c r="A846" s="2" t="n"/>
      <c r="B846" s="2" t="n"/>
    </row>
    <row r="847" ht="15.75" customHeight="1" s="74">
      <c r="A847" s="2" t="n"/>
      <c r="B847" s="2" t="n"/>
    </row>
    <row r="848" ht="15.75" customHeight="1" s="74">
      <c r="A848" s="2" t="n"/>
      <c r="B848" s="2" t="n"/>
    </row>
    <row r="849" ht="15.75" customHeight="1" s="74">
      <c r="A849" s="2" t="n"/>
      <c r="B849" s="2" t="n"/>
    </row>
    <row r="850" ht="15.75" customHeight="1" s="74">
      <c r="A850" s="2" t="n"/>
      <c r="B850" s="2" t="n"/>
    </row>
    <row r="851" ht="15.75" customHeight="1" s="74">
      <c r="A851" s="2" t="n"/>
      <c r="B851" s="2" t="n"/>
    </row>
    <row r="852" ht="15.75" customHeight="1" s="74">
      <c r="A852" s="2" t="n"/>
      <c r="B852" s="2" t="n"/>
    </row>
    <row r="853" ht="15.75" customHeight="1" s="74">
      <c r="A853" s="2" t="n"/>
      <c r="B853" s="2" t="n"/>
    </row>
    <row r="854" ht="15.75" customHeight="1" s="74">
      <c r="A854" s="2" t="n"/>
      <c r="B854" s="2" t="n"/>
    </row>
    <row r="855" ht="15.75" customHeight="1" s="74">
      <c r="A855" s="2" t="n"/>
      <c r="B855" s="2" t="n"/>
    </row>
    <row r="856" ht="15.75" customHeight="1" s="74">
      <c r="A856" s="2" t="n"/>
      <c r="B856" s="2" t="n"/>
    </row>
    <row r="857" ht="15.75" customHeight="1" s="74">
      <c r="A857" s="2" t="n"/>
      <c r="B857" s="2" t="n"/>
    </row>
    <row r="858" ht="15.75" customHeight="1" s="74">
      <c r="A858" s="2" t="n"/>
      <c r="B858" s="2" t="n"/>
    </row>
    <row r="859" ht="15.75" customHeight="1" s="74">
      <c r="A859" s="2" t="n"/>
      <c r="B859" s="2" t="n"/>
    </row>
    <row r="860" ht="15.75" customHeight="1" s="74">
      <c r="A860" s="2" t="n"/>
      <c r="B860" s="2" t="n"/>
    </row>
    <row r="861" ht="15.75" customHeight="1" s="74">
      <c r="A861" s="2" t="n"/>
      <c r="B861" s="2" t="n"/>
    </row>
    <row r="862" ht="15.75" customHeight="1" s="74">
      <c r="A862" s="2" t="n"/>
      <c r="B862" s="2" t="n"/>
    </row>
    <row r="863" ht="15.75" customHeight="1" s="74">
      <c r="A863" s="2" t="n"/>
      <c r="B863" s="2" t="n"/>
    </row>
    <row r="864" ht="15.75" customHeight="1" s="74">
      <c r="A864" s="2" t="n"/>
      <c r="B864" s="2" t="n"/>
    </row>
    <row r="865" ht="15.75" customHeight="1" s="74">
      <c r="A865" s="2" t="n"/>
      <c r="B865" s="2" t="n"/>
    </row>
    <row r="866" ht="15.75" customHeight="1" s="74">
      <c r="A866" s="2" t="n"/>
      <c r="B866" s="2" t="n"/>
    </row>
    <row r="867" ht="15.75" customHeight="1" s="74">
      <c r="A867" s="2" t="n"/>
      <c r="B867" s="2" t="n"/>
    </row>
    <row r="868" ht="15.75" customHeight="1" s="74">
      <c r="A868" s="2" t="n"/>
      <c r="B868" s="2" t="n"/>
    </row>
    <row r="869" ht="15.75" customHeight="1" s="74">
      <c r="A869" s="2" t="n"/>
      <c r="B869" s="2" t="n"/>
    </row>
    <row r="870" ht="15.75" customHeight="1" s="74">
      <c r="A870" s="2" t="n"/>
      <c r="B870" s="2" t="n"/>
    </row>
    <row r="871" ht="15.75" customHeight="1" s="74">
      <c r="A871" s="2" t="n"/>
      <c r="B871" s="2" t="n"/>
    </row>
    <row r="872" ht="15.75" customHeight="1" s="74">
      <c r="A872" s="2" t="n"/>
      <c r="B872" s="2" t="n"/>
    </row>
    <row r="873" ht="15.75" customHeight="1" s="74">
      <c r="A873" s="2" t="n"/>
      <c r="B873" s="2" t="n"/>
    </row>
    <row r="874" ht="15.75" customHeight="1" s="74">
      <c r="A874" s="2" t="n"/>
      <c r="B874" s="2" t="n"/>
    </row>
    <row r="875" ht="15.75" customHeight="1" s="74">
      <c r="A875" s="2" t="n"/>
      <c r="B875" s="2" t="n"/>
    </row>
    <row r="876" ht="15.75" customHeight="1" s="74">
      <c r="A876" s="2" t="n"/>
      <c r="B876" s="2" t="n"/>
    </row>
    <row r="877" ht="15.75" customHeight="1" s="74">
      <c r="A877" s="2" t="n"/>
      <c r="B877" s="2" t="n"/>
    </row>
    <row r="878" ht="15.75" customHeight="1" s="74">
      <c r="A878" s="2" t="n"/>
      <c r="B878" s="2" t="n"/>
    </row>
    <row r="879" ht="15.75" customHeight="1" s="74">
      <c r="A879" s="2" t="n"/>
      <c r="B879" s="2" t="n"/>
    </row>
    <row r="880" ht="15.75" customHeight="1" s="74">
      <c r="A880" s="2" t="n"/>
      <c r="B880" s="2" t="n"/>
    </row>
    <row r="881" ht="15.75" customHeight="1" s="74">
      <c r="A881" s="2" t="n"/>
      <c r="B881" s="2" t="n"/>
    </row>
    <row r="882" ht="15.75" customHeight="1" s="74">
      <c r="A882" s="2" t="n"/>
      <c r="B882" s="2" t="n"/>
    </row>
    <row r="883" ht="15.75" customHeight="1" s="74">
      <c r="A883" s="2" t="n"/>
      <c r="B883" s="2" t="n"/>
    </row>
    <row r="884" ht="15.75" customHeight="1" s="74">
      <c r="A884" s="2" t="n"/>
      <c r="B884" s="2" t="n"/>
    </row>
    <row r="885" ht="15.75" customHeight="1" s="74">
      <c r="A885" s="2" t="n"/>
      <c r="B885" s="2" t="n"/>
    </row>
    <row r="886" ht="15.75" customHeight="1" s="74">
      <c r="A886" s="2" t="n"/>
      <c r="B886" s="2" t="n"/>
    </row>
    <row r="887" ht="15.75" customHeight="1" s="74">
      <c r="A887" s="2" t="n"/>
      <c r="B887" s="2" t="n"/>
    </row>
    <row r="888" ht="15.75" customHeight="1" s="74">
      <c r="A888" s="2" t="n"/>
      <c r="B888" s="2" t="n"/>
    </row>
    <row r="889" ht="15.75" customHeight="1" s="74">
      <c r="A889" s="2" t="n"/>
      <c r="B889" s="2" t="n"/>
    </row>
    <row r="890" ht="15.75" customHeight="1" s="74">
      <c r="A890" s="2" t="n"/>
      <c r="B890" s="2" t="n"/>
    </row>
    <row r="891" ht="15.75" customHeight="1" s="74">
      <c r="A891" s="2" t="n"/>
      <c r="B891" s="2" t="n"/>
    </row>
    <row r="892" ht="15.75" customHeight="1" s="74">
      <c r="A892" s="2" t="n"/>
      <c r="B892" s="2" t="n"/>
    </row>
    <row r="893" ht="15.75" customHeight="1" s="74">
      <c r="A893" s="2" t="n"/>
      <c r="B893" s="2" t="n"/>
    </row>
    <row r="894" ht="15.75" customHeight="1" s="74">
      <c r="A894" s="2" t="n"/>
      <c r="B894" s="2" t="n"/>
    </row>
    <row r="895" ht="15.75" customHeight="1" s="74">
      <c r="A895" s="2" t="n"/>
      <c r="B895" s="2" t="n"/>
    </row>
    <row r="896" ht="15.75" customHeight="1" s="74">
      <c r="A896" s="2" t="n"/>
      <c r="B896" s="2" t="n"/>
    </row>
    <row r="897" ht="15.75" customHeight="1" s="74">
      <c r="A897" s="2" t="n"/>
      <c r="B897" s="2" t="n"/>
    </row>
    <row r="898" ht="15.75" customHeight="1" s="74">
      <c r="A898" s="2" t="n"/>
      <c r="B898" s="2" t="n"/>
    </row>
    <row r="899" ht="15.75" customHeight="1" s="74">
      <c r="A899" s="2" t="n"/>
      <c r="B899" s="2" t="n"/>
    </row>
    <row r="900" ht="15.75" customHeight="1" s="74">
      <c r="A900" s="2" t="n"/>
      <c r="B900" s="2" t="n"/>
    </row>
    <row r="901" ht="15.75" customHeight="1" s="74">
      <c r="A901" s="2" t="n"/>
      <c r="B901" s="2" t="n"/>
    </row>
    <row r="902" ht="15.75" customHeight="1" s="74">
      <c r="A902" s="2" t="n"/>
      <c r="B902" s="2" t="n"/>
    </row>
    <row r="903" ht="15.75" customHeight="1" s="74">
      <c r="A903" s="2" t="n"/>
      <c r="B903" s="2" t="n"/>
    </row>
    <row r="904" ht="15.75" customHeight="1" s="74">
      <c r="A904" s="2" t="n"/>
      <c r="B904" s="2" t="n"/>
    </row>
    <row r="905" ht="15.75" customHeight="1" s="74">
      <c r="A905" s="2" t="n"/>
      <c r="B905" s="2" t="n"/>
    </row>
    <row r="906" ht="15.75" customHeight="1" s="74">
      <c r="A906" s="2" t="n"/>
      <c r="B906" s="2" t="n"/>
    </row>
    <row r="907" ht="15.75" customHeight="1" s="74">
      <c r="A907" s="2" t="n"/>
      <c r="B907" s="2" t="n"/>
    </row>
    <row r="908" ht="15.75" customHeight="1" s="74">
      <c r="A908" s="2" t="n"/>
      <c r="B908" s="2" t="n"/>
    </row>
    <row r="909" ht="15.75" customHeight="1" s="74">
      <c r="A909" s="2" t="n"/>
      <c r="B909" s="2" t="n"/>
    </row>
    <row r="910" ht="15.75" customHeight="1" s="74">
      <c r="A910" s="2" t="n"/>
      <c r="B910" s="2" t="n"/>
    </row>
    <row r="911" ht="15.75" customHeight="1" s="74">
      <c r="A911" s="2" t="n"/>
      <c r="B911" s="2" t="n"/>
    </row>
    <row r="912" ht="15.75" customHeight="1" s="74">
      <c r="A912" s="2" t="n"/>
      <c r="B912" s="2" t="n"/>
    </row>
    <row r="913" ht="15.75" customHeight="1" s="74">
      <c r="A913" s="2" t="n"/>
      <c r="B913" s="2" t="n"/>
    </row>
    <row r="914" ht="15.75" customHeight="1" s="74">
      <c r="A914" s="2" t="n"/>
      <c r="B914" s="2" t="n"/>
    </row>
    <row r="915" ht="15.75" customHeight="1" s="74">
      <c r="A915" s="2" t="n"/>
      <c r="B915" s="2" t="n"/>
    </row>
    <row r="916" ht="15.75" customHeight="1" s="74">
      <c r="A916" s="2" t="n"/>
      <c r="B916" s="2" t="n"/>
    </row>
    <row r="917" ht="15.75" customHeight="1" s="74">
      <c r="A917" s="2" t="n"/>
      <c r="B917" s="2" t="n"/>
    </row>
    <row r="918" ht="15.75" customHeight="1" s="74">
      <c r="A918" s="2" t="n"/>
      <c r="B918" s="2" t="n"/>
    </row>
    <row r="919" ht="15.75" customHeight="1" s="74">
      <c r="A919" s="2" t="n"/>
      <c r="B919" s="2" t="n"/>
    </row>
    <row r="920" ht="15.75" customHeight="1" s="74">
      <c r="A920" s="2" t="n"/>
      <c r="B920" s="2" t="n"/>
    </row>
    <row r="921" ht="15.75" customHeight="1" s="74">
      <c r="A921" s="2" t="n"/>
      <c r="B921" s="2" t="n"/>
    </row>
    <row r="922" ht="15.75" customHeight="1" s="74">
      <c r="A922" s="2" t="n"/>
      <c r="B922" s="2" t="n"/>
    </row>
    <row r="923" ht="15.75" customHeight="1" s="74">
      <c r="A923" s="2" t="n"/>
      <c r="B923" s="2" t="n"/>
    </row>
    <row r="924" ht="15.75" customHeight="1" s="74">
      <c r="A924" s="2" t="n"/>
      <c r="B924" s="2" t="n"/>
    </row>
    <row r="925" ht="15.75" customHeight="1" s="74">
      <c r="A925" s="2" t="n"/>
      <c r="B925" s="2" t="n"/>
    </row>
    <row r="926" ht="15.75" customHeight="1" s="74">
      <c r="A926" s="2" t="n"/>
      <c r="B926" s="2" t="n"/>
    </row>
    <row r="927" ht="15.75" customHeight="1" s="74">
      <c r="A927" s="2" t="n"/>
      <c r="B927" s="2" t="n"/>
    </row>
    <row r="928" ht="15.75" customHeight="1" s="74">
      <c r="A928" s="2" t="n"/>
      <c r="B928" s="2" t="n"/>
    </row>
    <row r="929" ht="15.75" customHeight="1" s="74">
      <c r="A929" s="2" t="n"/>
      <c r="B929" s="2" t="n"/>
    </row>
    <row r="930" ht="15.75" customHeight="1" s="74">
      <c r="A930" s="2" t="n"/>
      <c r="B930" s="2" t="n"/>
    </row>
    <row r="931" ht="15.75" customHeight="1" s="74">
      <c r="A931" s="2" t="n"/>
      <c r="B931" s="2" t="n"/>
    </row>
    <row r="932" ht="15.75" customHeight="1" s="74">
      <c r="A932" s="2" t="n"/>
      <c r="B932" s="2" t="n"/>
    </row>
    <row r="933" ht="15.75" customHeight="1" s="74">
      <c r="A933" s="2" t="n"/>
      <c r="B933" s="2" t="n"/>
    </row>
    <row r="934" ht="15.75" customHeight="1" s="74">
      <c r="A934" s="2" t="n"/>
      <c r="B934" s="2" t="n"/>
    </row>
    <row r="935" ht="15.75" customHeight="1" s="74">
      <c r="A935" s="2" t="n"/>
      <c r="B935" s="2" t="n"/>
    </row>
    <row r="936" ht="15.75" customHeight="1" s="74">
      <c r="A936" s="2" t="n"/>
      <c r="B936" s="2" t="n"/>
    </row>
    <row r="937" ht="15.75" customHeight="1" s="74">
      <c r="A937" s="2" t="n"/>
      <c r="B937" s="2" t="n"/>
    </row>
    <row r="938" ht="15.75" customHeight="1" s="74">
      <c r="A938" s="2" t="n"/>
      <c r="B938" s="2" t="n"/>
    </row>
    <row r="939" ht="15.75" customHeight="1" s="74">
      <c r="A939" s="2" t="n"/>
      <c r="B939" s="2" t="n"/>
    </row>
    <row r="940" ht="15.75" customHeight="1" s="74">
      <c r="A940" s="2" t="n"/>
      <c r="B940" s="2" t="n"/>
    </row>
    <row r="941" ht="15.75" customHeight="1" s="74">
      <c r="A941" s="2" t="n"/>
      <c r="B941" s="2" t="n"/>
    </row>
    <row r="942" ht="15.75" customHeight="1" s="74">
      <c r="A942" s="2" t="n"/>
      <c r="B942" s="2" t="n"/>
    </row>
    <row r="943" ht="15.75" customHeight="1" s="74">
      <c r="A943" s="2" t="n"/>
      <c r="B943" s="2" t="n"/>
    </row>
    <row r="944" ht="15.75" customHeight="1" s="74">
      <c r="A944" s="2" t="n"/>
      <c r="B944" s="2" t="n"/>
    </row>
    <row r="945" ht="15.75" customHeight="1" s="74">
      <c r="A945" s="2" t="n"/>
      <c r="B945" s="2" t="n"/>
    </row>
    <row r="946" ht="15.75" customHeight="1" s="74">
      <c r="A946" s="2" t="n"/>
      <c r="B946" s="2" t="n"/>
    </row>
    <row r="947" ht="15.75" customHeight="1" s="74">
      <c r="A947" s="2" t="n"/>
      <c r="B947" s="2" t="n"/>
    </row>
    <row r="948" ht="15.75" customHeight="1" s="74">
      <c r="A948" s="2" t="n"/>
      <c r="B948" s="2" t="n"/>
    </row>
    <row r="949" ht="15.75" customHeight="1" s="74">
      <c r="A949" s="2" t="n"/>
      <c r="B949" s="2" t="n"/>
    </row>
    <row r="950" ht="15.75" customHeight="1" s="74">
      <c r="A950" s="2" t="n"/>
      <c r="B950" s="2" t="n"/>
    </row>
    <row r="951" ht="15.75" customHeight="1" s="74">
      <c r="A951" s="2" t="n"/>
      <c r="B951" s="2" t="n"/>
    </row>
    <row r="952" ht="15.75" customHeight="1" s="74">
      <c r="A952" s="2" t="n"/>
      <c r="B952" s="2" t="n"/>
    </row>
    <row r="953" ht="15.75" customHeight="1" s="74">
      <c r="A953" s="2" t="n"/>
      <c r="B953" s="2" t="n"/>
    </row>
    <row r="954" ht="15.75" customHeight="1" s="74">
      <c r="A954" s="2" t="n"/>
      <c r="B954" s="2" t="n"/>
    </row>
    <row r="955" ht="15.75" customHeight="1" s="74">
      <c r="A955" s="2" t="n"/>
      <c r="B955" s="2" t="n"/>
    </row>
    <row r="956" ht="15.75" customHeight="1" s="74">
      <c r="A956" s="2" t="n"/>
      <c r="B956" s="2" t="n"/>
    </row>
    <row r="957" ht="15.75" customHeight="1" s="74">
      <c r="A957" s="2" t="n"/>
      <c r="B957" s="2" t="n"/>
    </row>
    <row r="958" ht="15.75" customHeight="1" s="74">
      <c r="A958" s="2" t="n"/>
      <c r="B958" s="2" t="n"/>
    </row>
    <row r="959" ht="15.75" customHeight="1" s="74">
      <c r="A959" s="2" t="n"/>
      <c r="B959" s="2" t="n"/>
    </row>
    <row r="960" ht="15.75" customHeight="1" s="74">
      <c r="A960" s="2" t="n"/>
      <c r="B960" s="2" t="n"/>
    </row>
    <row r="961" ht="15.75" customHeight="1" s="74">
      <c r="A961" s="2" t="n"/>
      <c r="B961" s="2" t="n"/>
    </row>
    <row r="962" ht="15.75" customHeight="1" s="74">
      <c r="A962" s="2" t="n"/>
      <c r="B962" s="2" t="n"/>
    </row>
    <row r="963" ht="15.75" customHeight="1" s="74">
      <c r="A963" s="2" t="n"/>
      <c r="B963" s="2" t="n"/>
    </row>
    <row r="964" ht="15.75" customHeight="1" s="74">
      <c r="A964" s="2" t="n"/>
      <c r="B964" s="2" t="n"/>
    </row>
    <row r="965" ht="15.75" customHeight="1" s="74">
      <c r="A965" s="2" t="n"/>
      <c r="B965" s="2" t="n"/>
    </row>
    <row r="966" ht="15.75" customHeight="1" s="74">
      <c r="A966" s="2" t="n"/>
      <c r="B966" s="2" t="n"/>
    </row>
    <row r="967" ht="15.75" customHeight="1" s="74">
      <c r="A967" s="2" t="n"/>
      <c r="B967" s="2" t="n"/>
    </row>
    <row r="968" ht="15.75" customHeight="1" s="74">
      <c r="A968" s="2" t="n"/>
      <c r="B968" s="2" t="n"/>
    </row>
    <row r="969" ht="15.75" customHeight="1" s="74">
      <c r="A969" s="2" t="n"/>
      <c r="B969" s="2" t="n"/>
    </row>
    <row r="970" ht="15.75" customHeight="1" s="74">
      <c r="A970" s="2" t="n"/>
      <c r="B970" s="2" t="n"/>
    </row>
    <row r="971" ht="15.75" customHeight="1" s="74">
      <c r="A971" s="2" t="n"/>
      <c r="B971" s="2" t="n"/>
    </row>
    <row r="972" ht="15.75" customHeight="1" s="74">
      <c r="A972" s="2" t="n"/>
      <c r="B972" s="2" t="n"/>
    </row>
    <row r="973" ht="15.75" customHeight="1" s="74">
      <c r="A973" s="2" t="n"/>
      <c r="B973" s="2" t="n"/>
    </row>
    <row r="974" ht="15.75" customHeight="1" s="74">
      <c r="A974" s="2" t="n"/>
      <c r="B974" s="2" t="n"/>
    </row>
    <row r="975" ht="15.75" customHeight="1" s="74">
      <c r="A975" s="2" t="n"/>
      <c r="B975" s="2" t="n"/>
    </row>
    <row r="976" ht="15.75" customHeight="1" s="74">
      <c r="A976" s="2" t="n"/>
      <c r="B976" s="2" t="n"/>
    </row>
    <row r="977" ht="15.75" customHeight="1" s="74">
      <c r="A977" s="2" t="n"/>
      <c r="B977" s="2" t="n"/>
    </row>
    <row r="978" ht="15.75" customHeight="1" s="74">
      <c r="A978" s="2" t="n"/>
      <c r="B978" s="2" t="n"/>
    </row>
    <row r="979" ht="15.75" customHeight="1" s="74">
      <c r="A979" s="2" t="n"/>
      <c r="B979" s="2" t="n"/>
    </row>
    <row r="980" ht="15.75" customHeight="1" s="74">
      <c r="A980" s="2" t="n"/>
      <c r="B980" s="2" t="n"/>
    </row>
    <row r="981" ht="15.75" customHeight="1" s="74">
      <c r="A981" s="2" t="n"/>
      <c r="B981" s="2" t="n"/>
    </row>
    <row r="982" ht="15.75" customHeight="1" s="74">
      <c r="A982" s="2" t="n"/>
      <c r="B982" s="2" t="n"/>
    </row>
    <row r="983" ht="15.75" customHeight="1" s="74">
      <c r="A983" s="2" t="n"/>
      <c r="B983" s="2" t="n"/>
    </row>
    <row r="984" ht="15.75" customHeight="1" s="74">
      <c r="A984" s="2" t="n"/>
      <c r="B984" s="2" t="n"/>
    </row>
    <row r="985" ht="15.75" customHeight="1" s="74">
      <c r="A985" s="2" t="n"/>
      <c r="B985" s="2" t="n"/>
    </row>
    <row r="986" ht="15.75" customHeight="1" s="74">
      <c r="A986" s="2" t="n"/>
      <c r="B986" s="2" t="n"/>
    </row>
    <row r="987" ht="15.75" customHeight="1" s="74">
      <c r="A987" s="2" t="n"/>
      <c r="B987" s="2" t="n"/>
    </row>
    <row r="988" ht="15.75" customHeight="1" s="74">
      <c r="A988" s="2" t="n"/>
      <c r="B988" s="2" t="n"/>
    </row>
    <row r="989" ht="15.75" customHeight="1" s="74">
      <c r="A989" s="2" t="n"/>
      <c r="B989" s="2" t="n"/>
    </row>
    <row r="990" ht="15.75" customHeight="1" s="74">
      <c r="A990" s="2" t="n"/>
      <c r="B990" s="2" t="n"/>
    </row>
    <row r="991" ht="15.75" customHeight="1" s="74">
      <c r="A991" s="2" t="n"/>
      <c r="B991" s="2" t="n"/>
    </row>
    <row r="992" ht="15.75" customHeight="1" s="74">
      <c r="A992" s="2" t="n"/>
      <c r="B992" s="2" t="n"/>
    </row>
    <row r="993" ht="15.75" customHeight="1" s="74">
      <c r="A993" s="2" t="n"/>
      <c r="B993" s="2" t="n"/>
    </row>
    <row r="994" ht="15.75" customHeight="1" s="74">
      <c r="A994" s="2" t="n"/>
      <c r="B994" s="2" t="n"/>
    </row>
    <row r="995" ht="15.75" customHeight="1" s="74">
      <c r="A995" s="2" t="n"/>
      <c r="B995" s="2" t="n"/>
    </row>
    <row r="996" ht="15.75" customHeight="1" s="74">
      <c r="A996" s="2" t="n"/>
      <c r="B996" s="2" t="n"/>
    </row>
    <row r="997" ht="15.75" customHeight="1" s="74">
      <c r="A997" s="2" t="n"/>
      <c r="B997" s="2" t="n"/>
    </row>
    <row r="998" ht="15.75" customHeight="1" s="74">
      <c r="A998" s="2" t="n"/>
      <c r="B998" s="2" t="n"/>
    </row>
    <row r="999" ht="15.75" customHeight="1" s="74">
      <c r="A999" s="2" t="n"/>
      <c r="B999" s="2" t="n"/>
    </row>
    <row r="1000" ht="15.75" customHeight="1" s="74">
      <c r="A1000" s="2" t="n"/>
      <c r="B1000" s="2" t="n"/>
    </row>
  </sheetData>
  <mergeCells count="1">
    <mergeCell ref="B116:AI116"/>
  </mergeCells>
  <pageMargins left="0.75" right="0.75" top="1" bottom="1" header="0" footer="0"/>
  <pageSetup orientation="portrait"/>
</worksheet>
</file>

<file path=xl/worksheets/sheet3.xml><?xml version="1.0" encoding="utf-8"?>
<worksheet xmlns="http://schemas.openxmlformats.org/spreadsheetml/2006/main">
  <sheetPr>
    <outlinePr summaryBelow="1" summaryRight="1"/>
    <pageSetUpPr/>
  </sheetPr>
  <dimension ref="A1:AI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ColWidth="12.6640625" defaultRowHeight="15" customHeight="1"/>
  <cols>
    <col width="15.33203125" customWidth="1" style="74" min="1" max="1"/>
    <col width="37.33203125" customWidth="1" style="74" min="2" max="2"/>
    <col width="7.6640625" customWidth="1" style="74" min="3" max="35"/>
  </cols>
  <sheetData>
    <row r="1" ht="15" customHeight="1" s="74">
      <c r="A1" s="2" t="n"/>
      <c r="B1" s="17" t="inlineStr">
        <is>
          <t>ref2020.d112119a</t>
        </is>
      </c>
      <c r="C1" s="18" t="n">
        <v>2019</v>
      </c>
      <c r="D1" s="18" t="n">
        <v>2020</v>
      </c>
      <c r="E1" s="18" t="n">
        <v>2021</v>
      </c>
      <c r="F1" s="18" t="n">
        <v>2022</v>
      </c>
      <c r="G1" s="18" t="n">
        <v>2023</v>
      </c>
      <c r="H1" s="18" t="n">
        <v>2024</v>
      </c>
      <c r="I1" s="18" t="n">
        <v>2025</v>
      </c>
      <c r="J1" s="18" t="n">
        <v>2026</v>
      </c>
      <c r="K1" s="18" t="n">
        <v>2027</v>
      </c>
      <c r="L1" s="18" t="n">
        <v>2028</v>
      </c>
      <c r="M1" s="18" t="n">
        <v>2029</v>
      </c>
      <c r="N1" s="18" t="n">
        <v>2030</v>
      </c>
      <c r="O1" s="18" t="n">
        <v>2031</v>
      </c>
      <c r="P1" s="18" t="n">
        <v>2032</v>
      </c>
      <c r="Q1" s="18" t="n">
        <v>2033</v>
      </c>
      <c r="R1" s="18" t="n">
        <v>2034</v>
      </c>
      <c r="S1" s="18" t="n">
        <v>2035</v>
      </c>
      <c r="T1" s="18" t="n">
        <v>2036</v>
      </c>
      <c r="U1" s="18" t="n">
        <v>2037</v>
      </c>
      <c r="V1" s="18" t="n">
        <v>2038</v>
      </c>
      <c r="W1" s="18" t="n">
        <v>2039</v>
      </c>
      <c r="X1" s="18" t="n">
        <v>2040</v>
      </c>
      <c r="Y1" s="18" t="n">
        <v>2041</v>
      </c>
      <c r="Z1" s="18" t="n">
        <v>2042</v>
      </c>
      <c r="AA1" s="18" t="n">
        <v>2043</v>
      </c>
      <c r="AB1" s="18" t="n">
        <v>2044</v>
      </c>
      <c r="AC1" s="18" t="n">
        <v>2045</v>
      </c>
      <c r="AD1" s="18" t="n">
        <v>2046</v>
      </c>
      <c r="AE1" s="18" t="n">
        <v>2047</v>
      </c>
      <c r="AF1" s="18" t="n">
        <v>2048</v>
      </c>
      <c r="AG1" s="18" t="n">
        <v>2049</v>
      </c>
      <c r="AH1" s="18" t="n">
        <v>2050</v>
      </c>
    </row>
    <row r="2" ht="15" customHeight="1" s="74">
      <c r="A2" s="2" t="n"/>
      <c r="B2" s="2" t="n"/>
    </row>
    <row r="3" ht="15" customHeight="1" s="74">
      <c r="A3" s="2" t="n"/>
      <c r="B3" s="2" t="n"/>
      <c r="C3" s="19" t="inlineStr">
        <is>
          <t>Report</t>
        </is>
      </c>
      <c r="D3" s="19" t="inlineStr">
        <is>
          <t>Annual Energy Outlook 2020</t>
        </is>
      </c>
      <c r="E3" s="19" t="n"/>
      <c r="F3" s="19" t="n"/>
      <c r="G3" s="19" t="n"/>
      <c r="H3" s="19" t="n"/>
    </row>
    <row r="4" ht="15" customHeight="1" s="74">
      <c r="A4" s="2" t="n"/>
      <c r="B4" s="2" t="n"/>
      <c r="C4" s="19" t="inlineStr">
        <is>
          <t>Scenario</t>
        </is>
      </c>
      <c r="D4" s="19" t="inlineStr">
        <is>
          <t>ref2020</t>
        </is>
      </c>
      <c r="E4" s="19" t="n"/>
      <c r="F4" s="19" t="n"/>
      <c r="G4" s="19" t="inlineStr">
        <is>
          <t>Reference case</t>
        </is>
      </c>
      <c r="H4" s="19" t="n"/>
    </row>
    <row r="5" ht="15" customHeight="1" s="74">
      <c r="A5" s="2" t="n"/>
      <c r="B5" s="2" t="n"/>
      <c r="C5" s="19" t="inlineStr">
        <is>
          <t>Datekey</t>
        </is>
      </c>
      <c r="D5" s="19" t="inlineStr">
        <is>
          <t>d112119a</t>
        </is>
      </c>
      <c r="E5" s="19" t="n"/>
      <c r="F5" s="19" t="n"/>
      <c r="G5" s="19" t="n"/>
      <c r="H5" s="19" t="n"/>
    </row>
    <row r="6" ht="15" customHeight="1" s="74">
      <c r="A6" s="2" t="n"/>
      <c r="B6" s="2" t="n"/>
      <c r="C6" s="19" t="inlineStr">
        <is>
          <t>Release Date</t>
        </is>
      </c>
      <c r="D6" s="19" t="n"/>
      <c r="E6" s="19" t="inlineStr">
        <is>
          <t xml:space="preserve"> January 2020</t>
        </is>
      </c>
      <c r="F6" s="19" t="n"/>
      <c r="G6" s="19" t="n"/>
      <c r="H6" s="19" t="n"/>
    </row>
    <row r="7">
      <c r="A7" s="2" t="n"/>
      <c r="B7" s="2" t="n"/>
    </row>
    <row r="8">
      <c r="A8" s="2" t="n"/>
      <c r="B8" s="2" t="n"/>
    </row>
    <row r="9">
      <c r="A9" s="2" t="n"/>
      <c r="B9" s="2" t="n"/>
    </row>
    <row r="10" ht="15" customHeight="1" s="74">
      <c r="A10" s="20" t="inlineStr">
        <is>
          <t>CST000</t>
        </is>
      </c>
      <c r="B10" s="21" t="inlineStr">
        <is>
          <t>22. Commercial Sector Energy Consumption, Floorspace, Equipment Efficiency, and Distributed Generation</t>
        </is>
      </c>
    </row>
    <row r="11" ht="15" customHeight="1" s="74">
      <c r="A11" s="2" t="n"/>
      <c r="B11" s="17" t="n"/>
    </row>
    <row r="12" ht="15" customHeight="1" s="74">
      <c r="A12" s="2" t="n"/>
      <c r="B12" s="17" t="n"/>
      <c r="C12" s="4" t="n"/>
      <c r="D12" s="4" t="n"/>
      <c r="E12" s="4" t="n"/>
      <c r="F12" s="4" t="n"/>
      <c r="G12" s="4" t="n"/>
      <c r="H12" s="4" t="n"/>
      <c r="I12" s="4" t="n"/>
      <c r="J12" s="4" t="n"/>
      <c r="K12" s="4" t="n"/>
      <c r="L12" s="4" t="n"/>
      <c r="M12" s="4" t="n"/>
      <c r="N12" s="4" t="n"/>
      <c r="O12" s="4" t="n"/>
      <c r="P12" s="4" t="n"/>
      <c r="Q12" s="4" t="n"/>
      <c r="R12" s="4" t="n"/>
      <c r="S12" s="4" t="n"/>
      <c r="T12" s="4" t="n"/>
      <c r="U12" s="4" t="n"/>
      <c r="V12" s="4" t="n"/>
      <c r="W12" s="4" t="n"/>
      <c r="X12" s="4" t="n"/>
      <c r="Y12" s="4" t="n"/>
      <c r="Z12" s="4" t="n"/>
      <c r="AA12" s="4" t="n"/>
      <c r="AB12" s="4" t="n"/>
      <c r="AC12" s="4" t="n"/>
      <c r="AD12" s="4" t="n"/>
      <c r="AE12" s="4" t="n"/>
      <c r="AF12" s="4" t="n"/>
      <c r="AG12" s="4" t="n"/>
      <c r="AH12" s="4" t="n"/>
      <c r="AI12" s="4" t="inlineStr">
        <is>
          <t>2019-</t>
        </is>
      </c>
    </row>
    <row r="13" ht="15" customHeight="1" s="74">
      <c r="A13" s="2" t="n"/>
      <c r="B13" s="18" t="inlineStr">
        <is>
          <t xml:space="preserve"> Indicators</t>
        </is>
      </c>
      <c r="C13" s="18" t="n">
        <v>2019</v>
      </c>
      <c r="D13" s="18" t="n">
        <v>2020</v>
      </c>
      <c r="E13" s="18" t="n">
        <v>2021</v>
      </c>
      <c r="F13" s="18" t="n">
        <v>2022</v>
      </c>
      <c r="G13" s="18" t="n">
        <v>2023</v>
      </c>
      <c r="H13" s="18" t="n">
        <v>2024</v>
      </c>
      <c r="I13" s="18" t="n">
        <v>2025</v>
      </c>
      <c r="J13" s="18" t="n">
        <v>2026</v>
      </c>
      <c r="K13" s="18" t="n">
        <v>2027</v>
      </c>
      <c r="L13" s="18" t="n">
        <v>2028</v>
      </c>
      <c r="M13" s="18" t="n">
        <v>2029</v>
      </c>
      <c r="N13" s="18" t="n">
        <v>2030</v>
      </c>
      <c r="O13" s="18" t="n">
        <v>2031</v>
      </c>
      <c r="P13" s="18" t="n">
        <v>2032</v>
      </c>
      <c r="Q13" s="18" t="n">
        <v>2033</v>
      </c>
      <c r="R13" s="18" t="n">
        <v>2034</v>
      </c>
      <c r="S13" s="18" t="n">
        <v>2035</v>
      </c>
      <c r="T13" s="18" t="n">
        <v>2036</v>
      </c>
      <c r="U13" s="18" t="n">
        <v>2037</v>
      </c>
      <c r="V13" s="18" t="n">
        <v>2038</v>
      </c>
      <c r="W13" s="18" t="n">
        <v>2039</v>
      </c>
      <c r="X13" s="18" t="n">
        <v>2040</v>
      </c>
      <c r="Y13" s="18" t="n">
        <v>2041</v>
      </c>
      <c r="Z13" s="18" t="n">
        <v>2042</v>
      </c>
      <c r="AA13" s="18" t="n">
        <v>2043</v>
      </c>
      <c r="AB13" s="18" t="n">
        <v>2044</v>
      </c>
      <c r="AC13" s="18" t="n">
        <v>2045</v>
      </c>
      <c r="AD13" s="18" t="n">
        <v>2046</v>
      </c>
      <c r="AE13" s="18" t="n">
        <v>2047</v>
      </c>
      <c r="AF13" s="18" t="n">
        <v>2048</v>
      </c>
      <c r="AG13" s="18" t="n">
        <v>2049</v>
      </c>
      <c r="AH13" s="18" t="n">
        <v>2050</v>
      </c>
      <c r="AI13" s="18" t="n">
        <v>2050</v>
      </c>
    </row>
    <row r="14" ht="15" customHeight="1" s="74">
      <c r="A14" s="2" t="n"/>
      <c r="B14" s="2" t="n"/>
    </row>
    <row r="15" ht="15" customHeight="1" s="74">
      <c r="A15" s="2" t="n"/>
      <c r="B15" s="22" t="inlineStr">
        <is>
          <t>Commercial Building Delivered</t>
        </is>
      </c>
    </row>
    <row r="16" ht="15" customHeight="1" s="74">
      <c r="A16" s="2" t="n"/>
      <c r="B16" s="22" t="inlineStr">
        <is>
          <t xml:space="preserve"> Energy Consumption (quadrillion Btu) 1/</t>
        </is>
      </c>
    </row>
    <row r="17" ht="15" customHeight="1" s="74">
      <c r="A17" s="20" t="inlineStr">
        <is>
          <t>CST000:ba_Assembly</t>
        </is>
      </c>
      <c r="B17" s="23" t="inlineStr">
        <is>
          <t xml:space="preserve"> Assembly</t>
        </is>
      </c>
      <c r="C17" s="29" t="n">
        <v>0.675373</v>
      </c>
      <c r="D17" s="29" t="n">
        <v>0.668886</v>
      </c>
      <c r="E17" s="29" t="n">
        <v>0.672689</v>
      </c>
      <c r="F17" s="29" t="n">
        <v>0.672925</v>
      </c>
      <c r="G17" s="29" t="n">
        <v>0.672285</v>
      </c>
      <c r="H17" s="29" t="n">
        <v>0.67117</v>
      </c>
      <c r="I17" s="29" t="n">
        <v>0.669142</v>
      </c>
      <c r="J17" s="29" t="n">
        <v>0.666629</v>
      </c>
      <c r="K17" s="29" t="n">
        <v>0.664563</v>
      </c>
      <c r="L17" s="29" t="n">
        <v>0.663335</v>
      </c>
      <c r="M17" s="29" t="n">
        <v>0.66296</v>
      </c>
      <c r="N17" s="29" t="n">
        <v>0.662013</v>
      </c>
      <c r="O17" s="29" t="n">
        <v>0.661768</v>
      </c>
      <c r="P17" s="29" t="n">
        <v>0.661923</v>
      </c>
      <c r="Q17" s="29" t="n">
        <v>0.6616610000000001</v>
      </c>
      <c r="R17" s="29" t="n">
        <v>0.661269</v>
      </c>
      <c r="S17" s="29" t="n">
        <v>0.661359</v>
      </c>
      <c r="T17" s="29" t="n">
        <v>0.661734</v>
      </c>
      <c r="U17" s="29" t="n">
        <v>0.662056</v>
      </c>
      <c r="V17" s="29" t="n">
        <v>0.6623019999999999</v>
      </c>
      <c r="W17" s="29" t="n">
        <v>0.662567</v>
      </c>
      <c r="X17" s="29" t="n">
        <v>0.66278</v>
      </c>
      <c r="Y17" s="29" t="n">
        <v>0.663084</v>
      </c>
      <c r="Z17" s="29" t="n">
        <v>0.663371</v>
      </c>
      <c r="AA17" s="29" t="n">
        <v>0.663776</v>
      </c>
      <c r="AB17" s="29" t="n">
        <v>0.664297</v>
      </c>
      <c r="AC17" s="29" t="n">
        <v>0.6649040000000001</v>
      </c>
      <c r="AD17" s="29" t="n">
        <v>0.6656609999999999</v>
      </c>
      <c r="AE17" s="29" t="n">
        <v>0.666391</v>
      </c>
      <c r="AF17" s="29" t="n">
        <v>0.667336</v>
      </c>
      <c r="AG17" s="29" t="n">
        <v>0.668485</v>
      </c>
      <c r="AH17" s="29" t="n">
        <v>0.669664</v>
      </c>
      <c r="AI17" s="25" t="n">
        <v>-0.000274</v>
      </c>
    </row>
    <row r="18" ht="15" customHeight="1" s="74">
      <c r="A18" s="20" t="inlineStr">
        <is>
          <t>CST000:ba_Education</t>
        </is>
      </c>
      <c r="B18" s="23" t="inlineStr">
        <is>
          <t xml:space="preserve"> Education</t>
        </is>
      </c>
      <c r="C18" s="29" t="n">
        <v>1.121132</v>
      </c>
      <c r="D18" s="29" t="n">
        <v>1.112103</v>
      </c>
      <c r="E18" s="29" t="n">
        <v>1.120978</v>
      </c>
      <c r="F18" s="29" t="n">
        <v>1.124453</v>
      </c>
      <c r="G18" s="29" t="n">
        <v>1.127003</v>
      </c>
      <c r="H18" s="29" t="n">
        <v>1.128921</v>
      </c>
      <c r="I18" s="29" t="n">
        <v>1.129507</v>
      </c>
      <c r="J18" s="29" t="n">
        <v>1.128537</v>
      </c>
      <c r="K18" s="29" t="n">
        <v>1.128125</v>
      </c>
      <c r="L18" s="29" t="n">
        <v>1.129093</v>
      </c>
      <c r="M18" s="29" t="n">
        <v>1.131378</v>
      </c>
      <c r="N18" s="29" t="n">
        <v>1.132949</v>
      </c>
      <c r="O18" s="29" t="n">
        <v>1.135594</v>
      </c>
      <c r="P18" s="29" t="n">
        <v>1.138807</v>
      </c>
      <c r="Q18" s="29" t="n">
        <v>1.141206</v>
      </c>
      <c r="R18" s="29" t="n">
        <v>1.14354</v>
      </c>
      <c r="S18" s="29" t="n">
        <v>1.146733</v>
      </c>
      <c r="T18" s="29" t="n">
        <v>1.150569</v>
      </c>
      <c r="U18" s="29" t="n">
        <v>1.154321</v>
      </c>
      <c r="V18" s="29" t="n">
        <v>1.158036</v>
      </c>
      <c r="W18" s="29" t="n">
        <v>1.161844</v>
      </c>
      <c r="X18" s="29" t="n">
        <v>1.16505</v>
      </c>
      <c r="Y18" s="29" t="n">
        <v>1.168504</v>
      </c>
      <c r="Z18" s="29" t="n">
        <v>1.172007</v>
      </c>
      <c r="AA18" s="29" t="n">
        <v>1.175806</v>
      </c>
      <c r="AB18" s="29" t="n">
        <v>1.179671</v>
      </c>
      <c r="AC18" s="29" t="n">
        <v>1.183643</v>
      </c>
      <c r="AD18" s="29" t="n">
        <v>1.187826</v>
      </c>
      <c r="AE18" s="29" t="n">
        <v>1.19204</v>
      </c>
      <c r="AF18" s="29" t="n">
        <v>1.196491</v>
      </c>
      <c r="AG18" s="29" t="n">
        <v>1.201277</v>
      </c>
      <c r="AH18" s="29" t="n">
        <v>1.206168</v>
      </c>
      <c r="AI18" s="25" t="n">
        <v>0.002361</v>
      </c>
    </row>
    <row r="19" ht="15" customHeight="1" s="74">
      <c r="A19" s="20" t="inlineStr">
        <is>
          <t>CST000:ba_FoodSales</t>
        </is>
      </c>
      <c r="B19" s="23" t="inlineStr">
        <is>
          <t xml:space="preserve"> Food Sales</t>
        </is>
      </c>
      <c r="C19" s="29" t="n">
        <v>0.342637</v>
      </c>
      <c r="D19" s="29" t="n">
        <v>0.345029</v>
      </c>
      <c r="E19" s="29" t="n">
        <v>0.348325</v>
      </c>
      <c r="F19" s="29" t="n">
        <v>0.349617</v>
      </c>
      <c r="G19" s="29" t="n">
        <v>0.350653</v>
      </c>
      <c r="H19" s="29" t="n">
        <v>0.351559</v>
      </c>
      <c r="I19" s="29" t="n">
        <v>0.352197</v>
      </c>
      <c r="J19" s="29" t="n">
        <v>0.35276</v>
      </c>
      <c r="K19" s="29" t="n">
        <v>0.353735</v>
      </c>
      <c r="L19" s="29" t="n">
        <v>0.355354</v>
      </c>
      <c r="M19" s="29" t="n">
        <v>0.357519</v>
      </c>
      <c r="N19" s="29" t="n">
        <v>0.358337</v>
      </c>
      <c r="O19" s="29" t="n">
        <v>0.359554</v>
      </c>
      <c r="P19" s="29" t="n">
        <v>0.361197</v>
      </c>
      <c r="Q19" s="29" t="n">
        <v>0.362754</v>
      </c>
      <c r="R19" s="29" t="n">
        <v>0.364294</v>
      </c>
      <c r="S19" s="29" t="n">
        <v>0.366059</v>
      </c>
      <c r="T19" s="29" t="n">
        <v>0.367971</v>
      </c>
      <c r="U19" s="29" t="n">
        <v>0.369872</v>
      </c>
      <c r="V19" s="29" t="n">
        <v>0.37163</v>
      </c>
      <c r="W19" s="29" t="n">
        <v>0.373489</v>
      </c>
      <c r="X19" s="29" t="n">
        <v>0.375376</v>
      </c>
      <c r="Y19" s="29" t="n">
        <v>0.377376</v>
      </c>
      <c r="Z19" s="29" t="n">
        <v>0.379416</v>
      </c>
      <c r="AA19" s="29" t="n">
        <v>0.381644</v>
      </c>
      <c r="AB19" s="29" t="n">
        <v>0.383963</v>
      </c>
      <c r="AC19" s="29" t="n">
        <v>0.386404</v>
      </c>
      <c r="AD19" s="29" t="n">
        <v>0.38901</v>
      </c>
      <c r="AE19" s="29" t="n">
        <v>0.391672</v>
      </c>
      <c r="AF19" s="29" t="n">
        <v>0.394482</v>
      </c>
      <c r="AG19" s="29" t="n">
        <v>0.397439</v>
      </c>
      <c r="AH19" s="29" t="n">
        <v>0.400442</v>
      </c>
      <c r="AI19" s="25" t="n">
        <v>0.005042</v>
      </c>
    </row>
    <row r="20" ht="15" customHeight="1" s="74">
      <c r="A20" s="20" t="inlineStr">
        <is>
          <t>CST000:ba_FoodService</t>
        </is>
      </c>
      <c r="B20" s="23" t="inlineStr">
        <is>
          <t xml:space="preserve"> Food Service</t>
        </is>
      </c>
      <c r="C20" s="29" t="n">
        <v>0.607443</v>
      </c>
      <c r="D20" s="29" t="n">
        <v>0.6115969999999999</v>
      </c>
      <c r="E20" s="29" t="n">
        <v>0.619077</v>
      </c>
      <c r="F20" s="29" t="n">
        <v>0.622463</v>
      </c>
      <c r="G20" s="29" t="n">
        <v>0.624834</v>
      </c>
      <c r="H20" s="29" t="n">
        <v>0.626667</v>
      </c>
      <c r="I20" s="29" t="n">
        <v>0.62768</v>
      </c>
      <c r="J20" s="29" t="n">
        <v>0.628543</v>
      </c>
      <c r="K20" s="29" t="n">
        <v>0.630354</v>
      </c>
      <c r="L20" s="29" t="n">
        <v>0.633455</v>
      </c>
      <c r="M20" s="29" t="n">
        <v>0.637673</v>
      </c>
      <c r="N20" s="29" t="n">
        <v>0.6410090000000001</v>
      </c>
      <c r="O20" s="29" t="n">
        <v>0.645342</v>
      </c>
      <c r="P20" s="29" t="n">
        <v>0.650336</v>
      </c>
      <c r="Q20" s="29" t="n">
        <v>0.654989</v>
      </c>
      <c r="R20" s="29" t="n">
        <v>0.65939</v>
      </c>
      <c r="S20" s="29" t="n">
        <v>0.664032</v>
      </c>
      <c r="T20" s="29" t="n">
        <v>0.668878</v>
      </c>
      <c r="U20" s="29" t="n">
        <v>0.673521</v>
      </c>
      <c r="V20" s="29" t="n">
        <v>0.677895</v>
      </c>
      <c r="W20" s="29" t="n">
        <v>0.682424</v>
      </c>
      <c r="X20" s="29" t="n">
        <v>0.687003</v>
      </c>
      <c r="Y20" s="29" t="n">
        <v>0.6918299999999999</v>
      </c>
      <c r="Z20" s="29" t="n">
        <v>0.696802</v>
      </c>
      <c r="AA20" s="29" t="n">
        <v>0.702008</v>
      </c>
      <c r="AB20" s="29" t="n">
        <v>0.707355</v>
      </c>
      <c r="AC20" s="29" t="n">
        <v>0.712876</v>
      </c>
      <c r="AD20" s="29" t="n">
        <v>0.718632</v>
      </c>
      <c r="AE20" s="29" t="n">
        <v>0.724442</v>
      </c>
      <c r="AF20" s="29" t="n">
        <v>0.730531</v>
      </c>
      <c r="AG20" s="29" t="n">
        <v>0.736827</v>
      </c>
      <c r="AH20" s="29" t="n">
        <v>0.743159</v>
      </c>
      <c r="AI20" s="25" t="n">
        <v>0.006526</v>
      </c>
    </row>
    <row r="21" ht="15" customHeight="1" s="74">
      <c r="A21" s="20" t="inlineStr">
        <is>
          <t>CST000:ba_HealthCare</t>
        </is>
      </c>
      <c r="B21" s="23" t="inlineStr">
        <is>
          <t xml:space="preserve"> Health Care</t>
        </is>
      </c>
      <c r="C21" s="29" t="n">
        <v>0.564962</v>
      </c>
      <c r="D21" s="29" t="n">
        <v>0.561608</v>
      </c>
      <c r="E21" s="29" t="n">
        <v>0.568869</v>
      </c>
      <c r="F21" s="29" t="n">
        <v>0.57199</v>
      </c>
      <c r="G21" s="29" t="n">
        <v>0.574336</v>
      </c>
      <c r="H21" s="29" t="n">
        <v>0.576288</v>
      </c>
      <c r="I21" s="29" t="n">
        <v>0.577369</v>
      </c>
      <c r="J21" s="29" t="n">
        <v>0.577597</v>
      </c>
      <c r="K21" s="29" t="n">
        <v>0.578389</v>
      </c>
      <c r="L21" s="29" t="n">
        <v>0.580079</v>
      </c>
      <c r="M21" s="29" t="n">
        <v>0.582694</v>
      </c>
      <c r="N21" s="29" t="n">
        <v>0.584614</v>
      </c>
      <c r="O21" s="29" t="n">
        <v>0.587298</v>
      </c>
      <c r="P21" s="29" t="n">
        <v>0.590431</v>
      </c>
      <c r="Q21" s="29" t="n">
        <v>0.593146</v>
      </c>
      <c r="R21" s="29" t="n">
        <v>0.595724</v>
      </c>
      <c r="S21" s="29" t="n">
        <v>0.598753</v>
      </c>
      <c r="T21" s="29" t="n">
        <v>0.602205</v>
      </c>
      <c r="U21" s="29" t="n">
        <v>0.6055700000000001</v>
      </c>
      <c r="V21" s="29" t="n">
        <v>0.608834</v>
      </c>
      <c r="W21" s="29" t="n">
        <v>0.612199</v>
      </c>
      <c r="X21" s="29" t="n">
        <v>0.61521</v>
      </c>
      <c r="Y21" s="29" t="n">
        <v>0.618404</v>
      </c>
      <c r="Z21" s="29" t="n">
        <v>0.621704</v>
      </c>
      <c r="AA21" s="29" t="n">
        <v>0.6251910000000001</v>
      </c>
      <c r="AB21" s="29" t="n">
        <v>0.628843</v>
      </c>
      <c r="AC21" s="29" t="n">
        <v>0.632607</v>
      </c>
      <c r="AD21" s="29" t="n">
        <v>0.636566</v>
      </c>
      <c r="AE21" s="29" t="n">
        <v>0.640562</v>
      </c>
      <c r="AF21" s="29" t="n">
        <v>0.644709</v>
      </c>
      <c r="AG21" s="29" t="n">
        <v>0.649044</v>
      </c>
      <c r="AH21" s="29" t="n">
        <v>0.653485</v>
      </c>
      <c r="AI21" s="25" t="n">
        <v>0.004707</v>
      </c>
    </row>
    <row r="22" ht="15" customHeight="1" s="74">
      <c r="A22" s="20" t="inlineStr">
        <is>
          <t>CST000:ba_Lodging</t>
        </is>
      </c>
      <c r="B22" s="23" t="inlineStr">
        <is>
          <t xml:space="preserve"> Lodging</t>
        </is>
      </c>
      <c r="C22" s="29" t="n">
        <v>0.647568</v>
      </c>
      <c r="D22" s="29" t="n">
        <v>0.654444</v>
      </c>
      <c r="E22" s="29" t="n">
        <v>0.665585</v>
      </c>
      <c r="F22" s="29" t="n">
        <v>0.673119</v>
      </c>
      <c r="G22" s="29" t="n">
        <v>0.67957</v>
      </c>
      <c r="H22" s="29" t="n">
        <v>0.68545</v>
      </c>
      <c r="I22" s="29" t="n">
        <v>0.690587</v>
      </c>
      <c r="J22" s="29" t="n">
        <v>0.695013</v>
      </c>
      <c r="K22" s="29" t="n">
        <v>0.699997</v>
      </c>
      <c r="L22" s="29" t="n">
        <v>0.705888</v>
      </c>
      <c r="M22" s="29" t="n">
        <v>0.712547</v>
      </c>
      <c r="N22" s="29" t="n">
        <v>0.718116</v>
      </c>
      <c r="O22" s="29" t="n">
        <v>0.724298</v>
      </c>
      <c r="P22" s="29" t="n">
        <v>0.730901</v>
      </c>
      <c r="Q22" s="29" t="n">
        <v>0.736826</v>
      </c>
      <c r="R22" s="29" t="n">
        <v>0.742464</v>
      </c>
      <c r="S22" s="29" t="n">
        <v>0.74832</v>
      </c>
      <c r="T22" s="29" t="n">
        <v>0.754396</v>
      </c>
      <c r="U22" s="29" t="n">
        <v>0.76025</v>
      </c>
      <c r="V22" s="29" t="n">
        <v>0.766115</v>
      </c>
      <c r="W22" s="29" t="n">
        <v>0.7722560000000001</v>
      </c>
      <c r="X22" s="29" t="n">
        <v>0.778568</v>
      </c>
      <c r="Y22" s="29" t="n">
        <v>0.785205</v>
      </c>
      <c r="Z22" s="29" t="n">
        <v>0.792039</v>
      </c>
      <c r="AA22" s="29" t="n">
        <v>0.799202</v>
      </c>
      <c r="AB22" s="29" t="n">
        <v>0.80675</v>
      </c>
      <c r="AC22" s="29" t="n">
        <v>0.814638</v>
      </c>
      <c r="AD22" s="29" t="n">
        <v>0.822999</v>
      </c>
      <c r="AE22" s="29" t="n">
        <v>0.831748</v>
      </c>
      <c r="AF22" s="29" t="n">
        <v>0.841125</v>
      </c>
      <c r="AG22" s="29" t="n">
        <v>0.851004</v>
      </c>
      <c r="AH22" s="29" t="n">
        <v>0.86138</v>
      </c>
      <c r="AI22" s="25" t="n">
        <v>0.009246000000000001</v>
      </c>
    </row>
    <row r="23" ht="15" customHeight="1" s="74">
      <c r="A23" s="20" t="inlineStr">
        <is>
          <t>CST000:ba_Office-Large</t>
        </is>
      </c>
      <c r="B23" s="23" t="inlineStr">
        <is>
          <t xml:space="preserve"> Office - Large</t>
        </is>
      </c>
      <c r="C23" s="29" t="n">
        <v>0.920983</v>
      </c>
      <c r="D23" s="29" t="n">
        <v>0.915559</v>
      </c>
      <c r="E23" s="29" t="n">
        <v>0.922127</v>
      </c>
      <c r="F23" s="29" t="n">
        <v>0.922948</v>
      </c>
      <c r="G23" s="29" t="n">
        <v>0.923495</v>
      </c>
      <c r="H23" s="29" t="n">
        <v>0.923854</v>
      </c>
      <c r="I23" s="29" t="n">
        <v>0.923004</v>
      </c>
      <c r="J23" s="29" t="n">
        <v>0.919763</v>
      </c>
      <c r="K23" s="29" t="n">
        <v>0.91759</v>
      </c>
      <c r="L23" s="29" t="n">
        <v>0.9175489999999999</v>
      </c>
      <c r="M23" s="29" t="n">
        <v>0.91937</v>
      </c>
      <c r="N23" s="29" t="n">
        <v>0.920111</v>
      </c>
      <c r="O23" s="29" t="n">
        <v>0.922159</v>
      </c>
      <c r="P23" s="29" t="n">
        <v>0.925383</v>
      </c>
      <c r="Q23" s="29" t="n">
        <v>0.928131</v>
      </c>
      <c r="R23" s="29" t="n">
        <v>0.931091</v>
      </c>
      <c r="S23" s="29" t="n">
        <v>0.935361</v>
      </c>
      <c r="T23" s="29" t="n">
        <v>0.9407799999999999</v>
      </c>
      <c r="U23" s="29" t="n">
        <v>0.9464939999999999</v>
      </c>
      <c r="V23" s="29" t="n">
        <v>0.952259</v>
      </c>
      <c r="W23" s="29" t="n">
        <v>0.958405</v>
      </c>
      <c r="X23" s="29" t="n">
        <v>0.964292</v>
      </c>
      <c r="Y23" s="29" t="n">
        <v>0.970808</v>
      </c>
      <c r="Z23" s="29" t="n">
        <v>0.977649</v>
      </c>
      <c r="AA23" s="29" t="n">
        <v>0.985602</v>
      </c>
      <c r="AB23" s="29" t="n">
        <v>0.994269</v>
      </c>
      <c r="AC23" s="29" t="n">
        <v>1.00359</v>
      </c>
      <c r="AD23" s="29" t="n">
        <v>1.013876</v>
      </c>
      <c r="AE23" s="29" t="n">
        <v>1.024777</v>
      </c>
      <c r="AF23" s="29" t="n">
        <v>1.036492</v>
      </c>
      <c r="AG23" s="29" t="n">
        <v>1.049322</v>
      </c>
      <c r="AH23" s="29" t="n">
        <v>1.06279</v>
      </c>
      <c r="AI23" s="25" t="n">
        <v>0.00463</v>
      </c>
    </row>
    <row r="24" ht="15" customHeight="1" s="74">
      <c r="A24" s="20" t="inlineStr">
        <is>
          <t>CST000:ba_Office-Small</t>
        </is>
      </c>
      <c r="B24" s="23" t="inlineStr">
        <is>
          <t xml:space="preserve"> Office - Small</t>
        </is>
      </c>
      <c r="C24" s="29" t="n">
        <v>0.629259</v>
      </c>
      <c r="D24" s="29" t="n">
        <v>0.624445</v>
      </c>
      <c r="E24" s="29" t="n">
        <v>0.628701</v>
      </c>
      <c r="F24" s="29" t="n">
        <v>0.630489</v>
      </c>
      <c r="G24" s="29" t="n">
        <v>0.63179</v>
      </c>
      <c r="H24" s="29" t="n">
        <v>0.63273</v>
      </c>
      <c r="I24" s="29" t="n">
        <v>0.632992</v>
      </c>
      <c r="J24" s="29" t="n">
        <v>0.63197</v>
      </c>
      <c r="K24" s="29" t="n">
        <v>0.631583</v>
      </c>
      <c r="L24" s="29" t="n">
        <v>0.63219</v>
      </c>
      <c r="M24" s="29" t="n">
        <v>0.633653</v>
      </c>
      <c r="N24" s="29" t="n">
        <v>0.634122</v>
      </c>
      <c r="O24" s="29" t="n">
        <v>0.6353799999999999</v>
      </c>
      <c r="P24" s="29" t="n">
        <v>0.637196</v>
      </c>
      <c r="Q24" s="29" t="n">
        <v>0.638763</v>
      </c>
      <c r="R24" s="29" t="n">
        <v>0.6403720000000001</v>
      </c>
      <c r="S24" s="29" t="n">
        <v>0.642523</v>
      </c>
      <c r="T24" s="29" t="n">
        <v>0.644987</v>
      </c>
      <c r="U24" s="29" t="n">
        <v>0.647451</v>
      </c>
      <c r="V24" s="29" t="n">
        <v>0.649913</v>
      </c>
      <c r="W24" s="29" t="n">
        <v>0.652448</v>
      </c>
      <c r="X24" s="29" t="n">
        <v>0.654701</v>
      </c>
      <c r="Y24" s="29" t="n">
        <v>0.657229</v>
      </c>
      <c r="Z24" s="29" t="n">
        <v>0.659796</v>
      </c>
      <c r="AA24" s="29" t="n">
        <v>0.662636</v>
      </c>
      <c r="AB24" s="29" t="n">
        <v>0.665594</v>
      </c>
      <c r="AC24" s="29" t="n">
        <v>0.668736</v>
      </c>
      <c r="AD24" s="29" t="n">
        <v>0.672023</v>
      </c>
      <c r="AE24" s="29" t="n">
        <v>0.67545</v>
      </c>
      <c r="AF24" s="29" t="n">
        <v>0.678941</v>
      </c>
      <c r="AG24" s="29" t="n">
        <v>0.6827490000000001</v>
      </c>
      <c r="AH24" s="29" t="n">
        <v>0.686621</v>
      </c>
      <c r="AI24" s="25" t="n">
        <v>0.002818</v>
      </c>
    </row>
    <row r="25" ht="15" customHeight="1" s="74">
      <c r="A25" s="20" t="inlineStr">
        <is>
          <t>CST000:ba_Mercantile/Se</t>
        </is>
      </c>
      <c r="B25" s="23" t="inlineStr">
        <is>
          <t xml:space="preserve"> Mercantile/Service</t>
        </is>
      </c>
      <c r="C25" s="29" t="n">
        <v>1.495543</v>
      </c>
      <c r="D25" s="29" t="n">
        <v>1.489562</v>
      </c>
      <c r="E25" s="29" t="n">
        <v>1.496734</v>
      </c>
      <c r="F25" s="29" t="n">
        <v>1.499025</v>
      </c>
      <c r="G25" s="29" t="n">
        <v>1.499619</v>
      </c>
      <c r="H25" s="29" t="n">
        <v>1.499142</v>
      </c>
      <c r="I25" s="29" t="n">
        <v>1.497076</v>
      </c>
      <c r="J25" s="29" t="n">
        <v>1.493863</v>
      </c>
      <c r="K25" s="29" t="n">
        <v>1.492366</v>
      </c>
      <c r="L25" s="29" t="n">
        <v>1.493487</v>
      </c>
      <c r="M25" s="29" t="n">
        <v>1.497038</v>
      </c>
      <c r="N25" s="29" t="n">
        <v>1.498515</v>
      </c>
      <c r="O25" s="29" t="n">
        <v>1.502015</v>
      </c>
      <c r="P25" s="29" t="n">
        <v>1.506954</v>
      </c>
      <c r="Q25" s="29" t="n">
        <v>1.51107</v>
      </c>
      <c r="R25" s="29" t="n">
        <v>1.514884</v>
      </c>
      <c r="S25" s="29" t="n">
        <v>1.519589</v>
      </c>
      <c r="T25" s="29" t="n">
        <v>1.524679</v>
      </c>
      <c r="U25" s="29" t="n">
        <v>1.529361</v>
      </c>
      <c r="V25" s="29" t="n">
        <v>1.533587</v>
      </c>
      <c r="W25" s="29" t="n">
        <v>1.538005</v>
      </c>
      <c r="X25" s="29" t="n">
        <v>1.541459</v>
      </c>
      <c r="Y25" s="29" t="n">
        <v>1.545512</v>
      </c>
      <c r="Z25" s="29" t="n">
        <v>1.549767</v>
      </c>
      <c r="AA25" s="29" t="n">
        <v>1.554754</v>
      </c>
      <c r="AB25" s="29" t="n">
        <v>1.560231</v>
      </c>
      <c r="AC25" s="29" t="n">
        <v>1.565682</v>
      </c>
      <c r="AD25" s="29" t="n">
        <v>1.571863</v>
      </c>
      <c r="AE25" s="29" t="n">
        <v>1.578324</v>
      </c>
      <c r="AF25" s="29" t="n">
        <v>1.585554</v>
      </c>
      <c r="AG25" s="29" t="n">
        <v>1.593341</v>
      </c>
      <c r="AH25" s="29" t="n">
        <v>1.601331</v>
      </c>
      <c r="AI25" s="25" t="n">
        <v>0.002207</v>
      </c>
    </row>
    <row r="26" ht="15" customHeight="1" s="74">
      <c r="A26" s="20" t="inlineStr">
        <is>
          <t>CST000:ba_Warehouse</t>
        </is>
      </c>
      <c r="B26" s="23" t="inlineStr">
        <is>
          <t xml:space="preserve"> Warehouse</t>
        </is>
      </c>
      <c r="C26" s="29" t="n">
        <v>0.426037</v>
      </c>
      <c r="D26" s="29" t="n">
        <v>0.425666</v>
      </c>
      <c r="E26" s="29" t="n">
        <v>0.428898</v>
      </c>
      <c r="F26" s="29" t="n">
        <v>0.430743</v>
      </c>
      <c r="G26" s="29" t="n">
        <v>0.432372</v>
      </c>
      <c r="H26" s="29" t="n">
        <v>0.433919</v>
      </c>
      <c r="I26" s="29" t="n">
        <v>0.435348</v>
      </c>
      <c r="J26" s="29" t="n">
        <v>0.436797</v>
      </c>
      <c r="K26" s="29" t="n">
        <v>0.438689</v>
      </c>
      <c r="L26" s="29" t="n">
        <v>0.441208</v>
      </c>
      <c r="M26" s="29" t="n">
        <v>0.444236</v>
      </c>
      <c r="N26" s="29" t="n">
        <v>0.446152</v>
      </c>
      <c r="O26" s="29" t="n">
        <v>0.448557</v>
      </c>
      <c r="P26" s="29" t="n">
        <v>0.451311</v>
      </c>
      <c r="Q26" s="29" t="n">
        <v>0.453946</v>
      </c>
      <c r="R26" s="29" t="n">
        <v>0.45666</v>
      </c>
      <c r="S26" s="29" t="n">
        <v>0.459703</v>
      </c>
      <c r="T26" s="29" t="n">
        <v>0.462949</v>
      </c>
      <c r="U26" s="29" t="n">
        <v>0.46626</v>
      </c>
      <c r="V26" s="29" t="n">
        <v>0.469635</v>
      </c>
      <c r="W26" s="29" t="n">
        <v>0.473088</v>
      </c>
      <c r="X26" s="29" t="n">
        <v>0.475908</v>
      </c>
      <c r="Y26" s="29" t="n">
        <v>0.478975</v>
      </c>
      <c r="Z26" s="29" t="n">
        <v>0.482141</v>
      </c>
      <c r="AA26" s="29" t="n">
        <v>0.485432</v>
      </c>
      <c r="AB26" s="29" t="n">
        <v>0.488619</v>
      </c>
      <c r="AC26" s="29" t="n">
        <v>0.491925</v>
      </c>
      <c r="AD26" s="29" t="n">
        <v>0.495471</v>
      </c>
      <c r="AE26" s="29" t="n">
        <v>0.499081</v>
      </c>
      <c r="AF26" s="29" t="n">
        <v>0.502827</v>
      </c>
      <c r="AG26" s="29" t="n">
        <v>0.506799</v>
      </c>
      <c r="AH26" s="29" t="n">
        <v>0.510831</v>
      </c>
      <c r="AI26" s="25" t="n">
        <v>0.005872</v>
      </c>
    </row>
    <row r="27" ht="15" customHeight="1" s="74">
      <c r="A27" s="20" t="inlineStr">
        <is>
          <t>CST000:ba_Other</t>
        </is>
      </c>
      <c r="B27" s="23" t="inlineStr">
        <is>
          <t xml:space="preserve"> Other</t>
        </is>
      </c>
      <c r="C27" s="29" t="n">
        <v>0.482643</v>
      </c>
      <c r="D27" s="29" t="n">
        <v>0.483954</v>
      </c>
      <c r="E27" s="29" t="n">
        <v>0.488473</v>
      </c>
      <c r="F27" s="29" t="n">
        <v>0.492802</v>
      </c>
      <c r="G27" s="29" t="n">
        <v>0.496236</v>
      </c>
      <c r="H27" s="29" t="n">
        <v>0.498818</v>
      </c>
      <c r="I27" s="29" t="n">
        <v>0.501512</v>
      </c>
      <c r="J27" s="29" t="n">
        <v>0.503696</v>
      </c>
      <c r="K27" s="29" t="n">
        <v>0.505951</v>
      </c>
      <c r="L27" s="29" t="n">
        <v>0.508467</v>
      </c>
      <c r="M27" s="29" t="n">
        <v>0.51146</v>
      </c>
      <c r="N27" s="29" t="n">
        <v>0.5141210000000001</v>
      </c>
      <c r="O27" s="29" t="n">
        <v>0.517045</v>
      </c>
      <c r="P27" s="29" t="n">
        <v>0.520108</v>
      </c>
      <c r="Q27" s="29" t="n">
        <v>0.522908</v>
      </c>
      <c r="R27" s="29" t="n">
        <v>0.525765</v>
      </c>
      <c r="S27" s="29" t="n">
        <v>0.528849</v>
      </c>
      <c r="T27" s="29" t="n">
        <v>0.532183</v>
      </c>
      <c r="U27" s="29" t="n">
        <v>0.5354640000000001</v>
      </c>
      <c r="V27" s="29" t="n">
        <v>0.5388269999999999</v>
      </c>
      <c r="W27" s="29" t="n">
        <v>0.542115</v>
      </c>
      <c r="X27" s="29" t="n">
        <v>0.545095</v>
      </c>
      <c r="Y27" s="29" t="n">
        <v>0.548082</v>
      </c>
      <c r="Z27" s="29" t="n">
        <v>0.551084</v>
      </c>
      <c r="AA27" s="29" t="n">
        <v>0.554156</v>
      </c>
      <c r="AB27" s="29" t="n">
        <v>0.557346</v>
      </c>
      <c r="AC27" s="29" t="n">
        <v>0.560539</v>
      </c>
      <c r="AD27" s="29" t="n">
        <v>0.56392</v>
      </c>
      <c r="AE27" s="29" t="n">
        <v>0.567306</v>
      </c>
      <c r="AF27" s="29" t="n">
        <v>0.570654</v>
      </c>
      <c r="AG27" s="29" t="n">
        <v>0.5742159999999999</v>
      </c>
      <c r="AH27" s="29" t="n">
        <v>0.577761</v>
      </c>
      <c r="AI27" s="25" t="n">
        <v>0.00582</v>
      </c>
    </row>
    <row r="28" ht="15" customHeight="1" s="74">
      <c r="A28" s="20" t="inlineStr">
        <is>
          <t>CST000:ba_Total</t>
        </is>
      </c>
      <c r="B28" s="22" t="inlineStr">
        <is>
          <t xml:space="preserve">   Total</t>
        </is>
      </c>
      <c r="C28" s="31" t="n">
        <v>7.913581</v>
      </c>
      <c r="D28" s="31" t="n">
        <v>7.892852</v>
      </c>
      <c r="E28" s="31" t="n">
        <v>7.960457</v>
      </c>
      <c r="F28" s="31" t="n">
        <v>7.990573</v>
      </c>
      <c r="G28" s="31" t="n">
        <v>8.012193</v>
      </c>
      <c r="H28" s="31" t="n">
        <v>8.028518999999999</v>
      </c>
      <c r="I28" s="31" t="n">
        <v>8.036412</v>
      </c>
      <c r="J28" s="31" t="n">
        <v>8.035169</v>
      </c>
      <c r="K28" s="31" t="n">
        <v>8.04134</v>
      </c>
      <c r="L28" s="31" t="n">
        <v>8.060104000000001</v>
      </c>
      <c r="M28" s="31" t="n">
        <v>8.090528000000001</v>
      </c>
      <c r="N28" s="31" t="n">
        <v>8.110058</v>
      </c>
      <c r="O28" s="31" t="n">
        <v>8.139009</v>
      </c>
      <c r="P28" s="31" t="n">
        <v>8.174545999999999</v>
      </c>
      <c r="Q28" s="31" t="n">
        <v>8.205399999999999</v>
      </c>
      <c r="R28" s="31" t="n">
        <v>8.235453</v>
      </c>
      <c r="S28" s="31" t="n">
        <v>8.271281999999999</v>
      </c>
      <c r="T28" s="31" t="n">
        <v>8.31133</v>
      </c>
      <c r="U28" s="31" t="n">
        <v>8.350623000000001</v>
      </c>
      <c r="V28" s="31" t="n">
        <v>8.389033</v>
      </c>
      <c r="W28" s="31" t="n">
        <v>8.428838000000001</v>
      </c>
      <c r="X28" s="31" t="n">
        <v>8.465439999999999</v>
      </c>
      <c r="Y28" s="31" t="n">
        <v>8.505008999999999</v>
      </c>
      <c r="Z28" s="31" t="n">
        <v>8.545776</v>
      </c>
      <c r="AA28" s="31" t="n">
        <v>8.590206999999999</v>
      </c>
      <c r="AB28" s="31" t="n">
        <v>8.636939</v>
      </c>
      <c r="AC28" s="31" t="n">
        <v>8.685542999999999</v>
      </c>
      <c r="AD28" s="31" t="n">
        <v>8.737848</v>
      </c>
      <c r="AE28" s="31" t="n">
        <v>8.791793999999999</v>
      </c>
      <c r="AF28" s="31" t="n">
        <v>8.849143</v>
      </c>
      <c r="AG28" s="31" t="n">
        <v>8.910503</v>
      </c>
      <c r="AH28" s="31" t="n">
        <v>8.973634000000001</v>
      </c>
      <c r="AI28" s="27" t="n">
        <v>0.004063</v>
      </c>
    </row>
    <row r="29" ht="15.75" customHeight="1" s="74">
      <c r="A29" s="2" t="n"/>
      <c r="B29" s="2" t="n"/>
    </row>
    <row r="30" ht="15" customHeight="1" s="74">
      <c r="A30" s="2" t="n"/>
      <c r="B30" s="22" t="inlineStr">
        <is>
          <t>Commercial Building Floorspace</t>
        </is>
      </c>
    </row>
    <row r="31" ht="15" customHeight="1" s="74">
      <c r="A31" s="2" t="n"/>
      <c r="B31" s="22" t="inlineStr">
        <is>
          <t xml:space="preserve"> (billion square feet)</t>
        </is>
      </c>
    </row>
    <row r="32" ht="15" customHeight="1" s="74">
      <c r="A32" s="20" t="inlineStr">
        <is>
          <t>CST000:ca_Assembly</t>
        </is>
      </c>
      <c r="B32" s="23" t="inlineStr">
        <is>
          <t xml:space="preserve"> Assembly</t>
        </is>
      </c>
      <c r="C32" s="29" t="n">
        <v>10.348913</v>
      </c>
      <c r="D32" s="29" t="n">
        <v>10.421128</v>
      </c>
      <c r="E32" s="29" t="n">
        <v>10.491716</v>
      </c>
      <c r="F32" s="29" t="n">
        <v>10.56071</v>
      </c>
      <c r="G32" s="29" t="n">
        <v>10.627776</v>
      </c>
      <c r="H32" s="29" t="n">
        <v>10.69366</v>
      </c>
      <c r="I32" s="29" t="n">
        <v>10.759078</v>
      </c>
      <c r="J32" s="29" t="n">
        <v>10.824842</v>
      </c>
      <c r="K32" s="29" t="n">
        <v>10.891264</v>
      </c>
      <c r="L32" s="29" t="n">
        <v>10.958324</v>
      </c>
      <c r="M32" s="29" t="n">
        <v>11.026218</v>
      </c>
      <c r="N32" s="29" t="n">
        <v>11.094884</v>
      </c>
      <c r="O32" s="29" t="n">
        <v>11.164406</v>
      </c>
      <c r="P32" s="29" t="n">
        <v>11.234411</v>
      </c>
      <c r="Q32" s="29" t="n">
        <v>11.304379</v>
      </c>
      <c r="R32" s="29" t="n">
        <v>11.373874</v>
      </c>
      <c r="S32" s="29" t="n">
        <v>11.442501</v>
      </c>
      <c r="T32" s="29" t="n">
        <v>11.510315</v>
      </c>
      <c r="U32" s="29" t="n">
        <v>11.577333</v>
      </c>
      <c r="V32" s="29" t="n">
        <v>11.64383</v>
      </c>
      <c r="W32" s="29" t="n">
        <v>11.710223</v>
      </c>
      <c r="X32" s="29" t="n">
        <v>11.776968</v>
      </c>
      <c r="Y32" s="29" t="n">
        <v>11.843822</v>
      </c>
      <c r="Z32" s="29" t="n">
        <v>11.910755</v>
      </c>
      <c r="AA32" s="29" t="n">
        <v>11.977909</v>
      </c>
      <c r="AB32" s="29" t="n">
        <v>12.045281</v>
      </c>
      <c r="AC32" s="29" t="n">
        <v>12.113065</v>
      </c>
      <c r="AD32" s="29" t="n">
        <v>12.181269</v>
      </c>
      <c r="AE32" s="29" t="n">
        <v>12.249812</v>
      </c>
      <c r="AF32" s="29" t="n">
        <v>12.318719</v>
      </c>
      <c r="AG32" s="29" t="n">
        <v>12.387774</v>
      </c>
      <c r="AH32" s="29" t="n">
        <v>12.456635</v>
      </c>
      <c r="AI32" s="25" t="n">
        <v>0.005998</v>
      </c>
    </row>
    <row r="33" ht="15" customHeight="1" s="74">
      <c r="A33" s="20" t="inlineStr">
        <is>
          <t>CST000:ca_Education</t>
        </is>
      </c>
      <c r="B33" s="23" t="inlineStr">
        <is>
          <t xml:space="preserve"> Education</t>
        </is>
      </c>
      <c r="C33" s="29" t="n">
        <v>13.216391</v>
      </c>
      <c r="D33" s="29" t="n">
        <v>13.375315</v>
      </c>
      <c r="E33" s="29" t="n">
        <v>13.528408</v>
      </c>
      <c r="F33" s="29" t="n">
        <v>13.676291</v>
      </c>
      <c r="G33" s="29" t="n">
        <v>13.820219</v>
      </c>
      <c r="H33" s="29" t="n">
        <v>13.962754</v>
      </c>
      <c r="I33" s="29" t="n">
        <v>14.104589</v>
      </c>
      <c r="J33" s="29" t="n">
        <v>14.246528</v>
      </c>
      <c r="K33" s="29" t="n">
        <v>14.387367</v>
      </c>
      <c r="L33" s="29" t="n">
        <v>14.527424</v>
      </c>
      <c r="M33" s="29" t="n">
        <v>14.667486</v>
      </c>
      <c r="N33" s="29" t="n">
        <v>14.807741</v>
      </c>
      <c r="O33" s="29" t="n">
        <v>14.949474</v>
      </c>
      <c r="P33" s="29" t="n">
        <v>15.091768</v>
      </c>
      <c r="Q33" s="29" t="n">
        <v>15.234589</v>
      </c>
      <c r="R33" s="29" t="n">
        <v>15.378078</v>
      </c>
      <c r="S33" s="29" t="n">
        <v>15.520496</v>
      </c>
      <c r="T33" s="29" t="n">
        <v>15.662427</v>
      </c>
      <c r="U33" s="29" t="n">
        <v>15.803514</v>
      </c>
      <c r="V33" s="29" t="n">
        <v>15.94502</v>
      </c>
      <c r="W33" s="29" t="n">
        <v>16.086519</v>
      </c>
      <c r="X33" s="29" t="n">
        <v>16.229034</v>
      </c>
      <c r="Y33" s="29" t="n">
        <v>16.371899</v>
      </c>
      <c r="Z33" s="29" t="n">
        <v>16.515566</v>
      </c>
      <c r="AA33" s="29" t="n">
        <v>16.660023</v>
      </c>
      <c r="AB33" s="29" t="n">
        <v>16.804863</v>
      </c>
      <c r="AC33" s="29" t="n">
        <v>16.950094</v>
      </c>
      <c r="AD33" s="29" t="n">
        <v>17.095577</v>
      </c>
      <c r="AE33" s="29" t="n">
        <v>17.241871</v>
      </c>
      <c r="AF33" s="29" t="n">
        <v>17.388903</v>
      </c>
      <c r="AG33" s="29" t="n">
        <v>17.537025</v>
      </c>
      <c r="AH33" s="29" t="n">
        <v>17.68557</v>
      </c>
      <c r="AI33" s="25" t="n">
        <v>0.009441</v>
      </c>
    </row>
    <row r="34" ht="15" customHeight="1" s="74">
      <c r="A34" s="20" t="inlineStr">
        <is>
          <t>CST000:ca_FoodSales</t>
        </is>
      </c>
      <c r="B34" s="23" t="inlineStr">
        <is>
          <t xml:space="preserve"> Food Sales</t>
        </is>
      </c>
      <c r="C34" s="29" t="n">
        <v>1.30634</v>
      </c>
      <c r="D34" s="29" t="n">
        <v>1.320423</v>
      </c>
      <c r="E34" s="29" t="n">
        <v>1.333897</v>
      </c>
      <c r="F34" s="29" t="n">
        <v>1.346725</v>
      </c>
      <c r="G34" s="29" t="n">
        <v>1.35877</v>
      </c>
      <c r="H34" s="29" t="n">
        <v>1.370346</v>
      </c>
      <c r="I34" s="29" t="n">
        <v>1.381888</v>
      </c>
      <c r="J34" s="29" t="n">
        <v>1.393819</v>
      </c>
      <c r="K34" s="29" t="n">
        <v>1.40638</v>
      </c>
      <c r="L34" s="29" t="n">
        <v>1.419499</v>
      </c>
      <c r="M34" s="29" t="n">
        <v>1.433118</v>
      </c>
      <c r="N34" s="29" t="n">
        <v>1.447128</v>
      </c>
      <c r="O34" s="29" t="n">
        <v>1.461437</v>
      </c>
      <c r="P34" s="29" t="n">
        <v>1.475907</v>
      </c>
      <c r="Q34" s="29" t="n">
        <v>1.490243</v>
      </c>
      <c r="R34" s="29" t="n">
        <v>1.504194</v>
      </c>
      <c r="S34" s="29" t="n">
        <v>1.517641</v>
      </c>
      <c r="T34" s="29" t="n">
        <v>1.530573</v>
      </c>
      <c r="U34" s="29" t="n">
        <v>1.543107</v>
      </c>
      <c r="V34" s="29" t="n">
        <v>1.555367</v>
      </c>
      <c r="W34" s="29" t="n">
        <v>1.567651</v>
      </c>
      <c r="X34" s="29" t="n">
        <v>1.580173</v>
      </c>
      <c r="Y34" s="29" t="n">
        <v>1.592897</v>
      </c>
      <c r="Z34" s="29" t="n">
        <v>1.605724</v>
      </c>
      <c r="AA34" s="29" t="n">
        <v>1.618687</v>
      </c>
      <c r="AB34" s="29" t="n">
        <v>1.63178</v>
      </c>
      <c r="AC34" s="29" t="n">
        <v>1.645074</v>
      </c>
      <c r="AD34" s="29" t="n">
        <v>1.658583</v>
      </c>
      <c r="AE34" s="29" t="n">
        <v>1.67224</v>
      </c>
      <c r="AF34" s="29" t="n">
        <v>1.686022</v>
      </c>
      <c r="AG34" s="29" t="n">
        <v>1.699809</v>
      </c>
      <c r="AH34" s="29" t="n">
        <v>1.71344</v>
      </c>
      <c r="AI34" s="25" t="n">
        <v>0.008789</v>
      </c>
    </row>
    <row r="35" ht="15" customHeight="1" s="74">
      <c r="A35" s="20" t="inlineStr">
        <is>
          <t>CST000:ca_FoodService</t>
        </is>
      </c>
      <c r="B35" s="23" t="inlineStr">
        <is>
          <t xml:space="preserve"> Food Service</t>
        </is>
      </c>
      <c r="C35" s="29" t="n">
        <v>1.90868</v>
      </c>
      <c r="D35" s="29" t="n">
        <v>1.930372</v>
      </c>
      <c r="E35" s="29" t="n">
        <v>1.951003</v>
      </c>
      <c r="F35" s="29" t="n">
        <v>1.970499</v>
      </c>
      <c r="G35" s="29" t="n">
        <v>1.988604</v>
      </c>
      <c r="H35" s="29" t="n">
        <v>2.005851</v>
      </c>
      <c r="I35" s="29" t="n">
        <v>2.022985</v>
      </c>
      <c r="J35" s="29" t="n">
        <v>2.040746</v>
      </c>
      <c r="K35" s="29" t="n">
        <v>2.05957</v>
      </c>
      <c r="L35" s="29" t="n">
        <v>2.079354</v>
      </c>
      <c r="M35" s="29" t="n">
        <v>2.100024</v>
      </c>
      <c r="N35" s="29" t="n">
        <v>2.121405</v>
      </c>
      <c r="O35" s="29" t="n">
        <v>2.143348</v>
      </c>
      <c r="P35" s="29" t="n">
        <v>2.165615</v>
      </c>
      <c r="Q35" s="29" t="n">
        <v>2.187687</v>
      </c>
      <c r="R35" s="29" t="n">
        <v>2.209118</v>
      </c>
      <c r="S35" s="29" t="n">
        <v>2.229684</v>
      </c>
      <c r="T35" s="29" t="n">
        <v>2.249347</v>
      </c>
      <c r="U35" s="29" t="n">
        <v>2.268295</v>
      </c>
      <c r="V35" s="29" t="n">
        <v>2.286729</v>
      </c>
      <c r="W35" s="29" t="n">
        <v>2.305168</v>
      </c>
      <c r="X35" s="29" t="n">
        <v>2.323986</v>
      </c>
      <c r="Y35" s="29" t="n">
        <v>2.343134</v>
      </c>
      <c r="Z35" s="29" t="n">
        <v>2.362456</v>
      </c>
      <c r="AA35" s="29" t="n">
        <v>2.382013</v>
      </c>
      <c r="AB35" s="29" t="n">
        <v>2.401807</v>
      </c>
      <c r="AC35" s="29" t="n">
        <v>2.421964</v>
      </c>
      <c r="AD35" s="29" t="n">
        <v>2.442508</v>
      </c>
      <c r="AE35" s="29" t="n">
        <v>2.463326</v>
      </c>
      <c r="AF35" s="29" t="n">
        <v>2.484378</v>
      </c>
      <c r="AG35" s="29" t="n">
        <v>2.505458</v>
      </c>
      <c r="AH35" s="29" t="n">
        <v>2.526278</v>
      </c>
      <c r="AI35" s="25" t="n">
        <v>0.009084</v>
      </c>
    </row>
    <row r="36" ht="15" customHeight="1" s="74">
      <c r="A36" s="20" t="inlineStr">
        <is>
          <t>CST000:ca_HealthCare</t>
        </is>
      </c>
      <c r="B36" s="23" t="inlineStr">
        <is>
          <t xml:space="preserve"> Health Care</t>
        </is>
      </c>
      <c r="C36" s="29" t="n">
        <v>2.596445</v>
      </c>
      <c r="D36" s="29" t="n">
        <v>2.633385</v>
      </c>
      <c r="E36" s="29" t="n">
        <v>2.669606</v>
      </c>
      <c r="F36" s="29" t="n">
        <v>2.705197</v>
      </c>
      <c r="G36" s="29" t="n">
        <v>2.739948</v>
      </c>
      <c r="H36" s="29" t="n">
        <v>2.774311</v>
      </c>
      <c r="I36" s="29" t="n">
        <v>2.808699</v>
      </c>
      <c r="J36" s="29" t="n">
        <v>2.8435</v>
      </c>
      <c r="K36" s="29" t="n">
        <v>2.878882</v>
      </c>
      <c r="L36" s="29" t="n">
        <v>2.91469</v>
      </c>
      <c r="M36" s="29" t="n">
        <v>2.950927</v>
      </c>
      <c r="N36" s="29" t="n">
        <v>2.987493</v>
      </c>
      <c r="O36" s="29" t="n">
        <v>3.024335</v>
      </c>
      <c r="P36" s="29" t="n">
        <v>3.061307</v>
      </c>
      <c r="Q36" s="29" t="n">
        <v>3.098064</v>
      </c>
      <c r="R36" s="29" t="n">
        <v>3.134382</v>
      </c>
      <c r="S36" s="29" t="n">
        <v>3.170184</v>
      </c>
      <c r="T36" s="29" t="n">
        <v>3.205477</v>
      </c>
      <c r="U36" s="29" t="n">
        <v>3.240395</v>
      </c>
      <c r="V36" s="29" t="n">
        <v>3.275037</v>
      </c>
      <c r="W36" s="29" t="n">
        <v>3.309753</v>
      </c>
      <c r="X36" s="29" t="n">
        <v>3.344707</v>
      </c>
      <c r="Y36" s="29" t="n">
        <v>3.379778</v>
      </c>
      <c r="Z36" s="29" t="n">
        <v>3.414873</v>
      </c>
      <c r="AA36" s="29" t="n">
        <v>3.450087</v>
      </c>
      <c r="AB36" s="29" t="n">
        <v>3.485408</v>
      </c>
      <c r="AC36" s="29" t="n">
        <v>3.520939</v>
      </c>
      <c r="AD36" s="29" t="n">
        <v>3.55667</v>
      </c>
      <c r="AE36" s="29" t="n">
        <v>3.592512</v>
      </c>
      <c r="AF36" s="29" t="n">
        <v>3.62847</v>
      </c>
      <c r="AG36" s="29" t="n">
        <v>3.664392</v>
      </c>
      <c r="AH36" s="29" t="n">
        <v>3.700108</v>
      </c>
      <c r="AI36" s="25" t="n">
        <v>0.011492</v>
      </c>
    </row>
    <row r="37" ht="15" customHeight="1" s="74">
      <c r="A37" s="20" t="inlineStr">
        <is>
          <t>CST000:ca_Lodging</t>
        </is>
      </c>
      <c r="B37" s="23" t="inlineStr">
        <is>
          <t xml:space="preserve"> Lodging</t>
        </is>
      </c>
      <c r="C37" s="29" t="n">
        <v>6.398004</v>
      </c>
      <c r="D37" s="29" t="n">
        <v>6.482779</v>
      </c>
      <c r="E37" s="29" t="n">
        <v>6.562768</v>
      </c>
      <c r="F37" s="29" t="n">
        <v>6.638447</v>
      </c>
      <c r="G37" s="29" t="n">
        <v>6.710158</v>
      </c>
      <c r="H37" s="29" t="n">
        <v>6.780931</v>
      </c>
      <c r="I37" s="29" t="n">
        <v>6.853905</v>
      </c>
      <c r="J37" s="29" t="n">
        <v>6.931543</v>
      </c>
      <c r="K37" s="29" t="n">
        <v>7.01377</v>
      </c>
      <c r="L37" s="29" t="n">
        <v>7.098915</v>
      </c>
      <c r="M37" s="29" t="n">
        <v>7.185672</v>
      </c>
      <c r="N37" s="29" t="n">
        <v>7.27272</v>
      </c>
      <c r="O37" s="29" t="n">
        <v>7.359932</v>
      </c>
      <c r="P37" s="29" t="n">
        <v>7.44627</v>
      </c>
      <c r="Q37" s="29" t="n">
        <v>7.530592</v>
      </c>
      <c r="R37" s="29" t="n">
        <v>7.612113</v>
      </c>
      <c r="S37" s="29" t="n">
        <v>7.690238</v>
      </c>
      <c r="T37" s="29" t="n">
        <v>7.766243</v>
      </c>
      <c r="U37" s="29" t="n">
        <v>7.841169</v>
      </c>
      <c r="V37" s="29" t="n">
        <v>7.916531</v>
      </c>
      <c r="W37" s="29" t="n">
        <v>7.993607</v>
      </c>
      <c r="X37" s="29" t="n">
        <v>8.073632999999999</v>
      </c>
      <c r="Y37" s="29" t="n">
        <v>8.155174000000001</v>
      </c>
      <c r="Z37" s="29" t="n">
        <v>8.236983</v>
      </c>
      <c r="AA37" s="29" t="n">
        <v>8.318811999999999</v>
      </c>
      <c r="AB37" s="29" t="n">
        <v>8.400570999999999</v>
      </c>
      <c r="AC37" s="29" t="n">
        <v>8.482934999999999</v>
      </c>
      <c r="AD37" s="29" t="n">
        <v>8.566159000000001</v>
      </c>
      <c r="AE37" s="29" t="n">
        <v>8.649983000000001</v>
      </c>
      <c r="AF37" s="29" t="n">
        <v>8.734219</v>
      </c>
      <c r="AG37" s="29" t="n">
        <v>8.818172000000001</v>
      </c>
      <c r="AH37" s="29" t="n">
        <v>8.900653999999999</v>
      </c>
      <c r="AI37" s="25" t="n">
        <v>0.010707</v>
      </c>
    </row>
    <row r="38" ht="15" customHeight="1" s="74">
      <c r="A38" s="20" t="inlineStr">
        <is>
          <t>CST000:ca_Office-Large</t>
        </is>
      </c>
      <c r="B38" s="23" t="inlineStr">
        <is>
          <t xml:space="preserve"> Office - Large</t>
        </is>
      </c>
      <c r="C38" s="29" t="n">
        <v>9.491740999999999</v>
      </c>
      <c r="D38" s="29" t="n">
        <v>9.573691999999999</v>
      </c>
      <c r="E38" s="29" t="n">
        <v>9.65424</v>
      </c>
      <c r="F38" s="29" t="n">
        <v>9.732414</v>
      </c>
      <c r="G38" s="29" t="n">
        <v>9.808251</v>
      </c>
      <c r="H38" s="29" t="n">
        <v>9.882002</v>
      </c>
      <c r="I38" s="29" t="n">
        <v>9.954653</v>
      </c>
      <c r="J38" s="29" t="n">
        <v>10.027555</v>
      </c>
      <c r="K38" s="29" t="n">
        <v>10.101377</v>
      </c>
      <c r="L38" s="29" t="n">
        <v>10.176296</v>
      </c>
      <c r="M38" s="29" t="n">
        <v>10.252746</v>
      </c>
      <c r="N38" s="29" t="n">
        <v>10.330716</v>
      </c>
      <c r="O38" s="29" t="n">
        <v>10.410273</v>
      </c>
      <c r="P38" s="29" t="n">
        <v>10.490672</v>
      </c>
      <c r="Q38" s="29" t="n">
        <v>10.57112</v>
      </c>
      <c r="R38" s="29" t="n">
        <v>10.651063</v>
      </c>
      <c r="S38" s="29" t="n">
        <v>10.729701</v>
      </c>
      <c r="T38" s="29" t="n">
        <v>10.807219</v>
      </c>
      <c r="U38" s="29" t="n">
        <v>10.883606</v>
      </c>
      <c r="V38" s="29" t="n">
        <v>10.95961</v>
      </c>
      <c r="W38" s="29" t="n">
        <v>11.035673</v>
      </c>
      <c r="X38" s="29" t="n">
        <v>11.112638</v>
      </c>
      <c r="Y38" s="29" t="n">
        <v>11.19045</v>
      </c>
      <c r="Z38" s="29" t="n">
        <v>11.268836</v>
      </c>
      <c r="AA38" s="29" t="n">
        <v>11.347703</v>
      </c>
      <c r="AB38" s="29" t="n">
        <v>11.426997</v>
      </c>
      <c r="AC38" s="29" t="n">
        <v>11.506776</v>
      </c>
      <c r="AD38" s="29" t="n">
        <v>11.587103</v>
      </c>
      <c r="AE38" s="29" t="n">
        <v>11.667801</v>
      </c>
      <c r="AF38" s="29" t="n">
        <v>11.748931</v>
      </c>
      <c r="AG38" s="29" t="n">
        <v>11.830168</v>
      </c>
      <c r="AH38" s="29" t="n">
        <v>11.911043</v>
      </c>
      <c r="AI38" s="25" t="n">
        <v>0.007351</v>
      </c>
    </row>
    <row r="39" ht="15" customHeight="1" s="74">
      <c r="A39" s="20" t="inlineStr">
        <is>
          <t>CST000:ca_Office-Small</t>
        </is>
      </c>
      <c r="B39" s="23" t="inlineStr">
        <is>
          <t xml:space="preserve"> Office - Small</t>
        </is>
      </c>
      <c r="C39" s="29" t="n">
        <v>8.969067000000001</v>
      </c>
      <c r="D39" s="29" t="n">
        <v>9.062275</v>
      </c>
      <c r="E39" s="29" t="n">
        <v>9.153852000000001</v>
      </c>
      <c r="F39" s="29" t="n">
        <v>9.242971000000001</v>
      </c>
      <c r="G39" s="29" t="n">
        <v>9.329696999999999</v>
      </c>
      <c r="H39" s="29" t="n">
        <v>9.414301</v>
      </c>
      <c r="I39" s="29" t="n">
        <v>9.497878</v>
      </c>
      <c r="J39" s="29" t="n">
        <v>9.581807</v>
      </c>
      <c r="K39" s="29" t="n">
        <v>9.666651999999999</v>
      </c>
      <c r="L39" s="29" t="n">
        <v>9.752589</v>
      </c>
      <c r="M39" s="29" t="n">
        <v>9.839966</v>
      </c>
      <c r="N39" s="29" t="n">
        <v>9.928784</v>
      </c>
      <c r="O39" s="29" t="n">
        <v>10.01925</v>
      </c>
      <c r="P39" s="29" t="n">
        <v>10.110587</v>
      </c>
      <c r="Q39" s="29" t="n">
        <v>10.202053</v>
      </c>
      <c r="R39" s="29" t="n">
        <v>10.293099</v>
      </c>
      <c r="S39" s="29" t="n">
        <v>10.382823</v>
      </c>
      <c r="T39" s="29" t="n">
        <v>10.471446</v>
      </c>
      <c r="U39" s="29" t="n">
        <v>10.558907</v>
      </c>
      <c r="V39" s="29" t="n">
        <v>10.645988</v>
      </c>
      <c r="W39" s="29" t="n">
        <v>10.733084</v>
      </c>
      <c r="X39" s="29" t="n">
        <v>10.821079</v>
      </c>
      <c r="Y39" s="29" t="n">
        <v>10.909927</v>
      </c>
      <c r="Z39" s="29" t="n">
        <v>10.999384</v>
      </c>
      <c r="AA39" s="29" t="n">
        <v>11.089363</v>
      </c>
      <c r="AB39" s="29" t="n">
        <v>11.179791</v>
      </c>
      <c r="AC39" s="29" t="n">
        <v>11.270694</v>
      </c>
      <c r="AD39" s="29" t="n">
        <v>11.362129</v>
      </c>
      <c r="AE39" s="29" t="n">
        <v>11.453928</v>
      </c>
      <c r="AF39" s="29" t="n">
        <v>11.546118</v>
      </c>
      <c r="AG39" s="29" t="n">
        <v>11.638433</v>
      </c>
      <c r="AH39" s="29" t="n">
        <v>11.730408</v>
      </c>
      <c r="AI39" s="25" t="n">
        <v>0.008696000000000001</v>
      </c>
    </row>
    <row r="40" ht="15" customHeight="1" s="74">
      <c r="A40" s="20" t="inlineStr">
        <is>
          <t>CST000:ca_Mercantile/Se</t>
        </is>
      </c>
      <c r="B40" s="23" t="inlineStr">
        <is>
          <t xml:space="preserve"> Mercantile/Service</t>
        </is>
      </c>
      <c r="C40" s="29" t="n">
        <v>17.083445</v>
      </c>
      <c r="D40" s="29" t="n">
        <v>17.285946</v>
      </c>
      <c r="E40" s="29" t="n">
        <v>17.479393</v>
      </c>
      <c r="F40" s="29" t="n">
        <v>17.663088</v>
      </c>
      <c r="G40" s="29" t="n">
        <v>17.834501</v>
      </c>
      <c r="H40" s="29" t="n">
        <v>17.99806</v>
      </c>
      <c r="I40" s="29" t="n">
        <v>18.159781</v>
      </c>
      <c r="J40" s="29" t="n">
        <v>18.325878</v>
      </c>
      <c r="K40" s="29" t="n">
        <v>18.500114</v>
      </c>
      <c r="L40" s="29" t="n">
        <v>18.681837</v>
      </c>
      <c r="M40" s="29" t="n">
        <v>18.87085</v>
      </c>
      <c r="N40" s="29" t="n">
        <v>19.065866</v>
      </c>
      <c r="O40" s="29" t="n">
        <v>19.265806</v>
      </c>
      <c r="P40" s="29" t="n">
        <v>19.468676</v>
      </c>
      <c r="Q40" s="29" t="n">
        <v>19.670044</v>
      </c>
      <c r="R40" s="29" t="n">
        <v>19.866116</v>
      </c>
      <c r="S40" s="29" t="n">
        <v>20.054901</v>
      </c>
      <c r="T40" s="29" t="n">
        <v>20.235907</v>
      </c>
      <c r="U40" s="29" t="n">
        <v>20.410549</v>
      </c>
      <c r="V40" s="29" t="n">
        <v>20.58037</v>
      </c>
      <c r="W40" s="29" t="n">
        <v>20.749769</v>
      </c>
      <c r="X40" s="29" t="n">
        <v>20.921873</v>
      </c>
      <c r="Y40" s="29" t="n">
        <v>21.096275</v>
      </c>
      <c r="Z40" s="29" t="n">
        <v>21.27179</v>
      </c>
      <c r="AA40" s="29" t="n">
        <v>21.449106</v>
      </c>
      <c r="AB40" s="29" t="n">
        <v>21.628258</v>
      </c>
      <c r="AC40" s="29" t="n">
        <v>21.810406</v>
      </c>
      <c r="AD40" s="29" t="n">
        <v>21.99577</v>
      </c>
      <c r="AE40" s="29" t="n">
        <v>22.183432</v>
      </c>
      <c r="AF40" s="29" t="n">
        <v>22.373165</v>
      </c>
      <c r="AG40" s="29" t="n">
        <v>22.563168</v>
      </c>
      <c r="AH40" s="29" t="n">
        <v>22.75102</v>
      </c>
      <c r="AI40" s="25" t="n">
        <v>0.009285</v>
      </c>
    </row>
    <row r="41" ht="15" customHeight="1" s="74">
      <c r="A41" s="20" t="inlineStr">
        <is>
          <t>CST000:ca_Warehouse</t>
        </is>
      </c>
      <c r="B41" s="23" t="inlineStr">
        <is>
          <t xml:space="preserve"> Warehouse</t>
        </is>
      </c>
      <c r="C41" s="29" t="n">
        <v>14.266182</v>
      </c>
      <c r="D41" s="29" t="n">
        <v>14.468638</v>
      </c>
      <c r="E41" s="29" t="n">
        <v>14.668237</v>
      </c>
      <c r="F41" s="29" t="n">
        <v>14.865272</v>
      </c>
      <c r="G41" s="29" t="n">
        <v>15.060147</v>
      </c>
      <c r="H41" s="29" t="n">
        <v>15.254147</v>
      </c>
      <c r="I41" s="29" t="n">
        <v>15.449051</v>
      </c>
      <c r="J41" s="29" t="n">
        <v>15.646358</v>
      </c>
      <c r="K41" s="29" t="n">
        <v>15.846347</v>
      </c>
      <c r="L41" s="29" t="n">
        <v>16.048214</v>
      </c>
      <c r="M41" s="29" t="n">
        <v>16.251202</v>
      </c>
      <c r="N41" s="29" t="n">
        <v>16.454607</v>
      </c>
      <c r="O41" s="29" t="n">
        <v>16.658176</v>
      </c>
      <c r="P41" s="29" t="n">
        <v>16.861319</v>
      </c>
      <c r="Q41" s="29" t="n">
        <v>17.063574</v>
      </c>
      <c r="R41" s="29" t="n">
        <v>17.264723</v>
      </c>
      <c r="S41" s="29" t="n">
        <v>17.464518</v>
      </c>
      <c r="T41" s="29" t="n">
        <v>17.663681</v>
      </c>
      <c r="U41" s="29" t="n">
        <v>17.86268</v>
      </c>
      <c r="V41" s="29" t="n">
        <v>18.06218</v>
      </c>
      <c r="W41" s="29" t="n">
        <v>18.262642</v>
      </c>
      <c r="X41" s="29" t="n">
        <v>18.464613</v>
      </c>
      <c r="Y41" s="29" t="n">
        <v>18.667624</v>
      </c>
      <c r="Z41" s="29" t="n">
        <v>18.870941</v>
      </c>
      <c r="AA41" s="29" t="n">
        <v>19.074402</v>
      </c>
      <c r="AB41" s="29" t="n">
        <v>19.277988</v>
      </c>
      <c r="AC41" s="29" t="n">
        <v>19.481882</v>
      </c>
      <c r="AD41" s="29" t="n">
        <v>19.686008</v>
      </c>
      <c r="AE41" s="29" t="n">
        <v>19.890057</v>
      </c>
      <c r="AF41" s="29" t="n">
        <v>20.094076</v>
      </c>
      <c r="AG41" s="29" t="n">
        <v>20.297905</v>
      </c>
      <c r="AH41" s="29" t="n">
        <v>20.501152</v>
      </c>
      <c r="AI41" s="25" t="n">
        <v>0.011765</v>
      </c>
    </row>
    <row r="42" ht="15" customHeight="1" s="74">
      <c r="A42" s="20" t="inlineStr">
        <is>
          <t>CST000:ca_Other</t>
        </is>
      </c>
      <c r="B42" s="23" t="inlineStr">
        <is>
          <t xml:space="preserve"> Other</t>
        </is>
      </c>
      <c r="C42" s="29" t="n">
        <v>7.239005</v>
      </c>
      <c r="D42" s="29" t="n">
        <v>7.360568</v>
      </c>
      <c r="E42" s="29" t="n">
        <v>7.467809</v>
      </c>
      <c r="F42" s="29" t="n">
        <v>7.571184</v>
      </c>
      <c r="G42" s="29" t="n">
        <v>7.67348</v>
      </c>
      <c r="H42" s="29" t="n">
        <v>7.784114</v>
      </c>
      <c r="I42" s="29" t="n">
        <v>7.899305</v>
      </c>
      <c r="J42" s="29" t="n">
        <v>8.017976000000001</v>
      </c>
      <c r="K42" s="29" t="n">
        <v>8.134525</v>
      </c>
      <c r="L42" s="29" t="n">
        <v>8.250513</v>
      </c>
      <c r="M42" s="29" t="n">
        <v>8.366773999999999</v>
      </c>
      <c r="N42" s="29" t="n">
        <v>8.482381999999999</v>
      </c>
      <c r="O42" s="29" t="n">
        <v>8.599140999999999</v>
      </c>
      <c r="P42" s="29" t="n">
        <v>8.714798999999999</v>
      </c>
      <c r="Q42" s="29" t="n">
        <v>8.831326000000001</v>
      </c>
      <c r="R42" s="29" t="n">
        <v>8.949132000000001</v>
      </c>
      <c r="S42" s="29" t="n">
        <v>9.065009</v>
      </c>
      <c r="T42" s="29" t="n">
        <v>9.180801000000001</v>
      </c>
      <c r="U42" s="29" t="n">
        <v>9.296291999999999</v>
      </c>
      <c r="V42" s="29" t="n">
        <v>9.413596</v>
      </c>
      <c r="W42" s="29" t="n">
        <v>9.530555</v>
      </c>
      <c r="X42" s="29" t="n">
        <v>9.648466000000001</v>
      </c>
      <c r="Y42" s="29" t="n">
        <v>9.764735999999999</v>
      </c>
      <c r="Z42" s="29" t="n">
        <v>9.882334</v>
      </c>
      <c r="AA42" s="29" t="n">
        <v>10.000559</v>
      </c>
      <c r="AB42" s="29" t="n">
        <v>10.117886</v>
      </c>
      <c r="AC42" s="29" t="n">
        <v>10.234812</v>
      </c>
      <c r="AD42" s="29" t="n">
        <v>10.350182</v>
      </c>
      <c r="AE42" s="29" t="n">
        <v>10.466892</v>
      </c>
      <c r="AF42" s="29" t="n">
        <v>10.5834</v>
      </c>
      <c r="AG42" s="29" t="n">
        <v>10.701898</v>
      </c>
      <c r="AH42" s="29" t="n">
        <v>10.82021</v>
      </c>
      <c r="AI42" s="25" t="n">
        <v>0.01305</v>
      </c>
    </row>
    <row r="43" ht="15" customHeight="1" s="74">
      <c r="A43" s="20" t="inlineStr">
        <is>
          <t>CST000:ca_Total</t>
        </is>
      </c>
      <c r="B43" s="22" t="inlineStr">
        <is>
          <t xml:space="preserve">   Total</t>
        </is>
      </c>
      <c r="C43" s="31" t="n">
        <v>92.82421100000001</v>
      </c>
      <c r="D43" s="31" t="n">
        <v>93.914513</v>
      </c>
      <c r="E43" s="31" t="n">
        <v>94.96093</v>
      </c>
      <c r="F43" s="31" t="n">
        <v>95.97279399999999</v>
      </c>
      <c r="G43" s="31" t="n">
        <v>96.951553</v>
      </c>
      <c r="H43" s="31" t="n">
        <v>97.920479</v>
      </c>
      <c r="I43" s="31" t="n">
        <v>98.89181499999999</v>
      </c>
      <c r="J43" s="31" t="n">
        <v>99.880554</v>
      </c>
      <c r="K43" s="31" t="n">
        <v>100.886246</v>
      </c>
      <c r="L43" s="31" t="n">
        <v>101.907646</v>
      </c>
      <c r="M43" s="31" t="n">
        <v>102.944992</v>
      </c>
      <c r="N43" s="31" t="n">
        <v>103.993729</v>
      </c>
      <c r="O43" s="31" t="n">
        <v>105.05558</v>
      </c>
      <c r="P43" s="31" t="n">
        <v>106.12133</v>
      </c>
      <c r="Q43" s="31" t="n">
        <v>107.18367</v>
      </c>
      <c r="R43" s="31" t="n">
        <v>108.235893</v>
      </c>
      <c r="S43" s="31" t="n">
        <v>109.2677</v>
      </c>
      <c r="T43" s="31" t="n">
        <v>110.283432</v>
      </c>
      <c r="U43" s="31" t="n">
        <v>111.285851</v>
      </c>
      <c r="V43" s="31" t="n">
        <v>112.284256</v>
      </c>
      <c r="W43" s="31" t="n">
        <v>113.284645</v>
      </c>
      <c r="X43" s="31" t="n">
        <v>114.297173</v>
      </c>
      <c r="Y43" s="31" t="n">
        <v>115.31572</v>
      </c>
      <c r="Z43" s="31" t="n">
        <v>116.339638</v>
      </c>
      <c r="AA43" s="31" t="n">
        <v>117.36866</v>
      </c>
      <c r="AB43" s="31" t="n">
        <v>118.400635</v>
      </c>
      <c r="AC43" s="31" t="n">
        <v>119.438629</v>
      </c>
      <c r="AD43" s="31" t="n">
        <v>120.481956</v>
      </c>
      <c r="AE43" s="31" t="n">
        <v>121.53186</v>
      </c>
      <c r="AF43" s="31" t="n">
        <v>122.586395</v>
      </c>
      <c r="AG43" s="31" t="n">
        <v>123.644196</v>
      </c>
      <c r="AH43" s="31" t="n">
        <v>124.696518</v>
      </c>
      <c r="AI43" s="27" t="n">
        <v>0.009567000000000001</v>
      </c>
    </row>
    <row r="44" ht="15.75" customHeight="1" s="74">
      <c r="A44" s="2" t="n"/>
      <c r="B44" s="2" t="n"/>
    </row>
    <row r="45" ht="15" customHeight="1" s="74">
      <c r="A45" s="2" t="n"/>
      <c r="B45" s="22" t="inlineStr">
        <is>
          <t>Stock Average Equipment Efficiency 2/</t>
        </is>
      </c>
    </row>
    <row r="46" ht="15.75" customHeight="1" s="74">
      <c r="A46" s="2" t="n"/>
      <c r="B46" s="2" t="n"/>
    </row>
    <row r="47" ht="15" customHeight="1" s="74">
      <c r="A47" s="2" t="n"/>
      <c r="B47" s="22" t="inlineStr">
        <is>
          <t xml:space="preserve"> Space Heating</t>
        </is>
      </c>
    </row>
    <row r="48" ht="15" customHeight="1" s="74">
      <c r="A48" s="20" t="inlineStr">
        <is>
          <t>CST000:ea_Electricity</t>
        </is>
      </c>
      <c r="B48" s="23" t="inlineStr">
        <is>
          <t xml:space="preserve">   Electricity</t>
        </is>
      </c>
      <c r="C48" s="29" t="n">
        <v>1.606077</v>
      </c>
      <c r="D48" s="29" t="n">
        <v>1.603608</v>
      </c>
      <c r="E48" s="29" t="n">
        <v>1.603059</v>
      </c>
      <c r="F48" s="29" t="n">
        <v>1.602798</v>
      </c>
      <c r="G48" s="29" t="n">
        <v>1.596404</v>
      </c>
      <c r="H48" s="29" t="n">
        <v>1.591309</v>
      </c>
      <c r="I48" s="29" t="n">
        <v>1.587026</v>
      </c>
      <c r="J48" s="29" t="n">
        <v>1.583803</v>
      </c>
      <c r="K48" s="29" t="n">
        <v>1.581075</v>
      </c>
      <c r="L48" s="29" t="n">
        <v>1.578793</v>
      </c>
      <c r="M48" s="29" t="n">
        <v>1.577268</v>
      </c>
      <c r="N48" s="29" t="n">
        <v>1.575893</v>
      </c>
      <c r="O48" s="29" t="n">
        <v>1.576648</v>
      </c>
      <c r="P48" s="29" t="n">
        <v>1.578484</v>
      </c>
      <c r="Q48" s="29" t="n">
        <v>1.580456</v>
      </c>
      <c r="R48" s="29" t="n">
        <v>1.582785</v>
      </c>
      <c r="S48" s="29" t="n">
        <v>1.585378</v>
      </c>
      <c r="T48" s="29" t="n">
        <v>1.589053</v>
      </c>
      <c r="U48" s="29" t="n">
        <v>1.593025</v>
      </c>
      <c r="V48" s="29" t="n">
        <v>1.597072</v>
      </c>
      <c r="W48" s="29" t="n">
        <v>1.601313</v>
      </c>
      <c r="X48" s="29" t="n">
        <v>1.606209</v>
      </c>
      <c r="Y48" s="29" t="n">
        <v>1.611826</v>
      </c>
      <c r="Z48" s="29" t="n">
        <v>1.617769</v>
      </c>
      <c r="AA48" s="29" t="n">
        <v>1.624171</v>
      </c>
      <c r="AB48" s="29" t="n">
        <v>1.631169</v>
      </c>
      <c r="AC48" s="29" t="n">
        <v>1.639646</v>
      </c>
      <c r="AD48" s="29" t="n">
        <v>1.648452</v>
      </c>
      <c r="AE48" s="29" t="n">
        <v>1.657279</v>
      </c>
      <c r="AF48" s="29" t="n">
        <v>1.666194</v>
      </c>
      <c r="AG48" s="29" t="n">
        <v>1.676193</v>
      </c>
      <c r="AH48" s="29" t="n">
        <v>1.686661</v>
      </c>
      <c r="AI48" s="25" t="n">
        <v>0.00158</v>
      </c>
    </row>
    <row r="49" ht="15" customHeight="1" s="74">
      <c r="A49" s="20" t="inlineStr">
        <is>
          <t>CST000:ea_NaturalGas</t>
        </is>
      </c>
      <c r="B49" s="23" t="inlineStr">
        <is>
          <t xml:space="preserve">   Natural Gas</t>
        </is>
      </c>
      <c r="C49" s="29" t="n">
        <v>0.787046</v>
      </c>
      <c r="D49" s="29" t="n">
        <v>0.787573</v>
      </c>
      <c r="E49" s="29" t="n">
        <v>0.788061</v>
      </c>
      <c r="F49" s="29" t="n">
        <v>0.7884949999999999</v>
      </c>
      <c r="G49" s="29" t="n">
        <v>0.789207</v>
      </c>
      <c r="H49" s="29" t="n">
        <v>0.789889</v>
      </c>
      <c r="I49" s="29" t="n">
        <v>0.790583</v>
      </c>
      <c r="J49" s="29" t="n">
        <v>0.791253</v>
      </c>
      <c r="K49" s="29" t="n">
        <v>0.791894</v>
      </c>
      <c r="L49" s="29" t="n">
        <v>0.7924639999999999</v>
      </c>
      <c r="M49" s="29" t="n">
        <v>0.792994</v>
      </c>
      <c r="N49" s="29" t="n">
        <v>0.793492</v>
      </c>
      <c r="O49" s="29" t="n">
        <v>0.793956</v>
      </c>
      <c r="P49" s="29" t="n">
        <v>0.794376</v>
      </c>
      <c r="Q49" s="29" t="n">
        <v>0.794776</v>
      </c>
      <c r="R49" s="29" t="n">
        <v>0.7951510000000001</v>
      </c>
      <c r="S49" s="29" t="n">
        <v>0.795492</v>
      </c>
      <c r="T49" s="29" t="n">
        <v>0.79581</v>
      </c>
      <c r="U49" s="29" t="n">
        <v>0.796094</v>
      </c>
      <c r="V49" s="29" t="n">
        <v>0.796359</v>
      </c>
      <c r="W49" s="29" t="n">
        <v>0.796604</v>
      </c>
      <c r="X49" s="29" t="n">
        <v>0.796829</v>
      </c>
      <c r="Y49" s="29" t="n">
        <v>0.797041</v>
      </c>
      <c r="Z49" s="29" t="n">
        <v>0.7972399999999999</v>
      </c>
      <c r="AA49" s="29" t="n">
        <v>0.797428</v>
      </c>
      <c r="AB49" s="29" t="n">
        <v>0.797596</v>
      </c>
      <c r="AC49" s="29" t="n">
        <v>0.797753</v>
      </c>
      <c r="AD49" s="29" t="n">
        <v>0.797906</v>
      </c>
      <c r="AE49" s="29" t="n">
        <v>0.798054</v>
      </c>
      <c r="AF49" s="29" t="n">
        <v>0.798176</v>
      </c>
      <c r="AG49" s="29" t="n">
        <v>0.798305</v>
      </c>
      <c r="AH49" s="29" t="n">
        <v>0.798426</v>
      </c>
      <c r="AI49" s="25" t="n">
        <v>0.000463</v>
      </c>
    </row>
    <row r="50" ht="15" customHeight="1" s="74">
      <c r="A50" s="20" t="inlineStr">
        <is>
          <t>CST000:ea_Distillate</t>
        </is>
      </c>
      <c r="B50" s="23" t="inlineStr">
        <is>
          <t xml:space="preserve">   Distillate Fuel Oil</t>
        </is>
      </c>
      <c r="C50" s="29" t="n">
        <v>0.808615</v>
      </c>
      <c r="D50" s="29" t="n">
        <v>0.809366</v>
      </c>
      <c r="E50" s="29" t="n">
        <v>0.810074</v>
      </c>
      <c r="F50" s="29" t="n">
        <v>0.810739</v>
      </c>
      <c r="G50" s="29" t="n">
        <v>0.811366</v>
      </c>
      <c r="H50" s="29" t="n">
        <v>0.811958</v>
      </c>
      <c r="I50" s="29" t="n">
        <v>0.812523</v>
      </c>
      <c r="J50" s="29" t="n">
        <v>0.813065</v>
      </c>
      <c r="K50" s="29" t="n">
        <v>0.8135829999999999</v>
      </c>
      <c r="L50" s="29" t="n">
        <v>0.81408</v>
      </c>
      <c r="M50" s="29" t="n">
        <v>0.814554</v>
      </c>
      <c r="N50" s="29" t="n">
        <v>0.815102</v>
      </c>
      <c r="O50" s="29" t="n">
        <v>0.815626</v>
      </c>
      <c r="P50" s="29" t="n">
        <v>0.816123</v>
      </c>
      <c r="Q50" s="29" t="n">
        <v>0.816596</v>
      </c>
      <c r="R50" s="29" t="n">
        <v>0.817045</v>
      </c>
      <c r="S50" s="29" t="n">
        <v>0.8174709999999999</v>
      </c>
      <c r="T50" s="29" t="n">
        <v>0.817875</v>
      </c>
      <c r="U50" s="29" t="n">
        <v>0.818259</v>
      </c>
      <c r="V50" s="29" t="n">
        <v>0.818623</v>
      </c>
      <c r="W50" s="29" t="n">
        <v>0.8189920000000001</v>
      </c>
      <c r="X50" s="29" t="n">
        <v>0.819589</v>
      </c>
      <c r="Y50" s="29" t="n">
        <v>0.820154</v>
      </c>
      <c r="Z50" s="29" t="n">
        <v>0.820688</v>
      </c>
      <c r="AA50" s="29" t="n">
        <v>0.821195</v>
      </c>
      <c r="AB50" s="29" t="n">
        <v>0.821672</v>
      </c>
      <c r="AC50" s="29" t="n">
        <v>0.822123</v>
      </c>
      <c r="AD50" s="29" t="n">
        <v>0.822546</v>
      </c>
      <c r="AE50" s="29" t="n">
        <v>0.822944</v>
      </c>
      <c r="AF50" s="29" t="n">
        <v>0.823353</v>
      </c>
      <c r="AG50" s="29" t="n">
        <v>0.823738</v>
      </c>
      <c r="AH50" s="29" t="n">
        <v>0.82411</v>
      </c>
      <c r="AI50" s="25" t="n">
        <v>0.000612</v>
      </c>
    </row>
    <row r="51" ht="15.75" customHeight="1" s="74">
      <c r="A51" s="2" t="n"/>
      <c r="B51" s="2" t="n"/>
    </row>
    <row r="52" ht="15" customHeight="1" s="74">
      <c r="A52" s="2" t="n"/>
      <c r="B52" s="22" t="inlineStr">
        <is>
          <t xml:space="preserve"> Space Cooling</t>
        </is>
      </c>
    </row>
    <row r="53" ht="15" customHeight="1" s="74">
      <c r="A53" s="20" t="inlineStr">
        <is>
          <t>CST000:fa_Electricity</t>
        </is>
      </c>
      <c r="B53" s="23" t="inlineStr">
        <is>
          <t xml:space="preserve">   Electricity</t>
        </is>
      </c>
      <c r="C53" s="29" t="n">
        <v>3.511389</v>
      </c>
      <c r="D53" s="29" t="n">
        <v>3.547996</v>
      </c>
      <c r="E53" s="29" t="n">
        <v>3.580894</v>
      </c>
      <c r="F53" s="29" t="n">
        <v>3.613984</v>
      </c>
      <c r="G53" s="29" t="n">
        <v>3.648514</v>
      </c>
      <c r="H53" s="29" t="n">
        <v>3.681524</v>
      </c>
      <c r="I53" s="29" t="n">
        <v>3.713459</v>
      </c>
      <c r="J53" s="29" t="n">
        <v>3.744499</v>
      </c>
      <c r="K53" s="29" t="n">
        <v>3.774679</v>
      </c>
      <c r="L53" s="29" t="n">
        <v>3.80374</v>
      </c>
      <c r="M53" s="29" t="n">
        <v>3.831528</v>
      </c>
      <c r="N53" s="29" t="n">
        <v>3.859384</v>
      </c>
      <c r="O53" s="29" t="n">
        <v>3.886124</v>
      </c>
      <c r="P53" s="29" t="n">
        <v>3.911724</v>
      </c>
      <c r="Q53" s="29" t="n">
        <v>3.93641</v>
      </c>
      <c r="R53" s="29" t="n">
        <v>3.96016</v>
      </c>
      <c r="S53" s="29" t="n">
        <v>3.98292</v>
      </c>
      <c r="T53" s="29" t="n">
        <v>4.004556</v>
      </c>
      <c r="U53" s="29" t="n">
        <v>4.025083</v>
      </c>
      <c r="V53" s="29" t="n">
        <v>4.044849</v>
      </c>
      <c r="W53" s="29" t="n">
        <v>4.063937</v>
      </c>
      <c r="X53" s="29" t="n">
        <v>4.084425</v>
      </c>
      <c r="Y53" s="29" t="n">
        <v>4.104079</v>
      </c>
      <c r="Z53" s="29" t="n">
        <v>4.122857</v>
      </c>
      <c r="AA53" s="29" t="n">
        <v>4.140858</v>
      </c>
      <c r="AB53" s="29" t="n">
        <v>4.158405</v>
      </c>
      <c r="AC53" s="29" t="n">
        <v>4.17531</v>
      </c>
      <c r="AD53" s="29" t="n">
        <v>4.19165</v>
      </c>
      <c r="AE53" s="29" t="n">
        <v>4.20756</v>
      </c>
      <c r="AF53" s="29" t="n">
        <v>4.223003</v>
      </c>
      <c r="AG53" s="29" t="n">
        <v>4.238019</v>
      </c>
      <c r="AH53" s="29" t="n">
        <v>4.252512</v>
      </c>
      <c r="AI53" s="25" t="n">
        <v>0.006196</v>
      </c>
    </row>
    <row r="54" ht="15" customHeight="1" s="74">
      <c r="A54" s="20" t="inlineStr">
        <is>
          <t>CST000:fa_NaturalGas</t>
        </is>
      </c>
      <c r="B54" s="23" t="inlineStr">
        <is>
          <t xml:space="preserve">   Natural Gas</t>
        </is>
      </c>
      <c r="C54" s="29" t="n">
        <v>0.74804</v>
      </c>
      <c r="D54" s="29" t="n">
        <v>0.77115</v>
      </c>
      <c r="E54" s="29" t="n">
        <v>0.769369</v>
      </c>
      <c r="F54" s="29" t="n">
        <v>0.778937</v>
      </c>
      <c r="G54" s="29" t="n">
        <v>0.788245</v>
      </c>
      <c r="H54" s="29" t="n">
        <v>0.79733</v>
      </c>
      <c r="I54" s="29" t="n">
        <v>0.8064170000000001</v>
      </c>
      <c r="J54" s="29" t="n">
        <v>0.81552</v>
      </c>
      <c r="K54" s="29" t="n">
        <v>0.824552</v>
      </c>
      <c r="L54" s="29" t="n">
        <v>0.833313</v>
      </c>
      <c r="M54" s="29" t="n">
        <v>0.841924</v>
      </c>
      <c r="N54" s="29" t="n">
        <v>0.850469</v>
      </c>
      <c r="O54" s="29" t="n">
        <v>0.858883</v>
      </c>
      <c r="P54" s="29" t="n">
        <v>0.867159</v>
      </c>
      <c r="Q54" s="29" t="n">
        <v>0.875211</v>
      </c>
      <c r="R54" s="29" t="n">
        <v>0.883108</v>
      </c>
      <c r="S54" s="29" t="n">
        <v>0.890919</v>
      </c>
      <c r="T54" s="29" t="n">
        <v>0.898531</v>
      </c>
      <c r="U54" s="29" t="n">
        <v>0.906014</v>
      </c>
      <c r="V54" s="29" t="n">
        <v>0.913419</v>
      </c>
      <c r="W54" s="29" t="n">
        <v>0.920737</v>
      </c>
      <c r="X54" s="29" t="n">
        <v>0.927917</v>
      </c>
      <c r="Y54" s="29" t="n">
        <v>0.935018</v>
      </c>
      <c r="Z54" s="29" t="n">
        <v>0.9420230000000001</v>
      </c>
      <c r="AA54" s="29" t="n">
        <v>0.949007</v>
      </c>
      <c r="AB54" s="29" t="n">
        <v>0.9558950000000001</v>
      </c>
      <c r="AC54" s="29" t="n">
        <v>0.962714</v>
      </c>
      <c r="AD54" s="29" t="n">
        <v>0.969418</v>
      </c>
      <c r="AE54" s="29" t="n">
        <v>0.976139</v>
      </c>
      <c r="AF54" s="29" t="n">
        <v>0.9827090000000001</v>
      </c>
      <c r="AG54" s="29" t="n">
        <v>0.989273</v>
      </c>
      <c r="AH54" s="29" t="n">
        <v>0.995737</v>
      </c>
      <c r="AI54" s="25" t="n">
        <v>0.009268999999999999</v>
      </c>
    </row>
    <row r="55" ht="15.75" customHeight="1" s="74">
      <c r="A55" s="2" t="n"/>
      <c r="B55" s="2" t="n"/>
    </row>
    <row r="56" ht="15" customHeight="1" s="74">
      <c r="A56" s="2" t="n"/>
      <c r="B56" s="22" t="inlineStr">
        <is>
          <t xml:space="preserve"> Water Heating</t>
        </is>
      </c>
    </row>
    <row r="57" ht="15" customHeight="1" s="74">
      <c r="A57" s="20" t="inlineStr">
        <is>
          <t>CST000:ga_Electricity</t>
        </is>
      </c>
      <c r="B57" s="23" t="inlineStr">
        <is>
          <t xml:space="preserve">   Electricity</t>
        </is>
      </c>
      <c r="C57" s="29" t="n">
        <v>1.112897</v>
      </c>
      <c r="D57" s="29" t="n">
        <v>1.127946</v>
      </c>
      <c r="E57" s="29" t="n">
        <v>1.141075</v>
      </c>
      <c r="F57" s="29" t="n">
        <v>1.151017</v>
      </c>
      <c r="G57" s="29" t="n">
        <v>1.16072</v>
      </c>
      <c r="H57" s="29" t="n">
        <v>1.170189</v>
      </c>
      <c r="I57" s="29" t="n">
        <v>1.179661</v>
      </c>
      <c r="J57" s="29" t="n">
        <v>1.189323</v>
      </c>
      <c r="K57" s="29" t="n">
        <v>1.198971</v>
      </c>
      <c r="L57" s="29" t="n">
        <v>1.208391</v>
      </c>
      <c r="M57" s="29" t="n">
        <v>1.217451</v>
      </c>
      <c r="N57" s="29" t="n">
        <v>1.226334</v>
      </c>
      <c r="O57" s="29" t="n">
        <v>1.235028</v>
      </c>
      <c r="P57" s="29" t="n">
        <v>1.243439</v>
      </c>
      <c r="Q57" s="29" t="n">
        <v>1.251748</v>
      </c>
      <c r="R57" s="29" t="n">
        <v>1.25992</v>
      </c>
      <c r="S57" s="29" t="n">
        <v>1.267852</v>
      </c>
      <c r="T57" s="29" t="n">
        <v>1.275602</v>
      </c>
      <c r="U57" s="29" t="n">
        <v>1.28316</v>
      </c>
      <c r="V57" s="29" t="n">
        <v>1.290606</v>
      </c>
      <c r="W57" s="29" t="n">
        <v>1.297899</v>
      </c>
      <c r="X57" s="29" t="n">
        <v>1.305032</v>
      </c>
      <c r="Y57" s="29" t="n">
        <v>1.311999</v>
      </c>
      <c r="Z57" s="29" t="n">
        <v>1.318722</v>
      </c>
      <c r="AA57" s="29" t="n">
        <v>1.325409</v>
      </c>
      <c r="AB57" s="29" t="n">
        <v>1.331945</v>
      </c>
      <c r="AC57" s="29" t="n">
        <v>1.338318</v>
      </c>
      <c r="AD57" s="29" t="n">
        <v>1.344527</v>
      </c>
      <c r="AE57" s="29" t="n">
        <v>1.350664</v>
      </c>
      <c r="AF57" s="29" t="n">
        <v>1.356655</v>
      </c>
      <c r="AG57" s="29" t="n">
        <v>1.362536</v>
      </c>
      <c r="AH57" s="29" t="n">
        <v>1.36827</v>
      </c>
      <c r="AI57" s="25" t="n">
        <v>0.006686</v>
      </c>
    </row>
    <row r="58" ht="15" customHeight="1" s="74">
      <c r="A58" s="20" t="inlineStr">
        <is>
          <t>CST000:ga_NaturalGas</t>
        </is>
      </c>
      <c r="B58" s="23" t="inlineStr">
        <is>
          <t xml:space="preserve">   Natural Gas</t>
        </is>
      </c>
      <c r="C58" s="29" t="n">
        <v>0.880029</v>
      </c>
      <c r="D58" s="29" t="n">
        <v>0.886873</v>
      </c>
      <c r="E58" s="29" t="n">
        <v>0.893064</v>
      </c>
      <c r="F58" s="29" t="n">
        <v>0.89866</v>
      </c>
      <c r="G58" s="29" t="n">
        <v>0.903726</v>
      </c>
      <c r="H58" s="29" t="n">
        <v>0.908315</v>
      </c>
      <c r="I58" s="29" t="n">
        <v>0.912474</v>
      </c>
      <c r="J58" s="29" t="n">
        <v>0.91627</v>
      </c>
      <c r="K58" s="29" t="n">
        <v>0.9198539999999999</v>
      </c>
      <c r="L58" s="29" t="n">
        <v>0.9231</v>
      </c>
      <c r="M58" s="29" t="n">
        <v>0.926034</v>
      </c>
      <c r="N58" s="29" t="n">
        <v>0.928701</v>
      </c>
      <c r="O58" s="29" t="n">
        <v>0.931106</v>
      </c>
      <c r="P58" s="29" t="n">
        <v>0.93327</v>
      </c>
      <c r="Q58" s="29" t="n">
        <v>0.93537</v>
      </c>
      <c r="R58" s="29" t="n">
        <v>0.937257</v>
      </c>
      <c r="S58" s="29" t="n">
        <v>0.93895</v>
      </c>
      <c r="T58" s="29" t="n">
        <v>0.940472</v>
      </c>
      <c r="U58" s="29" t="n">
        <v>0.941839</v>
      </c>
      <c r="V58" s="29" t="n">
        <v>0.943068</v>
      </c>
      <c r="W58" s="29" t="n">
        <v>0.944173</v>
      </c>
      <c r="X58" s="29" t="n">
        <v>0.945167</v>
      </c>
      <c r="Y58" s="29" t="n">
        <v>0.946059</v>
      </c>
      <c r="Z58" s="29" t="n">
        <v>0.94686</v>
      </c>
      <c r="AA58" s="29" t="n">
        <v>0.94758</v>
      </c>
      <c r="AB58" s="29" t="n">
        <v>0.948224</v>
      </c>
      <c r="AC58" s="29" t="n">
        <v>0.948802</v>
      </c>
      <c r="AD58" s="29" t="n">
        <v>0.949506</v>
      </c>
      <c r="AE58" s="29" t="n">
        <v>0.950137</v>
      </c>
      <c r="AF58" s="29" t="n">
        <v>0.950703</v>
      </c>
      <c r="AG58" s="29" t="n">
        <v>0.951209</v>
      </c>
      <c r="AH58" s="29" t="n">
        <v>0.951661</v>
      </c>
      <c r="AI58" s="25" t="n">
        <v>0.002527</v>
      </c>
    </row>
    <row r="59" ht="15" customHeight="1" s="74">
      <c r="A59" s="20" t="inlineStr">
        <is>
          <t>CST000:ga_Distillate</t>
        </is>
      </c>
      <c r="B59" s="23" t="inlineStr">
        <is>
          <t xml:space="preserve">   Distillate Fuel Oil</t>
        </is>
      </c>
      <c r="C59" s="29" t="n">
        <v>0.804229</v>
      </c>
      <c r="D59" s="29" t="n">
        <v>0.805596</v>
      </c>
      <c r="E59" s="29" t="n">
        <v>0.806829</v>
      </c>
      <c r="F59" s="29" t="n">
        <v>0.8079499999999999</v>
      </c>
      <c r="G59" s="29" t="n">
        <v>0.808969</v>
      </c>
      <c r="H59" s="29" t="n">
        <v>0.8099</v>
      </c>
      <c r="I59" s="29" t="n">
        <v>0.8107569999999999</v>
      </c>
      <c r="J59" s="29" t="n">
        <v>0.811547</v>
      </c>
      <c r="K59" s="29" t="n">
        <v>0.812275</v>
      </c>
      <c r="L59" s="29" t="n">
        <v>0.812944</v>
      </c>
      <c r="M59" s="29" t="n">
        <v>0.813557</v>
      </c>
      <c r="N59" s="29" t="n">
        <v>0.814116</v>
      </c>
      <c r="O59" s="29" t="n">
        <v>0.814625</v>
      </c>
      <c r="P59" s="29" t="n">
        <v>0.815089</v>
      </c>
      <c r="Q59" s="29" t="n">
        <v>0.815512</v>
      </c>
      <c r="R59" s="29" t="n">
        <v>0.815896</v>
      </c>
      <c r="S59" s="29" t="n">
        <v>0.816246</v>
      </c>
      <c r="T59" s="29" t="n">
        <v>0.816565</v>
      </c>
      <c r="U59" s="29" t="n">
        <v>0.816856</v>
      </c>
      <c r="V59" s="29" t="n">
        <v>0.817126</v>
      </c>
      <c r="W59" s="29" t="n">
        <v>0.817373</v>
      </c>
      <c r="X59" s="29" t="n">
        <v>0.8176</v>
      </c>
      <c r="Y59" s="29" t="n">
        <v>0.817807</v>
      </c>
      <c r="Z59" s="29" t="n">
        <v>0.817995</v>
      </c>
      <c r="AA59" s="29" t="n">
        <v>0.8181659999999999</v>
      </c>
      <c r="AB59" s="29" t="n">
        <v>0.818323</v>
      </c>
      <c r="AC59" s="29" t="n">
        <v>0.818466</v>
      </c>
      <c r="AD59" s="29" t="n">
        <v>0.818597</v>
      </c>
      <c r="AE59" s="29" t="n">
        <v>0.818717</v>
      </c>
      <c r="AF59" s="29" t="n">
        <v>0.818827</v>
      </c>
      <c r="AG59" s="29" t="n">
        <v>0.818927</v>
      </c>
      <c r="AH59" s="29" t="n">
        <v>0.819018</v>
      </c>
      <c r="AI59" s="25" t="n">
        <v>0.000588</v>
      </c>
    </row>
    <row r="60" ht="15.75" customHeight="1" s="74">
      <c r="A60" s="2" t="n"/>
      <c r="B60" s="2" t="n"/>
    </row>
    <row r="61" ht="15" customHeight="1" s="74">
      <c r="A61" s="2" t="n"/>
      <c r="B61" s="22" t="inlineStr">
        <is>
          <t xml:space="preserve"> Ventilation (cubic feet per minute per Btu) 3/</t>
        </is>
      </c>
    </row>
    <row r="62" ht="15" customHeight="1" s="74">
      <c r="A62" s="20" t="inlineStr">
        <is>
          <t>CST000:ha_Electricity</t>
        </is>
      </c>
      <c r="B62" s="23" t="inlineStr">
        <is>
          <t xml:space="preserve">   Electricity</t>
        </is>
      </c>
      <c r="C62" s="29" t="n">
        <v>0.5432670000000001</v>
      </c>
      <c r="D62" s="29" t="n">
        <v>0.552964</v>
      </c>
      <c r="E62" s="29" t="n">
        <v>0.5620889999999999</v>
      </c>
      <c r="F62" s="29" t="n">
        <v>0.57119</v>
      </c>
      <c r="G62" s="29" t="n">
        <v>0.579827</v>
      </c>
      <c r="H62" s="29" t="n">
        <v>0.588121</v>
      </c>
      <c r="I62" s="29" t="n">
        <v>0.596496</v>
      </c>
      <c r="J62" s="29" t="n">
        <v>0.617265</v>
      </c>
      <c r="K62" s="29" t="n">
        <v>0.638031</v>
      </c>
      <c r="L62" s="29" t="n">
        <v>0.658726</v>
      </c>
      <c r="M62" s="29" t="n">
        <v>0.6793129999999999</v>
      </c>
      <c r="N62" s="29" t="n">
        <v>0.700898</v>
      </c>
      <c r="O62" s="29" t="n">
        <v>0.722203</v>
      </c>
      <c r="P62" s="29" t="n">
        <v>0.743281</v>
      </c>
      <c r="Q62" s="29" t="n">
        <v>0.764025</v>
      </c>
      <c r="R62" s="29" t="n">
        <v>0.784405</v>
      </c>
      <c r="S62" s="29" t="n">
        <v>0.8043630000000001</v>
      </c>
      <c r="T62" s="29" t="n">
        <v>0.8238760000000001</v>
      </c>
      <c r="U62" s="29" t="n">
        <v>0.842926</v>
      </c>
      <c r="V62" s="29" t="n">
        <v>0.8615120000000001</v>
      </c>
      <c r="W62" s="29" t="n">
        <v>0.879798</v>
      </c>
      <c r="X62" s="29" t="n">
        <v>0.90045</v>
      </c>
      <c r="Y62" s="29" t="n">
        <v>0.92066</v>
      </c>
      <c r="Z62" s="29" t="n">
        <v>0.940383</v>
      </c>
      <c r="AA62" s="29" t="n">
        <v>0.959605</v>
      </c>
      <c r="AB62" s="29" t="n">
        <v>0.978308</v>
      </c>
      <c r="AC62" s="29" t="n">
        <v>0.996471</v>
      </c>
      <c r="AD62" s="29" t="n">
        <v>1.014082</v>
      </c>
      <c r="AE62" s="29" t="n">
        <v>1.031139</v>
      </c>
      <c r="AF62" s="29" t="n">
        <v>1.047627</v>
      </c>
      <c r="AG62" s="29" t="n">
        <v>1.063527</v>
      </c>
      <c r="AH62" s="29" t="n">
        <v>1.078826</v>
      </c>
      <c r="AI62" s="25" t="n">
        <v>0.022377</v>
      </c>
    </row>
    <row r="63" ht="15.75" customHeight="1" s="74">
      <c r="A63" s="2" t="n"/>
      <c r="B63" s="2" t="n"/>
    </row>
    <row r="64" ht="15" customHeight="1" s="74">
      <c r="A64" s="2" t="n"/>
      <c r="B64" s="22" t="inlineStr">
        <is>
          <t xml:space="preserve"> Cooking</t>
        </is>
      </c>
    </row>
    <row r="65" ht="15" customHeight="1" s="74">
      <c r="A65" s="20" t="inlineStr">
        <is>
          <t>CST000:ia_Electricity</t>
        </is>
      </c>
      <c r="B65" s="23" t="inlineStr">
        <is>
          <t xml:space="preserve">   Electricity</t>
        </is>
      </c>
      <c r="C65" s="29" t="n">
        <v>0.691454</v>
      </c>
      <c r="D65" s="29" t="n">
        <v>0.692255</v>
      </c>
      <c r="E65" s="29" t="n">
        <v>0.692977</v>
      </c>
      <c r="F65" s="29" t="n">
        <v>0.6936290000000001</v>
      </c>
      <c r="G65" s="29" t="n">
        <v>0.694218</v>
      </c>
      <c r="H65" s="29" t="n">
        <v>0.694751</v>
      </c>
      <c r="I65" s="29" t="n">
        <v>0.695234</v>
      </c>
      <c r="J65" s="29" t="n">
        <v>0.695674</v>
      </c>
      <c r="K65" s="29" t="n">
        <v>0.696075</v>
      </c>
      <c r="L65" s="29" t="n">
        <v>0.6964399999999999</v>
      </c>
      <c r="M65" s="29" t="n">
        <v>0.696771</v>
      </c>
      <c r="N65" s="29" t="n">
        <v>0.6970730000000001</v>
      </c>
      <c r="O65" s="29" t="n">
        <v>0.697346</v>
      </c>
      <c r="P65" s="29" t="n">
        <v>0.697594</v>
      </c>
      <c r="Q65" s="29" t="n">
        <v>0.697819</v>
      </c>
      <c r="R65" s="29" t="n">
        <v>0.698021</v>
      </c>
      <c r="S65" s="29" t="n">
        <v>0.698205</v>
      </c>
      <c r="T65" s="29" t="n">
        <v>0.698371</v>
      </c>
      <c r="U65" s="29" t="n">
        <v>0.6985209999999999</v>
      </c>
      <c r="V65" s="29" t="n">
        <v>0.698657</v>
      </c>
      <c r="W65" s="29" t="n">
        <v>0.69878</v>
      </c>
      <c r="X65" s="29" t="n">
        <v>0.698893</v>
      </c>
      <c r="Y65" s="29" t="n">
        <v>0.698995</v>
      </c>
      <c r="Z65" s="29" t="n">
        <v>0.699088</v>
      </c>
      <c r="AA65" s="29" t="n">
        <v>0.699172</v>
      </c>
      <c r="AB65" s="29" t="n">
        <v>0.699248</v>
      </c>
      <c r="AC65" s="29" t="n">
        <v>0.699318</v>
      </c>
      <c r="AD65" s="29" t="n">
        <v>0.699381</v>
      </c>
      <c r="AE65" s="29" t="n">
        <v>0.699438</v>
      </c>
      <c r="AF65" s="29" t="n">
        <v>0.6994899999999999</v>
      </c>
      <c r="AG65" s="29" t="n">
        <v>0.699537</v>
      </c>
      <c r="AH65" s="29" t="n">
        <v>0.69958</v>
      </c>
      <c r="AI65" s="25" t="n">
        <v>0.000377</v>
      </c>
    </row>
    <row r="66" ht="15" customHeight="1" s="74">
      <c r="A66" s="20" t="inlineStr">
        <is>
          <t>CST000:ia_NaturalGas</t>
        </is>
      </c>
      <c r="B66" s="23" t="inlineStr">
        <is>
          <t xml:space="preserve">   Natural Gas</t>
        </is>
      </c>
      <c r="C66" s="29" t="n">
        <v>0.316667</v>
      </c>
      <c r="D66" s="29" t="n">
        <v>0.316667</v>
      </c>
      <c r="E66" s="29" t="n">
        <v>0.316667</v>
      </c>
      <c r="F66" s="29" t="n">
        <v>0.316667</v>
      </c>
      <c r="G66" s="29" t="n">
        <v>0.316667</v>
      </c>
      <c r="H66" s="29" t="n">
        <v>0.316667</v>
      </c>
      <c r="I66" s="29" t="n">
        <v>0.316667</v>
      </c>
      <c r="J66" s="29" t="n">
        <v>0.316667</v>
      </c>
      <c r="K66" s="29" t="n">
        <v>0.316667</v>
      </c>
      <c r="L66" s="29" t="n">
        <v>0.316667</v>
      </c>
      <c r="M66" s="29" t="n">
        <v>0.316667</v>
      </c>
      <c r="N66" s="29" t="n">
        <v>0.316667</v>
      </c>
      <c r="O66" s="29" t="n">
        <v>0.316667</v>
      </c>
      <c r="P66" s="29" t="n">
        <v>0.316667</v>
      </c>
      <c r="Q66" s="29" t="n">
        <v>0.316667</v>
      </c>
      <c r="R66" s="29" t="n">
        <v>0.316667</v>
      </c>
      <c r="S66" s="29" t="n">
        <v>0.316667</v>
      </c>
      <c r="T66" s="29" t="n">
        <v>0.316667</v>
      </c>
      <c r="U66" s="29" t="n">
        <v>0.316667</v>
      </c>
      <c r="V66" s="29" t="n">
        <v>0.316667</v>
      </c>
      <c r="W66" s="29" t="n">
        <v>0.316667</v>
      </c>
      <c r="X66" s="29" t="n">
        <v>0.316667</v>
      </c>
      <c r="Y66" s="29" t="n">
        <v>0.316667</v>
      </c>
      <c r="Z66" s="29" t="n">
        <v>0.316667</v>
      </c>
      <c r="AA66" s="29" t="n">
        <v>0.316667</v>
      </c>
      <c r="AB66" s="29" t="n">
        <v>0.316667</v>
      </c>
      <c r="AC66" s="29" t="n">
        <v>0.316667</v>
      </c>
      <c r="AD66" s="29" t="n">
        <v>0.316667</v>
      </c>
      <c r="AE66" s="29" t="n">
        <v>0.316667</v>
      </c>
      <c r="AF66" s="29" t="n">
        <v>0.316667</v>
      </c>
      <c r="AG66" s="29" t="n">
        <v>0.316667</v>
      </c>
      <c r="AH66" s="29" t="n">
        <v>0.316667</v>
      </c>
      <c r="AI66" s="25" t="n">
        <v>0</v>
      </c>
    </row>
    <row r="67" ht="15.75" customHeight="1" s="74">
      <c r="A67" s="2" t="n"/>
      <c r="B67" s="2" t="n"/>
    </row>
    <row r="68" ht="15" customHeight="1" s="74">
      <c r="A68" s="2" t="n"/>
      <c r="B68" s="22" t="inlineStr">
        <is>
          <t xml:space="preserve"> Lighting Efficacy 4/</t>
        </is>
      </c>
    </row>
    <row r="69" ht="15" customHeight="1" s="74">
      <c r="A69" s="2" t="n"/>
      <c r="B69" s="22" t="inlineStr">
        <is>
          <t xml:space="preserve">   (efficacy in lumens per watt)</t>
        </is>
      </c>
    </row>
    <row r="70" ht="15" customHeight="1" s="74">
      <c r="A70" s="20" t="inlineStr">
        <is>
          <t>CST000:ja_Electricity</t>
        </is>
      </c>
      <c r="B70" s="23" t="inlineStr">
        <is>
          <t xml:space="preserve">   Electricity</t>
        </is>
      </c>
      <c r="C70" s="29" t="n">
        <v>80.316467</v>
      </c>
      <c r="D70" s="29" t="n">
        <v>84.32643899999999</v>
      </c>
      <c r="E70" s="29" t="n">
        <v>87.93985000000001</v>
      </c>
      <c r="F70" s="29" t="n">
        <v>91.261124</v>
      </c>
      <c r="G70" s="29" t="n">
        <v>94.28701</v>
      </c>
      <c r="H70" s="29" t="n">
        <v>97.062332</v>
      </c>
      <c r="I70" s="29" t="n">
        <v>99.623802</v>
      </c>
      <c r="J70" s="29" t="n">
        <v>101.992889</v>
      </c>
      <c r="K70" s="29" t="n">
        <v>104.122818</v>
      </c>
      <c r="L70" s="29" t="n">
        <v>106.037491</v>
      </c>
      <c r="M70" s="29" t="n">
        <v>107.75563</v>
      </c>
      <c r="N70" s="29" t="n">
        <v>111.807037</v>
      </c>
      <c r="O70" s="29" t="n">
        <v>115.622749</v>
      </c>
      <c r="P70" s="29" t="n">
        <v>119.180565</v>
      </c>
      <c r="Q70" s="29" t="n">
        <v>122.476189</v>
      </c>
      <c r="R70" s="29" t="n">
        <v>125.510063</v>
      </c>
      <c r="S70" s="29" t="n">
        <v>128.282074</v>
      </c>
      <c r="T70" s="29" t="n">
        <v>130.802017</v>
      </c>
      <c r="U70" s="29" t="n">
        <v>133.089554</v>
      </c>
      <c r="V70" s="29" t="n">
        <v>135.157227</v>
      </c>
      <c r="W70" s="29" t="n">
        <v>137.019394</v>
      </c>
      <c r="X70" s="29" t="n">
        <v>142.667892</v>
      </c>
      <c r="Y70" s="29" t="n">
        <v>147.87735</v>
      </c>
      <c r="Z70" s="29" t="n">
        <v>152.684433</v>
      </c>
      <c r="AA70" s="29" t="n">
        <v>157.092545</v>
      </c>
      <c r="AB70" s="29" t="n">
        <v>161.152039</v>
      </c>
      <c r="AC70" s="29" t="n">
        <v>164.863602</v>
      </c>
      <c r="AD70" s="29" t="n">
        <v>168.23996</v>
      </c>
      <c r="AE70" s="29" t="n">
        <v>171.312378</v>
      </c>
      <c r="AF70" s="29" t="n">
        <v>174.087372</v>
      </c>
      <c r="AG70" s="29" t="n">
        <v>176.568344</v>
      </c>
      <c r="AH70" s="29" t="n">
        <v>178.795242</v>
      </c>
      <c r="AI70" s="25" t="n">
        <v>0.026151</v>
      </c>
    </row>
    <row r="71" ht="15.75" customHeight="1" s="74">
      <c r="A71" s="2" t="n"/>
      <c r="B71" s="2" t="n"/>
    </row>
    <row r="72" ht="15" customHeight="1" s="74">
      <c r="A72" s="2" t="n"/>
      <c r="B72" s="22" t="inlineStr">
        <is>
          <t xml:space="preserve"> Refrigeration</t>
        </is>
      </c>
    </row>
    <row r="73" ht="15" customHeight="1" s="74">
      <c r="A73" s="20" t="inlineStr">
        <is>
          <t>CST000:ka_Electricity</t>
        </is>
      </c>
      <c r="B73" s="23" t="inlineStr">
        <is>
          <t xml:space="preserve">   Electricity</t>
        </is>
      </c>
      <c r="C73" s="29" t="n">
        <v>2.659338</v>
      </c>
      <c r="D73" s="29" t="n">
        <v>2.679517</v>
      </c>
      <c r="E73" s="29" t="n">
        <v>2.709005</v>
      </c>
      <c r="F73" s="29" t="n">
        <v>2.741957</v>
      </c>
      <c r="G73" s="29" t="n">
        <v>2.771484</v>
      </c>
      <c r="H73" s="29" t="n">
        <v>2.797941</v>
      </c>
      <c r="I73" s="29" t="n">
        <v>2.821755</v>
      </c>
      <c r="J73" s="29" t="n">
        <v>2.843117</v>
      </c>
      <c r="K73" s="29" t="n">
        <v>2.862282</v>
      </c>
      <c r="L73" s="29" t="n">
        <v>2.87938</v>
      </c>
      <c r="M73" s="29" t="n">
        <v>2.894619</v>
      </c>
      <c r="N73" s="29" t="n">
        <v>2.9168</v>
      </c>
      <c r="O73" s="29" t="n">
        <v>2.936398</v>
      </c>
      <c r="P73" s="29" t="n">
        <v>2.953776</v>
      </c>
      <c r="Q73" s="29" t="n">
        <v>2.969258</v>
      </c>
      <c r="R73" s="29" t="n">
        <v>2.983001</v>
      </c>
      <c r="S73" s="29" t="n">
        <v>2.995165</v>
      </c>
      <c r="T73" s="29" t="n">
        <v>3.005922</v>
      </c>
      <c r="U73" s="29" t="n">
        <v>3.01545</v>
      </c>
      <c r="V73" s="29" t="n">
        <v>3.023937</v>
      </c>
      <c r="W73" s="29" t="n">
        <v>3.031407</v>
      </c>
      <c r="X73" s="29" t="n">
        <v>3.039879</v>
      </c>
      <c r="Y73" s="29" t="n">
        <v>3.047404</v>
      </c>
      <c r="Z73" s="29" t="n">
        <v>3.054075</v>
      </c>
      <c r="AA73" s="29" t="n">
        <v>3.059897</v>
      </c>
      <c r="AB73" s="29" t="n">
        <v>3.065056</v>
      </c>
      <c r="AC73" s="29" t="n">
        <v>3.069611</v>
      </c>
      <c r="AD73" s="29" t="n">
        <v>3.073615</v>
      </c>
      <c r="AE73" s="29" t="n">
        <v>3.077151</v>
      </c>
      <c r="AF73" s="29" t="n">
        <v>3.080261</v>
      </c>
      <c r="AG73" s="29" t="n">
        <v>3.083001</v>
      </c>
      <c r="AH73" s="29" t="n">
        <v>3.085356</v>
      </c>
      <c r="AI73" s="25" t="n">
        <v>0.004805</v>
      </c>
    </row>
    <row r="74" ht="15.75" customHeight="1" s="74">
      <c r="A74" s="2" t="n"/>
      <c r="B74" s="2" t="n"/>
    </row>
    <row r="75" ht="15" customHeight="1" s="74">
      <c r="A75" s="2" t="n"/>
      <c r="B75" s="22" t="inlineStr">
        <is>
          <t xml:space="preserve"> Distributed Generation and</t>
        </is>
      </c>
    </row>
    <row r="76" ht="15" customHeight="1" s="74">
      <c r="A76" s="2" t="n"/>
      <c r="B76" s="22" t="inlineStr">
        <is>
          <t xml:space="preserve"> Combined Heat and Power</t>
        </is>
      </c>
    </row>
    <row r="77" ht="15" customHeight="1" s="74">
      <c r="A77" s="2" t="n"/>
      <c r="B77" s="22" t="inlineStr">
        <is>
          <t xml:space="preserve">   Generating Capacity (gigawatts)</t>
        </is>
      </c>
    </row>
    <row r="78" ht="15" customHeight="1" s="74">
      <c r="A78" s="20" t="inlineStr">
        <is>
          <t>CST000:dgc_Petroleum</t>
        </is>
      </c>
      <c r="B78" s="23" t="inlineStr">
        <is>
          <t xml:space="preserve">     Petroleum</t>
        </is>
      </c>
      <c r="C78" s="28" t="n">
        <v>0.021495</v>
      </c>
      <c r="D78" s="28" t="n">
        <v>0.021495</v>
      </c>
      <c r="E78" s="28" t="n">
        <v>0.021495</v>
      </c>
      <c r="F78" s="28" t="n">
        <v>0.021495</v>
      </c>
      <c r="G78" s="28" t="n">
        <v>0.021495</v>
      </c>
      <c r="H78" s="28" t="n">
        <v>0.021495</v>
      </c>
      <c r="I78" s="28" t="n">
        <v>0.021495</v>
      </c>
      <c r="J78" s="28" t="n">
        <v>0.021495</v>
      </c>
      <c r="K78" s="28" t="n">
        <v>0.021495</v>
      </c>
      <c r="L78" s="28" t="n">
        <v>0.021495</v>
      </c>
      <c r="M78" s="28" t="n">
        <v>0.021495</v>
      </c>
      <c r="N78" s="28" t="n">
        <v>0.021495</v>
      </c>
      <c r="O78" s="28" t="n">
        <v>0.021495</v>
      </c>
      <c r="P78" s="28" t="n">
        <v>0.021495</v>
      </c>
      <c r="Q78" s="28" t="n">
        <v>0.021495</v>
      </c>
      <c r="R78" s="28" t="n">
        <v>0.021495</v>
      </c>
      <c r="S78" s="28" t="n">
        <v>0.021495</v>
      </c>
      <c r="T78" s="28" t="n">
        <v>0.021495</v>
      </c>
      <c r="U78" s="28" t="n">
        <v>0.021495</v>
      </c>
      <c r="V78" s="28" t="n">
        <v>0.021495</v>
      </c>
      <c r="W78" s="28" t="n">
        <v>0.021495</v>
      </c>
      <c r="X78" s="28" t="n">
        <v>0.021495</v>
      </c>
      <c r="Y78" s="28" t="n">
        <v>0.021495</v>
      </c>
      <c r="Z78" s="28" t="n">
        <v>0.021495</v>
      </c>
      <c r="AA78" s="28" t="n">
        <v>0.021495</v>
      </c>
      <c r="AB78" s="28" t="n">
        <v>0.021495</v>
      </c>
      <c r="AC78" s="28" t="n">
        <v>0.021495</v>
      </c>
      <c r="AD78" s="28" t="n">
        <v>0.021495</v>
      </c>
      <c r="AE78" s="28" t="n">
        <v>0.021495</v>
      </c>
      <c r="AF78" s="28" t="n">
        <v>0.021495</v>
      </c>
      <c r="AG78" s="28" t="n">
        <v>0.021495</v>
      </c>
      <c r="AH78" s="28" t="n">
        <v>0.021495</v>
      </c>
      <c r="AI78" s="25" t="n">
        <v>0</v>
      </c>
    </row>
    <row r="79" ht="15" customHeight="1" s="74">
      <c r="A79" s="20" t="inlineStr">
        <is>
          <t>CST000:dgc_NaturalGas</t>
        </is>
      </c>
      <c r="B79" s="23" t="inlineStr">
        <is>
          <t xml:space="preserve">     Natural Gas</t>
        </is>
      </c>
      <c r="C79" s="28" t="n">
        <v>1.446734</v>
      </c>
      <c r="D79" s="28" t="n">
        <v>1.484507</v>
      </c>
      <c r="E79" s="28" t="n">
        <v>1.516112</v>
      </c>
      <c r="F79" s="28" t="n">
        <v>1.543374</v>
      </c>
      <c r="G79" s="28" t="n">
        <v>1.566013</v>
      </c>
      <c r="H79" s="28" t="n">
        <v>1.587561</v>
      </c>
      <c r="I79" s="28" t="n">
        <v>1.609207</v>
      </c>
      <c r="J79" s="28" t="n">
        <v>1.631227</v>
      </c>
      <c r="K79" s="28" t="n">
        <v>1.649275</v>
      </c>
      <c r="L79" s="28" t="n">
        <v>1.664576</v>
      </c>
      <c r="M79" s="28" t="n">
        <v>1.67997</v>
      </c>
      <c r="N79" s="28" t="n">
        <v>1.696677</v>
      </c>
      <c r="O79" s="28" t="n">
        <v>1.713018</v>
      </c>
      <c r="P79" s="28" t="n">
        <v>1.728432</v>
      </c>
      <c r="Q79" s="28" t="n">
        <v>1.746989</v>
      </c>
      <c r="R79" s="28" t="n">
        <v>1.762705</v>
      </c>
      <c r="S79" s="28" t="n">
        <v>1.777228</v>
      </c>
      <c r="T79" s="28" t="n">
        <v>1.792215</v>
      </c>
      <c r="U79" s="28" t="n">
        <v>1.806163</v>
      </c>
      <c r="V79" s="28" t="n">
        <v>1.82397</v>
      </c>
      <c r="W79" s="28" t="n">
        <v>1.838649</v>
      </c>
      <c r="X79" s="28" t="n">
        <v>1.852565</v>
      </c>
      <c r="Y79" s="28" t="n">
        <v>1.869022</v>
      </c>
      <c r="Z79" s="28" t="n">
        <v>1.88794</v>
      </c>
      <c r="AA79" s="28" t="n">
        <v>1.902329</v>
      </c>
      <c r="AB79" s="28" t="n">
        <v>1.920033</v>
      </c>
      <c r="AC79" s="28" t="n">
        <v>1.93468</v>
      </c>
      <c r="AD79" s="28" t="n">
        <v>1.949327</v>
      </c>
      <c r="AE79" s="28" t="n">
        <v>1.965328</v>
      </c>
      <c r="AF79" s="28" t="n">
        <v>1.980209</v>
      </c>
      <c r="AG79" s="28" t="n">
        <v>1.995049</v>
      </c>
      <c r="AH79" s="28" t="n">
        <v>2.009929</v>
      </c>
      <c r="AI79" s="25" t="n">
        <v>0.010663</v>
      </c>
    </row>
    <row r="80" ht="15" customHeight="1" s="74">
      <c r="A80" s="20" t="inlineStr">
        <is>
          <t>CST000:dgc_SolarPhoto</t>
        </is>
      </c>
      <c r="B80" s="23" t="inlineStr">
        <is>
          <t xml:space="preserve">     Solar Photovoltaic</t>
        </is>
      </c>
      <c r="C80" s="28" t="n">
        <v>14.908907</v>
      </c>
      <c r="D80" s="28" t="n">
        <v>17.741758</v>
      </c>
      <c r="E80" s="28" t="n">
        <v>20.580715</v>
      </c>
      <c r="F80" s="28" t="n">
        <v>22.638567</v>
      </c>
      <c r="G80" s="28" t="n">
        <v>23.769951</v>
      </c>
      <c r="H80" s="28" t="n">
        <v>24.422661</v>
      </c>
      <c r="I80" s="28" t="n">
        <v>25.725832</v>
      </c>
      <c r="J80" s="28" t="n">
        <v>27.033279</v>
      </c>
      <c r="K80" s="28" t="n">
        <v>28.281988</v>
      </c>
      <c r="L80" s="28" t="n">
        <v>29.205769</v>
      </c>
      <c r="M80" s="28" t="n">
        <v>30.168118</v>
      </c>
      <c r="N80" s="28" t="n">
        <v>31.38924</v>
      </c>
      <c r="O80" s="28" t="n">
        <v>31.883095</v>
      </c>
      <c r="P80" s="28" t="n">
        <v>32.279797</v>
      </c>
      <c r="Q80" s="28" t="n">
        <v>32.968891</v>
      </c>
      <c r="R80" s="28" t="n">
        <v>33.678925</v>
      </c>
      <c r="S80" s="28" t="n">
        <v>34.006584</v>
      </c>
      <c r="T80" s="28" t="n">
        <v>34.825134</v>
      </c>
      <c r="U80" s="28" t="n">
        <v>35.221157</v>
      </c>
      <c r="V80" s="28" t="n">
        <v>36.00745</v>
      </c>
      <c r="W80" s="28" t="n">
        <v>36.477673</v>
      </c>
      <c r="X80" s="28" t="n">
        <v>36.843765</v>
      </c>
      <c r="Y80" s="28" t="n">
        <v>37.346619</v>
      </c>
      <c r="Z80" s="28" t="n">
        <v>37.85318</v>
      </c>
      <c r="AA80" s="28" t="n">
        <v>38.311203</v>
      </c>
      <c r="AB80" s="28" t="n">
        <v>38.971264</v>
      </c>
      <c r="AC80" s="28" t="n">
        <v>39.456505</v>
      </c>
      <c r="AD80" s="28" t="n">
        <v>40.213673</v>
      </c>
      <c r="AE80" s="28" t="n">
        <v>40.861725</v>
      </c>
      <c r="AF80" s="28" t="n">
        <v>41.413315</v>
      </c>
      <c r="AG80" s="28" t="n">
        <v>41.787891</v>
      </c>
      <c r="AH80" s="28" t="n">
        <v>42.371319</v>
      </c>
      <c r="AI80" s="25" t="n">
        <v>0.034268</v>
      </c>
    </row>
    <row r="81" ht="15" customHeight="1" s="74">
      <c r="A81" s="20" t="inlineStr">
        <is>
          <t>CST000:dgc_WindPuffPuff</t>
        </is>
      </c>
      <c r="B81" s="23" t="inlineStr">
        <is>
          <t xml:space="preserve">     Wind</t>
        </is>
      </c>
      <c r="C81" s="28" t="n">
        <v>0.554881</v>
      </c>
      <c r="D81" s="28" t="n">
        <v>0.554958</v>
      </c>
      <c r="E81" s="28" t="n">
        <v>0.555656</v>
      </c>
      <c r="F81" s="28" t="n">
        <v>0.55582</v>
      </c>
      <c r="G81" s="28" t="n">
        <v>0.555929</v>
      </c>
      <c r="H81" s="28" t="n">
        <v>0.556555</v>
      </c>
      <c r="I81" s="28" t="n">
        <v>0.557754</v>
      </c>
      <c r="J81" s="28" t="n">
        <v>0.560314</v>
      </c>
      <c r="K81" s="28" t="n">
        <v>0.56268</v>
      </c>
      <c r="L81" s="28" t="n">
        <v>0.562717</v>
      </c>
      <c r="M81" s="28" t="n">
        <v>0.562754</v>
      </c>
      <c r="N81" s="28" t="n">
        <v>0.563812</v>
      </c>
      <c r="O81" s="28" t="n">
        <v>0.563883</v>
      </c>
      <c r="P81" s="28" t="n">
        <v>0.564065</v>
      </c>
      <c r="Q81" s="28" t="n">
        <v>0.564972</v>
      </c>
      <c r="R81" s="28" t="n">
        <v>0.565449</v>
      </c>
      <c r="S81" s="28" t="n">
        <v>0.565449</v>
      </c>
      <c r="T81" s="28" t="n">
        <v>0.565539</v>
      </c>
      <c r="U81" s="28" t="n">
        <v>0.565539</v>
      </c>
      <c r="V81" s="28" t="n">
        <v>0.566956</v>
      </c>
      <c r="W81" s="28" t="n">
        <v>0.568215</v>
      </c>
      <c r="X81" s="28" t="n">
        <v>0.568215</v>
      </c>
      <c r="Y81" s="28" t="n">
        <v>0.569989</v>
      </c>
      <c r="Z81" s="28" t="n">
        <v>0.570308</v>
      </c>
      <c r="AA81" s="28" t="n">
        <v>0.570308</v>
      </c>
      <c r="AB81" s="28" t="n">
        <v>0.570441</v>
      </c>
      <c r="AC81" s="28" t="n">
        <v>0.570476</v>
      </c>
      <c r="AD81" s="28" t="n">
        <v>0.570568</v>
      </c>
      <c r="AE81" s="28" t="n">
        <v>0.570695</v>
      </c>
      <c r="AF81" s="28" t="n">
        <v>0.570695</v>
      </c>
      <c r="AG81" s="28" t="n">
        <v>0.570695</v>
      </c>
      <c r="AH81" s="28" t="n">
        <v>0.570695</v>
      </c>
      <c r="AI81" s="25" t="n">
        <v>0.000907</v>
      </c>
    </row>
    <row r="82" ht="15" customHeight="1" s="74">
      <c r="A82" s="20" t="inlineStr">
        <is>
          <t>CST000:dgc_OtherOther</t>
        </is>
      </c>
      <c r="B82" s="23" t="inlineStr">
        <is>
          <t xml:space="preserve">     Other 5/</t>
        </is>
      </c>
      <c r="C82" s="28" t="n">
        <v>0.556372</v>
      </c>
      <c r="D82" s="28" t="n">
        <v>0.556372</v>
      </c>
      <c r="E82" s="28" t="n">
        <v>0.556372</v>
      </c>
      <c r="F82" s="28" t="n">
        <v>0.556372</v>
      </c>
      <c r="G82" s="28" t="n">
        <v>0.556372</v>
      </c>
      <c r="H82" s="28" t="n">
        <v>0.556372</v>
      </c>
      <c r="I82" s="28" t="n">
        <v>0.556372</v>
      </c>
      <c r="J82" s="28" t="n">
        <v>0.556372</v>
      </c>
      <c r="K82" s="28" t="n">
        <v>0.556372</v>
      </c>
      <c r="L82" s="28" t="n">
        <v>0.556372</v>
      </c>
      <c r="M82" s="28" t="n">
        <v>0.556372</v>
      </c>
      <c r="N82" s="28" t="n">
        <v>0.556372</v>
      </c>
      <c r="O82" s="28" t="n">
        <v>0.556372</v>
      </c>
      <c r="P82" s="28" t="n">
        <v>0.556372</v>
      </c>
      <c r="Q82" s="28" t="n">
        <v>0.556372</v>
      </c>
      <c r="R82" s="28" t="n">
        <v>0.556372</v>
      </c>
      <c r="S82" s="28" t="n">
        <v>0.556372</v>
      </c>
      <c r="T82" s="28" t="n">
        <v>0.556372</v>
      </c>
      <c r="U82" s="28" t="n">
        <v>0.556372</v>
      </c>
      <c r="V82" s="28" t="n">
        <v>0.556372</v>
      </c>
      <c r="W82" s="28" t="n">
        <v>0.556372</v>
      </c>
      <c r="X82" s="28" t="n">
        <v>0.556372</v>
      </c>
      <c r="Y82" s="28" t="n">
        <v>0.556372</v>
      </c>
      <c r="Z82" s="28" t="n">
        <v>0.556372</v>
      </c>
      <c r="AA82" s="28" t="n">
        <v>0.556372</v>
      </c>
      <c r="AB82" s="28" t="n">
        <v>0.556372</v>
      </c>
      <c r="AC82" s="28" t="n">
        <v>0.556372</v>
      </c>
      <c r="AD82" s="28" t="n">
        <v>0.556372</v>
      </c>
      <c r="AE82" s="28" t="n">
        <v>0.556372</v>
      </c>
      <c r="AF82" s="28" t="n">
        <v>0.556372</v>
      </c>
      <c r="AG82" s="28" t="n">
        <v>0.556372</v>
      </c>
      <c r="AH82" s="28" t="n">
        <v>0.556372</v>
      </c>
      <c r="AI82" s="25" t="n">
        <v>0</v>
      </c>
    </row>
    <row r="83" ht="15" customHeight="1" s="74">
      <c r="A83" s="20" t="inlineStr">
        <is>
          <t>CST000:dgc_TotalCap</t>
        </is>
      </c>
      <c r="B83" s="23" t="inlineStr">
        <is>
          <t xml:space="preserve">       Total</t>
        </is>
      </c>
      <c r="C83" s="28" t="n">
        <v>17.488388</v>
      </c>
      <c r="D83" s="28" t="n">
        <v>20.359089</v>
      </c>
      <c r="E83" s="28" t="n">
        <v>23.230349</v>
      </c>
      <c r="F83" s="28" t="n">
        <v>25.315628</v>
      </c>
      <c r="G83" s="28" t="n">
        <v>26.469759</v>
      </c>
      <c r="H83" s="28" t="n">
        <v>27.144642</v>
      </c>
      <c r="I83" s="28" t="n">
        <v>28.470659</v>
      </c>
      <c r="J83" s="28" t="n">
        <v>29.802687</v>
      </c>
      <c r="K83" s="28" t="n">
        <v>31.07181</v>
      </c>
      <c r="L83" s="28" t="n">
        <v>32.010929</v>
      </c>
      <c r="M83" s="28" t="n">
        <v>32.988708</v>
      </c>
      <c r="N83" s="28" t="n">
        <v>34.227596</v>
      </c>
      <c r="O83" s="28" t="n">
        <v>34.737865</v>
      </c>
      <c r="P83" s="28" t="n">
        <v>35.150162</v>
      </c>
      <c r="Q83" s="28" t="n">
        <v>35.858719</v>
      </c>
      <c r="R83" s="28" t="n">
        <v>36.584946</v>
      </c>
      <c r="S83" s="28" t="n">
        <v>36.927128</v>
      </c>
      <c r="T83" s="28" t="n">
        <v>37.760757</v>
      </c>
      <c r="U83" s="28" t="n">
        <v>38.170727</v>
      </c>
      <c r="V83" s="28" t="n">
        <v>38.976246</v>
      </c>
      <c r="W83" s="28" t="n">
        <v>39.462406</v>
      </c>
      <c r="X83" s="28" t="n">
        <v>39.842411</v>
      </c>
      <c r="Y83" s="28" t="n">
        <v>40.363499</v>
      </c>
      <c r="Z83" s="28" t="n">
        <v>40.889297</v>
      </c>
      <c r="AA83" s="28" t="n">
        <v>41.36171</v>
      </c>
      <c r="AB83" s="28" t="n">
        <v>42.039608</v>
      </c>
      <c r="AC83" s="28" t="n">
        <v>42.539528</v>
      </c>
      <c r="AD83" s="28" t="n">
        <v>43.311436</v>
      </c>
      <c r="AE83" s="28" t="n">
        <v>43.975616</v>
      </c>
      <c r="AF83" s="28" t="n">
        <v>44.542088</v>
      </c>
      <c r="AG83" s="28" t="n">
        <v>44.931503</v>
      </c>
      <c r="AH83" s="28" t="n">
        <v>45.529812</v>
      </c>
      <c r="AI83" s="25" t="n">
        <v>0.031347</v>
      </c>
    </row>
    <row r="84" ht="15" customHeight="1" s="74">
      <c r="A84" s="2" t="n"/>
      <c r="B84" s="22" t="inlineStr">
        <is>
          <t xml:space="preserve">   Net Generation (billion kilowatthours)</t>
        </is>
      </c>
    </row>
    <row r="85" ht="15" customHeight="1" s="74">
      <c r="A85" s="20" t="inlineStr">
        <is>
          <t>CST000:dgg_Petroleum</t>
        </is>
      </c>
      <c r="B85" s="23" t="inlineStr">
        <is>
          <t xml:space="preserve">     Petroleum</t>
        </is>
      </c>
      <c r="C85" s="28" t="n">
        <v>0.149925</v>
      </c>
      <c r="D85" s="28" t="n">
        <v>0.149925</v>
      </c>
      <c r="E85" s="28" t="n">
        <v>0.149925</v>
      </c>
      <c r="F85" s="28" t="n">
        <v>0.149925</v>
      </c>
      <c r="G85" s="28" t="n">
        <v>0.149925</v>
      </c>
      <c r="H85" s="28" t="n">
        <v>0.149925</v>
      </c>
      <c r="I85" s="28" t="n">
        <v>0.149925</v>
      </c>
      <c r="J85" s="28" t="n">
        <v>0.149925</v>
      </c>
      <c r="K85" s="28" t="n">
        <v>0.149925</v>
      </c>
      <c r="L85" s="28" t="n">
        <v>0.149925</v>
      </c>
      <c r="M85" s="28" t="n">
        <v>0.149925</v>
      </c>
      <c r="N85" s="28" t="n">
        <v>0.149925</v>
      </c>
      <c r="O85" s="28" t="n">
        <v>0.149925</v>
      </c>
      <c r="P85" s="28" t="n">
        <v>0.149925</v>
      </c>
      <c r="Q85" s="28" t="n">
        <v>0.149925</v>
      </c>
      <c r="R85" s="28" t="n">
        <v>0.149925</v>
      </c>
      <c r="S85" s="28" t="n">
        <v>0.149925</v>
      </c>
      <c r="T85" s="28" t="n">
        <v>0.149925</v>
      </c>
      <c r="U85" s="28" t="n">
        <v>0.149925</v>
      </c>
      <c r="V85" s="28" t="n">
        <v>0.149925</v>
      </c>
      <c r="W85" s="28" t="n">
        <v>0.149925</v>
      </c>
      <c r="X85" s="28" t="n">
        <v>0.149925</v>
      </c>
      <c r="Y85" s="28" t="n">
        <v>0.149925</v>
      </c>
      <c r="Z85" s="28" t="n">
        <v>0.149925</v>
      </c>
      <c r="AA85" s="28" t="n">
        <v>0.149925</v>
      </c>
      <c r="AB85" s="28" t="n">
        <v>0.149925</v>
      </c>
      <c r="AC85" s="28" t="n">
        <v>0.149925</v>
      </c>
      <c r="AD85" s="28" t="n">
        <v>0.149925</v>
      </c>
      <c r="AE85" s="28" t="n">
        <v>0.149925</v>
      </c>
      <c r="AF85" s="28" t="n">
        <v>0.149925</v>
      </c>
      <c r="AG85" s="28" t="n">
        <v>0.149925</v>
      </c>
      <c r="AH85" s="28" t="n">
        <v>0.149925</v>
      </c>
      <c r="AI85" s="25" t="n">
        <v>0</v>
      </c>
    </row>
    <row r="86" ht="15" customHeight="1" s="74">
      <c r="A86" s="20" t="inlineStr">
        <is>
          <t>CST000:dgg_NaturalGas</t>
        </is>
      </c>
      <c r="B86" s="23" t="inlineStr">
        <is>
          <t xml:space="preserve">     Natural Gas</t>
        </is>
      </c>
      <c r="C86" s="28" t="n">
        <v>10.090967</v>
      </c>
      <c r="D86" s="28" t="n">
        <v>10.354434</v>
      </c>
      <c r="E86" s="28" t="n">
        <v>10.57488</v>
      </c>
      <c r="F86" s="28" t="n">
        <v>10.765036</v>
      </c>
      <c r="G86" s="28" t="n">
        <v>10.922941</v>
      </c>
      <c r="H86" s="28" t="n">
        <v>11.073236</v>
      </c>
      <c r="I86" s="28" t="n">
        <v>11.22422</v>
      </c>
      <c r="J86" s="28" t="n">
        <v>11.377805</v>
      </c>
      <c r="K86" s="28" t="n">
        <v>11.503692</v>
      </c>
      <c r="L86" s="28" t="n">
        <v>11.610416</v>
      </c>
      <c r="M86" s="28" t="n">
        <v>11.717788</v>
      </c>
      <c r="N86" s="28" t="n">
        <v>11.834324</v>
      </c>
      <c r="O86" s="28" t="n">
        <v>11.948298</v>
      </c>
      <c r="P86" s="28" t="n">
        <v>12.055812</v>
      </c>
      <c r="Q86" s="28" t="n">
        <v>12.18525</v>
      </c>
      <c r="R86" s="28" t="n">
        <v>12.294869</v>
      </c>
      <c r="S86" s="28" t="n">
        <v>12.396165</v>
      </c>
      <c r="T86" s="28" t="n">
        <v>12.500697</v>
      </c>
      <c r="U86" s="28" t="n">
        <v>12.597983</v>
      </c>
      <c r="V86" s="28" t="n">
        <v>12.722192</v>
      </c>
      <c r="W86" s="28" t="n">
        <v>12.82458</v>
      </c>
      <c r="X86" s="28" t="n">
        <v>12.92164</v>
      </c>
      <c r="Y86" s="28" t="n">
        <v>13.036425</v>
      </c>
      <c r="Z86" s="28" t="n">
        <v>13.168379</v>
      </c>
      <c r="AA86" s="28" t="n">
        <v>13.268743</v>
      </c>
      <c r="AB86" s="28" t="n">
        <v>13.392224</v>
      </c>
      <c r="AC86" s="28" t="n">
        <v>13.49439</v>
      </c>
      <c r="AD86" s="28" t="n">
        <v>13.596555</v>
      </c>
      <c r="AE86" s="28" t="n">
        <v>13.708164</v>
      </c>
      <c r="AF86" s="28" t="n">
        <v>13.811955</v>
      </c>
      <c r="AG86" s="28" t="n">
        <v>13.915467</v>
      </c>
      <c r="AH86" s="28" t="n">
        <v>14.019253</v>
      </c>
      <c r="AI86" s="25" t="n">
        <v>0.010663</v>
      </c>
    </row>
    <row r="87" ht="15" customHeight="1" s="74">
      <c r="A87" s="20" t="inlineStr">
        <is>
          <t>CST000:dgg_SolarPhoto</t>
        </is>
      </c>
      <c r="B87" s="23" t="inlineStr">
        <is>
          <t xml:space="preserve">     Solar Photovoltaic</t>
        </is>
      </c>
      <c r="C87" s="28" t="n">
        <v>18.837549</v>
      </c>
      <c r="D87" s="28" t="n">
        <v>22.41691</v>
      </c>
      <c r="E87" s="28" t="n">
        <v>26.004009</v>
      </c>
      <c r="F87" s="28" t="n">
        <v>28.604086</v>
      </c>
      <c r="G87" s="28" t="n">
        <v>30.03356</v>
      </c>
      <c r="H87" s="28" t="n">
        <v>30.867208</v>
      </c>
      <c r="I87" s="28" t="n">
        <v>32.540672</v>
      </c>
      <c r="J87" s="28" t="n">
        <v>34.2019</v>
      </c>
      <c r="K87" s="28" t="n">
        <v>35.773468</v>
      </c>
      <c r="L87" s="28" t="n">
        <v>36.975719</v>
      </c>
      <c r="M87" s="28" t="n">
        <v>38.260967</v>
      </c>
      <c r="N87" s="28" t="n">
        <v>39.836559</v>
      </c>
      <c r="O87" s="28" t="n">
        <v>40.503922</v>
      </c>
      <c r="P87" s="28" t="n">
        <v>41.027443</v>
      </c>
      <c r="Q87" s="28" t="n">
        <v>41.899254</v>
      </c>
      <c r="R87" s="28" t="n">
        <v>42.818336</v>
      </c>
      <c r="S87" s="28" t="n">
        <v>43.256069</v>
      </c>
      <c r="T87" s="28" t="n">
        <v>44.29583</v>
      </c>
      <c r="U87" s="28" t="n">
        <v>44.822124</v>
      </c>
      <c r="V87" s="28" t="n">
        <v>45.788025</v>
      </c>
      <c r="W87" s="28" t="n">
        <v>46.380821</v>
      </c>
      <c r="X87" s="28" t="n">
        <v>46.859875</v>
      </c>
      <c r="Y87" s="28" t="n">
        <v>47.491077</v>
      </c>
      <c r="Z87" s="28" t="n">
        <v>48.106064</v>
      </c>
      <c r="AA87" s="28" t="n">
        <v>48.723824</v>
      </c>
      <c r="AB87" s="28" t="n">
        <v>49.537178</v>
      </c>
      <c r="AC87" s="28" t="n">
        <v>50.152237</v>
      </c>
      <c r="AD87" s="28" t="n">
        <v>51.137211</v>
      </c>
      <c r="AE87" s="28" t="n">
        <v>51.955509</v>
      </c>
      <c r="AF87" s="28" t="n">
        <v>52.66711</v>
      </c>
      <c r="AG87" s="28" t="n">
        <v>53.170837</v>
      </c>
      <c r="AH87" s="28" t="n">
        <v>53.918415</v>
      </c>
      <c r="AI87" s="25" t="n">
        <v>0.034505</v>
      </c>
    </row>
    <row r="88" ht="15" customHeight="1" s="74">
      <c r="A88" s="20" t="inlineStr">
        <is>
          <t>CST000:dgg_WindHuffHuff</t>
        </is>
      </c>
      <c r="B88" s="23" t="inlineStr">
        <is>
          <t xml:space="preserve">     Wind</t>
        </is>
      </c>
      <c r="C88" s="28" t="n">
        <v>0.755308</v>
      </c>
      <c r="D88" s="28" t="n">
        <v>0.7554110000000001</v>
      </c>
      <c r="E88" s="28" t="n">
        <v>0.756583</v>
      </c>
      <c r="F88" s="28" t="n">
        <v>0.75681</v>
      </c>
      <c r="G88" s="28" t="n">
        <v>0.756943</v>
      </c>
      <c r="H88" s="28" t="n">
        <v>0.757979</v>
      </c>
      <c r="I88" s="28" t="n">
        <v>0.7599129999999999</v>
      </c>
      <c r="J88" s="28" t="n">
        <v>0.764157</v>
      </c>
      <c r="K88" s="28" t="n">
        <v>0.768105</v>
      </c>
      <c r="L88" s="28" t="n">
        <v>0.76815</v>
      </c>
      <c r="M88" s="28" t="n">
        <v>0.768196</v>
      </c>
      <c r="N88" s="28" t="n">
        <v>0.769939</v>
      </c>
      <c r="O88" s="28" t="n">
        <v>0.770028</v>
      </c>
      <c r="P88" s="28" t="n">
        <v>0.770326</v>
      </c>
      <c r="Q88" s="28" t="n">
        <v>0.771841</v>
      </c>
      <c r="R88" s="28" t="n">
        <v>0.772625</v>
      </c>
      <c r="S88" s="28" t="n">
        <v>0.772625</v>
      </c>
      <c r="T88" s="28" t="n">
        <v>0.772776</v>
      </c>
      <c r="U88" s="28" t="n">
        <v>0.772776</v>
      </c>
      <c r="V88" s="28" t="n">
        <v>0.775156</v>
      </c>
      <c r="W88" s="28" t="n">
        <v>0.77727</v>
      </c>
      <c r="X88" s="28" t="n">
        <v>0.77727</v>
      </c>
      <c r="Y88" s="28" t="n">
        <v>0.7802480000000001</v>
      </c>
      <c r="Z88" s="28" t="n">
        <v>0.780775</v>
      </c>
      <c r="AA88" s="28" t="n">
        <v>0.780775</v>
      </c>
      <c r="AB88" s="28" t="n">
        <v>0.780999</v>
      </c>
      <c r="AC88" s="28" t="n">
        <v>0.781058</v>
      </c>
      <c r="AD88" s="28" t="n">
        <v>0.781196</v>
      </c>
      <c r="AE88" s="28" t="n">
        <v>0.781393</v>
      </c>
      <c r="AF88" s="28" t="n">
        <v>0.781393</v>
      </c>
      <c r="AG88" s="28" t="n">
        <v>0.781393</v>
      </c>
      <c r="AH88" s="28" t="n">
        <v>0.781393</v>
      </c>
      <c r="AI88" s="25" t="n">
        <v>0.001096</v>
      </c>
    </row>
    <row r="89" ht="15" customHeight="1" s="74">
      <c r="A89" s="20" t="inlineStr">
        <is>
          <t>CST000:dgg_OtherAutre</t>
        </is>
      </c>
      <c r="B89" s="23" t="inlineStr">
        <is>
          <t xml:space="preserve">     Other 5/</t>
        </is>
      </c>
      <c r="C89" s="28" t="n">
        <v>3.977071</v>
      </c>
      <c r="D89" s="28" t="n">
        <v>3.977071</v>
      </c>
      <c r="E89" s="28" t="n">
        <v>3.977071</v>
      </c>
      <c r="F89" s="28" t="n">
        <v>3.977071</v>
      </c>
      <c r="G89" s="28" t="n">
        <v>3.977071</v>
      </c>
      <c r="H89" s="28" t="n">
        <v>3.977071</v>
      </c>
      <c r="I89" s="28" t="n">
        <v>3.977071</v>
      </c>
      <c r="J89" s="28" t="n">
        <v>3.977071</v>
      </c>
      <c r="K89" s="28" t="n">
        <v>3.977071</v>
      </c>
      <c r="L89" s="28" t="n">
        <v>3.977071</v>
      </c>
      <c r="M89" s="28" t="n">
        <v>3.977071</v>
      </c>
      <c r="N89" s="28" t="n">
        <v>3.977071</v>
      </c>
      <c r="O89" s="28" t="n">
        <v>3.977071</v>
      </c>
      <c r="P89" s="28" t="n">
        <v>3.977071</v>
      </c>
      <c r="Q89" s="28" t="n">
        <v>3.977071</v>
      </c>
      <c r="R89" s="28" t="n">
        <v>3.977071</v>
      </c>
      <c r="S89" s="28" t="n">
        <v>3.977071</v>
      </c>
      <c r="T89" s="28" t="n">
        <v>3.977071</v>
      </c>
      <c r="U89" s="28" t="n">
        <v>3.977071</v>
      </c>
      <c r="V89" s="28" t="n">
        <v>3.977071</v>
      </c>
      <c r="W89" s="28" t="n">
        <v>3.977071</v>
      </c>
      <c r="X89" s="28" t="n">
        <v>3.977071</v>
      </c>
      <c r="Y89" s="28" t="n">
        <v>3.977071</v>
      </c>
      <c r="Z89" s="28" t="n">
        <v>3.977071</v>
      </c>
      <c r="AA89" s="28" t="n">
        <v>3.977071</v>
      </c>
      <c r="AB89" s="28" t="n">
        <v>3.977071</v>
      </c>
      <c r="AC89" s="28" t="n">
        <v>3.977071</v>
      </c>
      <c r="AD89" s="28" t="n">
        <v>3.977071</v>
      </c>
      <c r="AE89" s="28" t="n">
        <v>3.977071</v>
      </c>
      <c r="AF89" s="28" t="n">
        <v>3.977071</v>
      </c>
      <c r="AG89" s="28" t="n">
        <v>3.977071</v>
      </c>
      <c r="AH89" s="28" t="n">
        <v>3.977071</v>
      </c>
      <c r="AI89" s="25" t="n">
        <v>0</v>
      </c>
    </row>
    <row r="90" ht="15" customHeight="1" s="74">
      <c r="A90" s="20" t="inlineStr">
        <is>
          <t>CST000:dgg_TotalGen</t>
        </is>
      </c>
      <c r="B90" s="23" t="inlineStr">
        <is>
          <t xml:space="preserve">       Total</t>
        </is>
      </c>
      <c r="C90" s="28" t="n">
        <v>33.810822</v>
      </c>
      <c r="D90" s="28" t="n">
        <v>37.653751</v>
      </c>
      <c r="E90" s="28" t="n">
        <v>41.462467</v>
      </c>
      <c r="F90" s="28" t="n">
        <v>44.252926</v>
      </c>
      <c r="G90" s="28" t="n">
        <v>45.840439</v>
      </c>
      <c r="H90" s="28" t="n">
        <v>46.82542</v>
      </c>
      <c r="I90" s="28" t="n">
        <v>48.651802</v>
      </c>
      <c r="J90" s="28" t="n">
        <v>50.470856</v>
      </c>
      <c r="K90" s="28" t="n">
        <v>52.17226</v>
      </c>
      <c r="L90" s="28" t="n">
        <v>53.481281</v>
      </c>
      <c r="M90" s="28" t="n">
        <v>54.873947</v>
      </c>
      <c r="N90" s="28" t="n">
        <v>56.567818</v>
      </c>
      <c r="O90" s="28" t="n">
        <v>57.349243</v>
      </c>
      <c r="P90" s="28" t="n">
        <v>57.980576</v>
      </c>
      <c r="Q90" s="28" t="n">
        <v>58.983337</v>
      </c>
      <c r="R90" s="28" t="n">
        <v>60.012825</v>
      </c>
      <c r="S90" s="28" t="n">
        <v>60.551853</v>
      </c>
      <c r="T90" s="28" t="n">
        <v>61.696301</v>
      </c>
      <c r="U90" s="28" t="n">
        <v>62.319881</v>
      </c>
      <c r="V90" s="28" t="n">
        <v>63.412369</v>
      </c>
      <c r="W90" s="28" t="n">
        <v>64.109673</v>
      </c>
      <c r="X90" s="28" t="n">
        <v>64.685783</v>
      </c>
      <c r="Y90" s="28" t="n">
        <v>65.434746</v>
      </c>
      <c r="Z90" s="28" t="n">
        <v>66.18222</v>
      </c>
      <c r="AA90" s="28" t="n">
        <v>66.90033699999999</v>
      </c>
      <c r="AB90" s="28" t="n">
        <v>67.837395</v>
      </c>
      <c r="AC90" s="28" t="n">
        <v>68.554688</v>
      </c>
      <c r="AD90" s="28" t="n">
        <v>69.64196</v>
      </c>
      <c r="AE90" s="28" t="n">
        <v>70.572067</v>
      </c>
      <c r="AF90" s="28" t="n">
        <v>71.38745900000001</v>
      </c>
      <c r="AG90" s="28" t="n">
        <v>71.994698</v>
      </c>
      <c r="AH90" s="28" t="n">
        <v>72.846062</v>
      </c>
      <c r="AI90" s="25" t="n">
        <v>0.025069</v>
      </c>
    </row>
    <row r="91" ht="15" customHeight="1" s="74">
      <c r="A91" s="2" t="n"/>
      <c r="B91" s="22" t="inlineStr">
        <is>
          <t xml:space="preserve">     Disposition</t>
        </is>
      </c>
    </row>
    <row r="92" ht="15" customHeight="1" s="74">
      <c r="A92" s="20" t="inlineStr">
        <is>
          <t>CST000:dgg_SalestoGrid</t>
        </is>
      </c>
      <c r="B92" s="23" t="inlineStr">
        <is>
          <t xml:space="preserve">       Sales to the Grid</t>
        </is>
      </c>
      <c r="C92" s="28" t="n">
        <v>8.718859999999999</v>
      </c>
      <c r="D92" s="28" t="n">
        <v>8.936616000000001</v>
      </c>
      <c r="E92" s="28" t="n">
        <v>9.123497</v>
      </c>
      <c r="F92" s="28" t="n">
        <v>9.285192</v>
      </c>
      <c r="G92" s="28" t="n">
        <v>9.423916999999999</v>
      </c>
      <c r="H92" s="28" t="n">
        <v>9.547245999999999</v>
      </c>
      <c r="I92" s="28" t="n">
        <v>9.662477000000001</v>
      </c>
      <c r="J92" s="28" t="n">
        <v>9.772294</v>
      </c>
      <c r="K92" s="28" t="n">
        <v>9.878494999999999</v>
      </c>
      <c r="L92" s="28" t="n">
        <v>9.982142</v>
      </c>
      <c r="M92" s="28" t="n">
        <v>10.08639</v>
      </c>
      <c r="N92" s="28" t="n">
        <v>10.190894</v>
      </c>
      <c r="O92" s="28" t="n">
        <v>10.297149</v>
      </c>
      <c r="P92" s="28" t="n">
        <v>10.401873</v>
      </c>
      <c r="Q92" s="28" t="n">
        <v>10.506617</v>
      </c>
      <c r="R92" s="28" t="n">
        <v>10.609093</v>
      </c>
      <c r="S92" s="28" t="n">
        <v>10.707891</v>
      </c>
      <c r="T92" s="28" t="n">
        <v>10.804432</v>
      </c>
      <c r="U92" s="28" t="n">
        <v>10.899271</v>
      </c>
      <c r="V92" s="28" t="n">
        <v>10.994078</v>
      </c>
      <c r="W92" s="28" t="n">
        <v>11.08848</v>
      </c>
      <c r="X92" s="28" t="n">
        <v>11.1837</v>
      </c>
      <c r="Y92" s="28" t="n">
        <v>11.279997</v>
      </c>
      <c r="Z92" s="28" t="n">
        <v>11.377462</v>
      </c>
      <c r="AA92" s="28" t="n">
        <v>11.474934</v>
      </c>
      <c r="AB92" s="28" t="n">
        <v>11.573291</v>
      </c>
      <c r="AC92" s="28" t="n">
        <v>11.672315</v>
      </c>
      <c r="AD92" s="28" t="n">
        <v>11.771895</v>
      </c>
      <c r="AE92" s="28" t="n">
        <v>11.872509</v>
      </c>
      <c r="AF92" s="28" t="n">
        <v>11.973478</v>
      </c>
      <c r="AG92" s="28" t="n">
        <v>12.074737</v>
      </c>
      <c r="AH92" s="28" t="n">
        <v>12.175104</v>
      </c>
      <c r="AI92" s="25" t="n">
        <v>0.010829</v>
      </c>
    </row>
    <row r="93" ht="15" customHeight="1" s="74">
      <c r="A93" s="20" t="inlineStr">
        <is>
          <t>CST000:dgg_forOwnUse</t>
        </is>
      </c>
      <c r="B93" s="23" t="inlineStr">
        <is>
          <t xml:space="preserve">       Generation for Own Use</t>
        </is>
      </c>
      <c r="C93" s="28" t="n">
        <v>25.091959</v>
      </c>
      <c r="D93" s="28" t="n">
        <v>28.717133</v>
      </c>
      <c r="E93" s="28" t="n">
        <v>32.338974</v>
      </c>
      <c r="F93" s="28" t="n">
        <v>34.967735</v>
      </c>
      <c r="G93" s="28" t="n">
        <v>36.416523</v>
      </c>
      <c r="H93" s="28" t="n">
        <v>37.278172</v>
      </c>
      <c r="I93" s="28" t="n">
        <v>38.989326</v>
      </c>
      <c r="J93" s="28" t="n">
        <v>40.698566</v>
      </c>
      <c r="K93" s="28" t="n">
        <v>42.293766</v>
      </c>
      <c r="L93" s="28" t="n">
        <v>43.499138</v>
      </c>
      <c r="M93" s="28" t="n">
        <v>44.78756</v>
      </c>
      <c r="N93" s="28" t="n">
        <v>46.376923</v>
      </c>
      <c r="O93" s="28" t="n">
        <v>47.052094</v>
      </c>
      <c r="P93" s="28" t="n">
        <v>47.578701</v>
      </c>
      <c r="Q93" s="28" t="n">
        <v>48.476727</v>
      </c>
      <c r="R93" s="28" t="n">
        <v>49.403732</v>
      </c>
      <c r="S93" s="28" t="n">
        <v>49.843964</v>
      </c>
      <c r="T93" s="28" t="n">
        <v>50.891865</v>
      </c>
      <c r="U93" s="28" t="n">
        <v>51.420609</v>
      </c>
      <c r="V93" s="28" t="n">
        <v>52.418289</v>
      </c>
      <c r="W93" s="28" t="n">
        <v>53.021187</v>
      </c>
      <c r="X93" s="28" t="n">
        <v>53.502083</v>
      </c>
      <c r="Y93" s="28" t="n">
        <v>54.154751</v>
      </c>
      <c r="Z93" s="28" t="n">
        <v>54.804749</v>
      </c>
      <c r="AA93" s="28" t="n">
        <v>55.425404</v>
      </c>
      <c r="AB93" s="28" t="n">
        <v>56.264111</v>
      </c>
      <c r="AC93" s="28" t="n">
        <v>56.882366</v>
      </c>
      <c r="AD93" s="28" t="n">
        <v>57.87006</v>
      </c>
      <c r="AE93" s="28" t="n">
        <v>58.699554</v>
      </c>
      <c r="AF93" s="28" t="n">
        <v>59.413975</v>
      </c>
      <c r="AG93" s="28" t="n">
        <v>59.919956</v>
      </c>
      <c r="AH93" s="28" t="n">
        <v>60.670952</v>
      </c>
      <c r="AI93" s="25" t="n">
        <v>0.028891</v>
      </c>
    </row>
    <row r="94" ht="15" customHeight="1" s="74">
      <c r="A94" s="2" t="n"/>
      <c r="B94" s="22" t="inlineStr">
        <is>
          <t xml:space="preserve">   Energy Input (trillion Btu)</t>
        </is>
      </c>
    </row>
    <row r="95" ht="15" customHeight="1" s="74">
      <c r="A95" s="20" t="inlineStr">
        <is>
          <t>CST000:dge_Petroleum</t>
        </is>
      </c>
      <c r="B95" s="23" t="inlineStr">
        <is>
          <t xml:space="preserve">     Petroleum</t>
        </is>
      </c>
      <c r="C95" s="29" t="n">
        <v>1.542511</v>
      </c>
      <c r="D95" s="29" t="n">
        <v>1.542511</v>
      </c>
      <c r="E95" s="29" t="n">
        <v>1.542511</v>
      </c>
      <c r="F95" s="29" t="n">
        <v>1.542511</v>
      </c>
      <c r="G95" s="29" t="n">
        <v>1.542511</v>
      </c>
      <c r="H95" s="29" t="n">
        <v>1.542511</v>
      </c>
      <c r="I95" s="29" t="n">
        <v>1.542511</v>
      </c>
      <c r="J95" s="29" t="n">
        <v>1.542511</v>
      </c>
      <c r="K95" s="29" t="n">
        <v>1.542511</v>
      </c>
      <c r="L95" s="29" t="n">
        <v>1.542511</v>
      </c>
      <c r="M95" s="29" t="n">
        <v>1.542511</v>
      </c>
      <c r="N95" s="29" t="n">
        <v>1.542511</v>
      </c>
      <c r="O95" s="29" t="n">
        <v>1.542511</v>
      </c>
      <c r="P95" s="29" t="n">
        <v>1.542511</v>
      </c>
      <c r="Q95" s="29" t="n">
        <v>1.542511</v>
      </c>
      <c r="R95" s="29" t="n">
        <v>1.542511</v>
      </c>
      <c r="S95" s="29" t="n">
        <v>1.542511</v>
      </c>
      <c r="T95" s="29" t="n">
        <v>1.542511</v>
      </c>
      <c r="U95" s="29" t="n">
        <v>1.542511</v>
      </c>
      <c r="V95" s="29" t="n">
        <v>1.542511</v>
      </c>
      <c r="W95" s="29" t="n">
        <v>1.542511</v>
      </c>
      <c r="X95" s="29" t="n">
        <v>1.542511</v>
      </c>
      <c r="Y95" s="29" t="n">
        <v>1.542511</v>
      </c>
      <c r="Z95" s="29" t="n">
        <v>1.542511</v>
      </c>
      <c r="AA95" s="29" t="n">
        <v>1.542511</v>
      </c>
      <c r="AB95" s="29" t="n">
        <v>1.542511</v>
      </c>
      <c r="AC95" s="29" t="n">
        <v>1.542511</v>
      </c>
      <c r="AD95" s="29" t="n">
        <v>1.542511</v>
      </c>
      <c r="AE95" s="29" t="n">
        <v>1.542511</v>
      </c>
      <c r="AF95" s="29" t="n">
        <v>1.542511</v>
      </c>
      <c r="AG95" s="29" t="n">
        <v>1.542511</v>
      </c>
      <c r="AH95" s="29" t="n">
        <v>1.542511</v>
      </c>
      <c r="AI95" s="25" t="n">
        <v>0</v>
      </c>
    </row>
    <row r="96" ht="15" customHeight="1" s="74">
      <c r="A96" s="20" t="inlineStr">
        <is>
          <t>CST000:dge_NaturalGas</t>
        </is>
      </c>
      <c r="B96" s="23" t="inlineStr">
        <is>
          <t xml:space="preserve">     Natural Gas</t>
        </is>
      </c>
      <c r="C96" s="29" t="n">
        <v>108.984398</v>
      </c>
      <c r="D96" s="29" t="n">
        <v>111.247261</v>
      </c>
      <c r="E96" s="29" t="n">
        <v>113.168335</v>
      </c>
      <c r="F96" s="29" t="n">
        <v>114.869942</v>
      </c>
      <c r="G96" s="29" t="n">
        <v>116.313904</v>
      </c>
      <c r="H96" s="29" t="n">
        <v>117.754684</v>
      </c>
      <c r="I96" s="29" t="n">
        <v>119.261078</v>
      </c>
      <c r="J96" s="29" t="n">
        <v>120.840744</v>
      </c>
      <c r="K96" s="29" t="n">
        <v>122.134842</v>
      </c>
      <c r="L96" s="29" t="n">
        <v>123.227959</v>
      </c>
      <c r="M96" s="29" t="n">
        <v>124.343475</v>
      </c>
      <c r="N96" s="29" t="n">
        <v>125.574295</v>
      </c>
      <c r="O96" s="29" t="n">
        <v>126.773422</v>
      </c>
      <c r="P96" s="29" t="n">
        <v>127.901207</v>
      </c>
      <c r="Q96" s="29" t="n">
        <v>129.27887</v>
      </c>
      <c r="R96" s="29" t="n">
        <v>130.429031</v>
      </c>
      <c r="S96" s="29" t="n">
        <v>131.484482</v>
      </c>
      <c r="T96" s="29" t="n">
        <v>132.57547</v>
      </c>
      <c r="U96" s="29" t="n">
        <v>133.58194</v>
      </c>
      <c r="V96" s="29" t="n">
        <v>134.88887</v>
      </c>
      <c r="W96" s="29" t="n">
        <v>135.946838</v>
      </c>
      <c r="X96" s="29" t="n">
        <v>136.941254</v>
      </c>
      <c r="Y96" s="29" t="n">
        <v>138.133362</v>
      </c>
      <c r="Z96" s="29" t="n">
        <v>139.517151</v>
      </c>
      <c r="AA96" s="29" t="n">
        <v>140.546738</v>
      </c>
      <c r="AB96" s="29" t="n">
        <v>141.835022</v>
      </c>
      <c r="AC96" s="29" t="n">
        <v>142.88385</v>
      </c>
      <c r="AD96" s="29" t="n">
        <v>143.931671</v>
      </c>
      <c r="AE96" s="29" t="n">
        <v>145.084579</v>
      </c>
      <c r="AF96" s="29" t="n">
        <v>146.150131</v>
      </c>
      <c r="AG96" s="29" t="n">
        <v>147.211792</v>
      </c>
      <c r="AH96" s="29" t="n">
        <v>148.277206</v>
      </c>
      <c r="AI96" s="25" t="n">
        <v>0.009981</v>
      </c>
    </row>
    <row r="97" ht="15" customHeight="1" s="74">
      <c r="A97" s="20" t="inlineStr">
        <is>
          <t>CST000:dge_SolarPhoto</t>
        </is>
      </c>
      <c r="B97" s="23" t="inlineStr">
        <is>
          <t xml:space="preserve">     Solar Photovoltaic</t>
        </is>
      </c>
      <c r="C97" s="29" t="n">
        <v>162.357422</v>
      </c>
      <c r="D97" s="29" t="n">
        <v>191.327789</v>
      </c>
      <c r="E97" s="29" t="n">
        <v>221.054413</v>
      </c>
      <c r="F97" s="29" t="n">
        <v>238.786011</v>
      </c>
      <c r="G97" s="29" t="n">
        <v>246.300262</v>
      </c>
      <c r="H97" s="29" t="n">
        <v>250.510696</v>
      </c>
      <c r="I97" s="29" t="n">
        <v>263.858704</v>
      </c>
      <c r="J97" s="29" t="n">
        <v>273.08432</v>
      </c>
      <c r="K97" s="29" t="n">
        <v>283.308777</v>
      </c>
      <c r="L97" s="29" t="n">
        <v>292.916626</v>
      </c>
      <c r="M97" s="29" t="n">
        <v>302.750977</v>
      </c>
      <c r="N97" s="29" t="n">
        <v>315.289917</v>
      </c>
      <c r="O97" s="29" t="n">
        <v>322.943787</v>
      </c>
      <c r="P97" s="29" t="n">
        <v>327.390289</v>
      </c>
      <c r="Q97" s="29" t="n">
        <v>334.387451</v>
      </c>
      <c r="R97" s="29" t="n">
        <v>341.479065</v>
      </c>
      <c r="S97" s="29" t="n">
        <v>344.565491</v>
      </c>
      <c r="T97" s="29" t="n">
        <v>353.872986</v>
      </c>
      <c r="U97" s="29" t="n">
        <v>358.205811</v>
      </c>
      <c r="V97" s="29" t="n">
        <v>365.887573</v>
      </c>
      <c r="W97" s="29" t="n">
        <v>370.843201</v>
      </c>
      <c r="X97" s="29" t="n">
        <v>373.857941</v>
      </c>
      <c r="Y97" s="29" t="n">
        <v>379.099335</v>
      </c>
      <c r="Z97" s="29" t="n">
        <v>384.470398</v>
      </c>
      <c r="AA97" s="29" t="n">
        <v>391.798431</v>
      </c>
      <c r="AB97" s="29" t="n">
        <v>398.124878</v>
      </c>
      <c r="AC97" s="29" t="n">
        <v>403.38031</v>
      </c>
      <c r="AD97" s="29" t="n">
        <v>412.181091</v>
      </c>
      <c r="AE97" s="29" t="n">
        <v>417.623535</v>
      </c>
      <c r="AF97" s="29" t="n">
        <v>423.162933</v>
      </c>
      <c r="AG97" s="29" t="n">
        <v>427.260223</v>
      </c>
      <c r="AH97" s="29" t="n">
        <v>434.12146</v>
      </c>
      <c r="AI97" s="25" t="n">
        <v>0.032235</v>
      </c>
    </row>
    <row r="98" ht="15" customHeight="1" s="74">
      <c r="A98" s="20" t="inlineStr">
        <is>
          <t>CST000:dge_WindHuffHuff</t>
        </is>
      </c>
      <c r="B98" s="23" t="inlineStr">
        <is>
          <t xml:space="preserve">     Wind</t>
        </is>
      </c>
      <c r="C98" s="29" t="n">
        <v>7.070556</v>
      </c>
      <c r="D98" s="29" t="n">
        <v>7.008631</v>
      </c>
      <c r="E98" s="29" t="n">
        <v>7.007596</v>
      </c>
      <c r="F98" s="29" t="n">
        <v>6.916135</v>
      </c>
      <c r="G98" s="29" t="n">
        <v>6.806447</v>
      </c>
      <c r="H98" s="29" t="n">
        <v>6.739189</v>
      </c>
      <c r="I98" s="29" t="n">
        <v>6.752695</v>
      </c>
      <c r="J98" s="29" t="n">
        <v>6.612651</v>
      </c>
      <c r="K98" s="29" t="n">
        <v>6.617164</v>
      </c>
      <c r="L98" s="29" t="n">
        <v>6.603234</v>
      </c>
      <c r="M98" s="29" t="n">
        <v>6.596124</v>
      </c>
      <c r="N98" s="29" t="n">
        <v>6.591289</v>
      </c>
      <c r="O98" s="29" t="n">
        <v>6.602022</v>
      </c>
      <c r="P98" s="29" t="n">
        <v>6.591605</v>
      </c>
      <c r="Q98" s="29" t="n">
        <v>6.601078</v>
      </c>
      <c r="R98" s="29" t="n">
        <v>6.602411</v>
      </c>
      <c r="S98" s="29" t="n">
        <v>6.587645</v>
      </c>
      <c r="T98" s="29" t="n">
        <v>6.584236</v>
      </c>
      <c r="U98" s="29" t="n">
        <v>6.573673</v>
      </c>
      <c r="V98" s="29" t="n">
        <v>6.586798</v>
      </c>
      <c r="W98" s="29" t="n">
        <v>6.595723</v>
      </c>
      <c r="X98" s="29" t="n">
        <v>6.58151</v>
      </c>
      <c r="Y98" s="29" t="n">
        <v>6.596754</v>
      </c>
      <c r="Z98" s="29" t="n">
        <v>6.599933</v>
      </c>
      <c r="AA98" s="29" t="n">
        <v>6.600229</v>
      </c>
      <c r="AB98" s="29" t="n">
        <v>6.59593</v>
      </c>
      <c r="AC98" s="29" t="n">
        <v>6.599445</v>
      </c>
      <c r="AD98" s="29" t="n">
        <v>6.603709</v>
      </c>
      <c r="AE98" s="29" t="n">
        <v>6.601408</v>
      </c>
      <c r="AF98" s="29" t="n">
        <v>6.59709</v>
      </c>
      <c r="AG98" s="29" t="n">
        <v>6.595088</v>
      </c>
      <c r="AH98" s="29" t="n">
        <v>6.598248</v>
      </c>
      <c r="AI98" s="25" t="n">
        <v>-0.002228</v>
      </c>
    </row>
    <row r="99" ht="15" customHeight="1" s="74">
      <c r="A99" s="20" t="inlineStr">
        <is>
          <t>CST000:dge_AutreAutre</t>
        </is>
      </c>
      <c r="B99" s="23" t="inlineStr">
        <is>
          <t xml:space="preserve">     Other 5/</t>
        </is>
      </c>
      <c r="C99" s="29" t="n">
        <v>89.515327</v>
      </c>
      <c r="D99" s="29" t="n">
        <v>89.515327</v>
      </c>
      <c r="E99" s="29" t="n">
        <v>89.515327</v>
      </c>
      <c r="F99" s="29" t="n">
        <v>89.515327</v>
      </c>
      <c r="G99" s="29" t="n">
        <v>89.515327</v>
      </c>
      <c r="H99" s="29" t="n">
        <v>89.515327</v>
      </c>
      <c r="I99" s="29" t="n">
        <v>89.515327</v>
      </c>
      <c r="J99" s="29" t="n">
        <v>89.515327</v>
      </c>
      <c r="K99" s="29" t="n">
        <v>89.515327</v>
      </c>
      <c r="L99" s="29" t="n">
        <v>89.515327</v>
      </c>
      <c r="M99" s="29" t="n">
        <v>89.515327</v>
      </c>
      <c r="N99" s="29" t="n">
        <v>89.515327</v>
      </c>
      <c r="O99" s="29" t="n">
        <v>89.515327</v>
      </c>
      <c r="P99" s="29" t="n">
        <v>89.515327</v>
      </c>
      <c r="Q99" s="29" t="n">
        <v>89.515327</v>
      </c>
      <c r="R99" s="29" t="n">
        <v>89.515327</v>
      </c>
      <c r="S99" s="29" t="n">
        <v>89.515327</v>
      </c>
      <c r="T99" s="29" t="n">
        <v>89.515327</v>
      </c>
      <c r="U99" s="29" t="n">
        <v>89.515327</v>
      </c>
      <c r="V99" s="29" t="n">
        <v>89.515327</v>
      </c>
      <c r="W99" s="29" t="n">
        <v>89.515327</v>
      </c>
      <c r="X99" s="29" t="n">
        <v>89.515327</v>
      </c>
      <c r="Y99" s="29" t="n">
        <v>89.515327</v>
      </c>
      <c r="Z99" s="29" t="n">
        <v>89.515327</v>
      </c>
      <c r="AA99" s="29" t="n">
        <v>89.515327</v>
      </c>
      <c r="AB99" s="29" t="n">
        <v>89.515327</v>
      </c>
      <c r="AC99" s="29" t="n">
        <v>89.515327</v>
      </c>
      <c r="AD99" s="29" t="n">
        <v>89.515327</v>
      </c>
      <c r="AE99" s="29" t="n">
        <v>89.515327</v>
      </c>
      <c r="AF99" s="29" t="n">
        <v>89.515327</v>
      </c>
      <c r="AG99" s="29" t="n">
        <v>89.515327</v>
      </c>
      <c r="AH99" s="29" t="n">
        <v>89.515327</v>
      </c>
      <c r="AI99" s="25" t="n">
        <v>0</v>
      </c>
    </row>
    <row r="100" ht="15" customHeight="1" s="74">
      <c r="A100" s="20" t="inlineStr">
        <is>
          <t>CST000:dge_TotalGen</t>
        </is>
      </c>
      <c r="B100" s="23" t="inlineStr">
        <is>
          <t xml:space="preserve">       Total</t>
        </is>
      </c>
      <c r="C100" s="29" t="n">
        <v>369.470215</v>
      </c>
      <c r="D100" s="29" t="n">
        <v>400.64151</v>
      </c>
      <c r="E100" s="29" t="n">
        <v>432.288177</v>
      </c>
      <c r="F100" s="29" t="n">
        <v>451.629913</v>
      </c>
      <c r="G100" s="29" t="n">
        <v>460.478455</v>
      </c>
      <c r="H100" s="29" t="n">
        <v>466.062408</v>
      </c>
      <c r="I100" s="29" t="n">
        <v>480.930298</v>
      </c>
      <c r="J100" s="29" t="n">
        <v>491.595551</v>
      </c>
      <c r="K100" s="29" t="n">
        <v>503.118622</v>
      </c>
      <c r="L100" s="29" t="n">
        <v>513.805664</v>
      </c>
      <c r="M100" s="29" t="n">
        <v>524.748413</v>
      </c>
      <c r="N100" s="29" t="n">
        <v>538.513367</v>
      </c>
      <c r="O100" s="29" t="n">
        <v>547.377075</v>
      </c>
      <c r="P100" s="29" t="n">
        <v>552.940979</v>
      </c>
      <c r="Q100" s="29" t="n">
        <v>561.325256</v>
      </c>
      <c r="R100" s="29" t="n">
        <v>569.568359</v>
      </c>
      <c r="S100" s="29" t="n">
        <v>573.695435</v>
      </c>
      <c r="T100" s="29" t="n">
        <v>584.090515</v>
      </c>
      <c r="U100" s="29" t="n">
        <v>589.41925</v>
      </c>
      <c r="V100" s="29" t="n">
        <v>598.421082</v>
      </c>
      <c r="W100" s="29" t="n">
        <v>604.4436040000001</v>
      </c>
      <c r="X100" s="29" t="n">
        <v>608.438477</v>
      </c>
      <c r="Y100" s="29" t="n">
        <v>614.8872679999999</v>
      </c>
      <c r="Z100" s="29" t="n">
        <v>621.645264</v>
      </c>
      <c r="AA100" s="29" t="n">
        <v>630.003235</v>
      </c>
      <c r="AB100" s="29" t="n">
        <v>637.613708</v>
      </c>
      <c r="AC100" s="29" t="n">
        <v>643.921387</v>
      </c>
      <c r="AD100" s="29" t="n">
        <v>653.7742919999999</v>
      </c>
      <c r="AE100" s="29" t="n">
        <v>660.36731</v>
      </c>
      <c r="AF100" s="29" t="n">
        <v>666.968018</v>
      </c>
      <c r="AG100" s="29" t="n">
        <v>672.124939</v>
      </c>
      <c r="AH100" s="29" t="n">
        <v>680.054749</v>
      </c>
      <c r="AI100" s="25" t="n">
        <v>0.019876</v>
      </c>
    </row>
    <row r="101" ht="15" customHeight="1" s="74">
      <c r="A101" s="2" t="n"/>
      <c r="B101" s="2" t="n"/>
    </row>
    <row r="102" ht="15" customHeight="1" s="74">
      <c r="A102" s="2" t="n"/>
      <c r="B102" s="71" t="inlineStr">
        <is>
          <t xml:space="preserve">   1/ Excludes commercial sector energy consumption (from uses such as street lights or municipal water services) that is not</t>
        </is>
      </c>
      <c r="C102" s="72" t="n"/>
      <c r="D102" s="72" t="n"/>
      <c r="E102" s="72" t="n"/>
      <c r="F102" s="72" t="n"/>
      <c r="G102" s="72" t="n"/>
      <c r="H102" s="72" t="n"/>
      <c r="I102" s="72" t="n"/>
      <c r="J102" s="72" t="n"/>
      <c r="K102" s="72" t="n"/>
      <c r="L102" s="72" t="n"/>
      <c r="M102" s="72" t="n"/>
      <c r="N102" s="72" t="n"/>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row>
    <row r="103" ht="15" customHeight="1" s="74">
      <c r="A103" s="2" t="n"/>
      <c r="B103" s="30" t="inlineStr">
        <is>
          <t>attributable to buildings.</t>
        </is>
      </c>
    </row>
    <row r="104" ht="15" customHeight="1" s="74">
      <c r="A104" s="2" t="n"/>
      <c r="B104" s="30" t="inlineStr">
        <is>
          <t xml:space="preserve">   2/ Unless noted otherwise, the efficiency measures are in the terms of Btu of energy output divided by Btu of energy input.</t>
        </is>
      </c>
    </row>
    <row r="105" ht="15" customHeight="1" s="74">
      <c r="A105" s="2" t="n"/>
      <c r="B105" s="30" t="inlineStr">
        <is>
          <t xml:space="preserve">   3/ The efficiency measure for ventilation is in terms of cubic feet per minute (cfm) of ventilation air delivered divided</t>
        </is>
      </c>
    </row>
    <row r="106" ht="15" customHeight="1" s="74">
      <c r="A106" s="2" t="n"/>
      <c r="B106" s="30" t="inlineStr">
        <is>
          <t>by Btu of energy input.</t>
        </is>
      </c>
    </row>
    <row r="107" ht="15" customHeight="1" s="74">
      <c r="A107" s="2" t="n"/>
      <c r="B107" s="30" t="inlineStr">
        <is>
          <t xml:space="preserve">   4/ A measurement of the ratio of light produced by a light source to the electrical power used to produce that quantity of</t>
        </is>
      </c>
    </row>
    <row r="108" ht="15" customHeight="1" s="74">
      <c r="A108" s="2" t="n"/>
      <c r="B108" s="30" t="inlineStr">
        <is>
          <t>light, expressed in lumens per watt.</t>
        </is>
      </c>
    </row>
    <row r="109" ht="15" customHeight="1" s="74">
      <c r="A109" s="2" t="n"/>
      <c r="B109" s="30" t="inlineStr">
        <is>
          <t xml:space="preserve">   5/ May include coal, wood, municipal waste, and hydroelectric power.</t>
        </is>
      </c>
    </row>
    <row r="110" ht="15" customHeight="1" s="74">
      <c r="A110" s="2" t="n"/>
      <c r="B110" s="30" t="inlineStr">
        <is>
          <t xml:space="preserve">   Btu = British thermal unit.</t>
        </is>
      </c>
    </row>
    <row r="111" ht="15" customHeight="1" s="74">
      <c r="A111" s="2" t="n"/>
      <c r="B111" s="30" t="inlineStr">
        <is>
          <t xml:space="preserve">   Note:  Totals may not equal sum of components due to independent rounding.</t>
        </is>
      </c>
    </row>
    <row r="112" ht="15" customHeight="1" s="74">
      <c r="A112" s="2" t="n"/>
      <c r="B112" s="30" t="inlineStr">
        <is>
          <t xml:space="preserve">   Sources:  U.S. Energy Information Administration, AEO2020 National Energy Modeling System run ref2020.d112119a.</t>
        </is>
      </c>
    </row>
    <row r="113" ht="15.75" customHeight="1" s="74">
      <c r="A113" s="2" t="n"/>
      <c r="B113" s="2" t="n"/>
    </row>
    <row r="114" ht="15.75" customHeight="1" s="74">
      <c r="A114" s="2" t="n"/>
      <c r="B114" s="2" t="n"/>
    </row>
    <row r="115" ht="15.75" customHeight="1" s="74">
      <c r="A115" s="2" t="n"/>
      <c r="B115" s="2" t="n"/>
    </row>
    <row r="116" ht="15.75" customHeight="1" s="74">
      <c r="A116" s="2" t="n"/>
      <c r="B116" s="2" t="n"/>
    </row>
    <row r="117" ht="15.75" customHeight="1" s="74">
      <c r="A117" s="2" t="n"/>
      <c r="B117" s="2" t="n"/>
    </row>
    <row r="118" ht="15.75" customHeight="1" s="74">
      <c r="A118" s="2" t="n"/>
      <c r="B118" s="2" t="n"/>
    </row>
    <row r="119" ht="15.75" customHeight="1" s="74">
      <c r="A119" s="2" t="n"/>
      <c r="B119" s="2" t="n"/>
    </row>
    <row r="120" ht="15.75" customHeight="1" s="74">
      <c r="A120" s="2" t="n"/>
      <c r="B120" s="2" t="n"/>
    </row>
    <row r="121" ht="15.75" customHeight="1" s="74">
      <c r="A121" s="2" t="n"/>
      <c r="B121" s="2" t="n"/>
    </row>
    <row r="122" ht="15.75" customHeight="1" s="74">
      <c r="A122" s="2" t="n"/>
      <c r="B122" s="2" t="n"/>
    </row>
    <row r="123" ht="15.75" customHeight="1" s="74">
      <c r="A123" s="2" t="n"/>
      <c r="B123" s="2" t="n"/>
    </row>
    <row r="124" ht="15.75" customHeight="1" s="74">
      <c r="A124" s="2" t="n"/>
      <c r="B124" s="2" t="n"/>
    </row>
    <row r="125" ht="15.75" customHeight="1" s="74">
      <c r="A125" s="2" t="n"/>
      <c r="B125" s="2" t="n"/>
    </row>
    <row r="126" ht="15.75" customHeight="1" s="74">
      <c r="A126" s="2" t="n"/>
      <c r="B126" s="2" t="n"/>
    </row>
    <row r="127" ht="15.75" customHeight="1" s="74">
      <c r="A127" s="2" t="n"/>
      <c r="B127" s="2" t="n"/>
    </row>
    <row r="128" ht="15.75" customHeight="1" s="74">
      <c r="A128" s="2" t="n"/>
      <c r="B128" s="2" t="n"/>
    </row>
    <row r="129" ht="15.75" customHeight="1" s="74">
      <c r="A129" s="2" t="n"/>
      <c r="B129" s="2" t="n"/>
    </row>
    <row r="130" ht="15.75" customHeight="1" s="74">
      <c r="A130" s="2" t="n"/>
      <c r="B130" s="2" t="n"/>
    </row>
    <row r="131" ht="15.75" customHeight="1" s="74">
      <c r="A131" s="2" t="n"/>
      <c r="B131" s="2" t="n"/>
    </row>
    <row r="132" ht="15.75" customHeight="1" s="74">
      <c r="A132" s="2" t="n"/>
      <c r="B132" s="2" t="n"/>
    </row>
    <row r="133" ht="15.75" customHeight="1" s="74">
      <c r="A133" s="2" t="n"/>
      <c r="B133" s="2" t="n"/>
    </row>
    <row r="134" ht="15.75" customHeight="1" s="74">
      <c r="A134" s="2" t="n"/>
      <c r="B134" s="2" t="n"/>
    </row>
    <row r="135" ht="15.75" customHeight="1" s="74">
      <c r="A135" s="2" t="n"/>
      <c r="B135" s="2" t="n"/>
    </row>
    <row r="136" ht="15.75" customHeight="1" s="74">
      <c r="A136" s="2" t="n"/>
      <c r="B136" s="2" t="n"/>
    </row>
    <row r="137" ht="15.75" customHeight="1" s="74">
      <c r="A137" s="2" t="n"/>
      <c r="B137" s="2" t="n"/>
    </row>
    <row r="138" ht="15.75" customHeight="1" s="74">
      <c r="A138" s="2" t="n"/>
      <c r="B138" s="2" t="n"/>
    </row>
    <row r="139" ht="15.75" customHeight="1" s="74">
      <c r="A139" s="2" t="n"/>
      <c r="B139" s="2" t="n"/>
    </row>
    <row r="140" ht="15.75" customHeight="1" s="74">
      <c r="A140" s="2" t="n"/>
      <c r="B140" s="2" t="n"/>
    </row>
    <row r="141" ht="15.75" customHeight="1" s="74">
      <c r="A141" s="2" t="n"/>
      <c r="B141" s="2" t="n"/>
    </row>
    <row r="142" ht="15.75" customHeight="1" s="74">
      <c r="A142" s="2" t="n"/>
      <c r="B142" s="2" t="n"/>
    </row>
    <row r="143" ht="15.75" customHeight="1" s="74">
      <c r="A143" s="2" t="n"/>
      <c r="B143" s="2" t="n"/>
    </row>
    <row r="144" ht="15.75" customHeight="1" s="74">
      <c r="A144" s="2" t="n"/>
      <c r="B144" s="2" t="n"/>
    </row>
    <row r="145" ht="15.75" customHeight="1" s="74">
      <c r="A145" s="2" t="n"/>
      <c r="B145" s="2" t="n"/>
    </row>
    <row r="146" ht="15.75" customHeight="1" s="74">
      <c r="A146" s="2" t="n"/>
      <c r="B146" s="2" t="n"/>
    </row>
    <row r="147" ht="15.75" customHeight="1" s="74">
      <c r="A147" s="2" t="n"/>
      <c r="B147" s="2" t="n"/>
    </row>
    <row r="148" ht="15.75" customHeight="1" s="74">
      <c r="A148" s="2" t="n"/>
      <c r="B148" s="2" t="n"/>
    </row>
    <row r="149" ht="15.75" customHeight="1" s="74">
      <c r="A149" s="2" t="n"/>
      <c r="B149" s="2" t="n"/>
    </row>
    <row r="150" ht="15.75" customHeight="1" s="74">
      <c r="A150" s="2" t="n"/>
      <c r="B150" s="2" t="n"/>
    </row>
    <row r="151" ht="15.75" customHeight="1" s="74">
      <c r="A151" s="2" t="n"/>
      <c r="B151" s="2" t="n"/>
    </row>
    <row r="152" ht="15.75" customHeight="1" s="74">
      <c r="A152" s="2" t="n"/>
      <c r="B152" s="2" t="n"/>
    </row>
    <row r="153" ht="15.75" customHeight="1" s="74">
      <c r="A153" s="2" t="n"/>
      <c r="B153" s="2" t="n"/>
    </row>
    <row r="154" ht="15.75" customHeight="1" s="74">
      <c r="A154" s="2" t="n"/>
      <c r="B154" s="2" t="n"/>
    </row>
    <row r="155" ht="15.75" customHeight="1" s="74">
      <c r="A155" s="2" t="n"/>
      <c r="B155" s="2" t="n"/>
    </row>
    <row r="156" ht="15.75" customHeight="1" s="74">
      <c r="A156" s="2" t="n"/>
      <c r="B156" s="2" t="n"/>
    </row>
    <row r="157" ht="15.75" customHeight="1" s="74">
      <c r="A157" s="2" t="n"/>
      <c r="B157" s="2" t="n"/>
    </row>
    <row r="158" ht="15.75" customHeight="1" s="74">
      <c r="A158" s="2" t="n"/>
      <c r="B158" s="2" t="n"/>
    </row>
    <row r="159" ht="15.75" customHeight="1" s="74">
      <c r="A159" s="2" t="n"/>
      <c r="B159" s="2" t="n"/>
    </row>
    <row r="160" ht="15.75" customHeight="1" s="74">
      <c r="A160" s="2" t="n"/>
      <c r="B160" s="2" t="n"/>
    </row>
    <row r="161" ht="15.75" customHeight="1" s="74">
      <c r="A161" s="2" t="n"/>
      <c r="B161" s="2" t="n"/>
    </row>
    <row r="162" ht="15.75" customHeight="1" s="74">
      <c r="A162" s="2" t="n"/>
      <c r="B162" s="2" t="n"/>
    </row>
    <row r="163" ht="15.75" customHeight="1" s="74">
      <c r="A163" s="2" t="n"/>
      <c r="B163" s="2" t="n"/>
    </row>
    <row r="164" ht="15.75" customHeight="1" s="74">
      <c r="A164" s="2" t="n"/>
      <c r="B164" s="2" t="n"/>
    </row>
    <row r="165" ht="15.75" customHeight="1" s="74">
      <c r="A165" s="2" t="n"/>
      <c r="B165" s="2" t="n"/>
    </row>
    <row r="166" ht="15.75" customHeight="1" s="74">
      <c r="A166" s="2" t="n"/>
      <c r="B166" s="2" t="n"/>
    </row>
    <row r="167" ht="15.75" customHeight="1" s="74">
      <c r="A167" s="2" t="n"/>
      <c r="B167" s="2" t="n"/>
    </row>
    <row r="168" ht="15.75" customHeight="1" s="74">
      <c r="A168" s="2" t="n"/>
      <c r="B168" s="2" t="n"/>
    </row>
    <row r="169" ht="15.75" customHeight="1" s="74">
      <c r="A169" s="2" t="n"/>
      <c r="B169" s="2" t="n"/>
    </row>
    <row r="170" ht="15.75" customHeight="1" s="74">
      <c r="A170" s="2" t="n"/>
      <c r="B170" s="2" t="n"/>
    </row>
    <row r="171" ht="15.75" customHeight="1" s="74">
      <c r="A171" s="2" t="n"/>
      <c r="B171" s="2" t="n"/>
    </row>
    <row r="172" ht="15.75" customHeight="1" s="74">
      <c r="A172" s="2" t="n"/>
      <c r="B172" s="2" t="n"/>
    </row>
    <row r="173" ht="15.75" customHeight="1" s="74">
      <c r="A173" s="2" t="n"/>
      <c r="B173" s="2" t="n"/>
    </row>
    <row r="174" ht="15.75" customHeight="1" s="74">
      <c r="A174" s="2" t="n"/>
      <c r="B174" s="2" t="n"/>
    </row>
    <row r="175" ht="15.75" customHeight="1" s="74">
      <c r="A175" s="2" t="n"/>
      <c r="B175" s="2" t="n"/>
    </row>
    <row r="176" ht="15.75" customHeight="1" s="74">
      <c r="A176" s="2" t="n"/>
      <c r="B176" s="2" t="n"/>
    </row>
    <row r="177" ht="15.75" customHeight="1" s="74">
      <c r="A177" s="2" t="n"/>
      <c r="B177" s="2" t="n"/>
    </row>
    <row r="178" ht="15.75" customHeight="1" s="74">
      <c r="A178" s="2" t="n"/>
      <c r="B178" s="2" t="n"/>
    </row>
    <row r="179" ht="15.75" customHeight="1" s="74">
      <c r="A179" s="2" t="n"/>
      <c r="B179" s="2" t="n"/>
    </row>
    <row r="180" ht="15.75" customHeight="1" s="74">
      <c r="A180" s="2" t="n"/>
      <c r="B180" s="2" t="n"/>
    </row>
    <row r="181" ht="15.75" customHeight="1" s="74">
      <c r="A181" s="2" t="n"/>
      <c r="B181" s="2" t="n"/>
    </row>
    <row r="182" ht="15.75" customHeight="1" s="74">
      <c r="A182" s="2" t="n"/>
      <c r="B182" s="2" t="n"/>
    </row>
    <row r="183" ht="15.75" customHeight="1" s="74">
      <c r="A183" s="2" t="n"/>
      <c r="B183" s="2" t="n"/>
    </row>
    <row r="184" ht="15.75" customHeight="1" s="74">
      <c r="A184" s="2" t="n"/>
      <c r="B184" s="2" t="n"/>
    </row>
    <row r="185" ht="15.75" customHeight="1" s="74">
      <c r="A185" s="2" t="n"/>
      <c r="B185" s="2" t="n"/>
    </row>
    <row r="186" ht="15.75" customHeight="1" s="74">
      <c r="A186" s="2" t="n"/>
      <c r="B186" s="2" t="n"/>
    </row>
    <row r="187" ht="15.75" customHeight="1" s="74">
      <c r="A187" s="2" t="n"/>
      <c r="B187" s="2" t="n"/>
    </row>
    <row r="188" ht="15.75" customHeight="1" s="74">
      <c r="A188" s="2" t="n"/>
      <c r="B188" s="2" t="n"/>
    </row>
    <row r="189" ht="15.75" customHeight="1" s="74">
      <c r="A189" s="2" t="n"/>
      <c r="B189" s="2" t="n"/>
    </row>
    <row r="190" ht="15.75" customHeight="1" s="74">
      <c r="A190" s="2" t="n"/>
      <c r="B190" s="2" t="n"/>
    </row>
    <row r="191" ht="15.75" customHeight="1" s="74">
      <c r="A191" s="2" t="n"/>
      <c r="B191" s="2" t="n"/>
    </row>
    <row r="192" ht="15.75" customHeight="1" s="74">
      <c r="A192" s="2" t="n"/>
      <c r="B192" s="2" t="n"/>
    </row>
    <row r="193" ht="15.75" customHeight="1" s="74">
      <c r="A193" s="2" t="n"/>
      <c r="B193" s="2" t="n"/>
    </row>
    <row r="194" ht="15.75" customHeight="1" s="74">
      <c r="A194" s="2" t="n"/>
      <c r="B194" s="2" t="n"/>
    </row>
    <row r="195" ht="15.75" customHeight="1" s="74">
      <c r="A195" s="2" t="n"/>
      <c r="B195" s="2" t="n"/>
    </row>
    <row r="196" ht="15.75" customHeight="1" s="74">
      <c r="A196" s="2" t="n"/>
      <c r="B196" s="2" t="n"/>
    </row>
    <row r="197" ht="15.75" customHeight="1" s="74">
      <c r="A197" s="2" t="n"/>
      <c r="B197" s="2" t="n"/>
    </row>
    <row r="198" ht="15.75" customHeight="1" s="74">
      <c r="A198" s="2" t="n"/>
      <c r="B198" s="2" t="n"/>
    </row>
    <row r="199" ht="15.75" customHeight="1" s="74">
      <c r="A199" s="2" t="n"/>
      <c r="B199" s="2" t="n"/>
    </row>
    <row r="200" ht="15.75" customHeight="1" s="74">
      <c r="A200" s="2" t="n"/>
      <c r="B200" s="2" t="n"/>
    </row>
    <row r="201" ht="15.75" customHeight="1" s="74">
      <c r="A201" s="2" t="n"/>
      <c r="B201" s="2" t="n"/>
    </row>
    <row r="202" ht="15.75" customHeight="1" s="74">
      <c r="A202" s="2" t="n"/>
      <c r="B202" s="2" t="n"/>
    </row>
    <row r="203" ht="15.75" customHeight="1" s="74">
      <c r="A203" s="2" t="n"/>
      <c r="B203" s="2" t="n"/>
    </row>
    <row r="204" ht="15.75" customHeight="1" s="74">
      <c r="A204" s="2" t="n"/>
      <c r="B204" s="2" t="n"/>
    </row>
    <row r="205" ht="15.75" customHeight="1" s="74">
      <c r="A205" s="2" t="n"/>
      <c r="B205" s="2" t="n"/>
    </row>
    <row r="206" ht="15.75" customHeight="1" s="74">
      <c r="A206" s="2" t="n"/>
      <c r="B206" s="2" t="n"/>
    </row>
    <row r="207" ht="15.75" customHeight="1" s="74">
      <c r="A207" s="2" t="n"/>
      <c r="B207" s="2" t="n"/>
    </row>
    <row r="208" ht="15.75" customHeight="1" s="74">
      <c r="A208" s="2" t="n"/>
      <c r="B208" s="2" t="n"/>
    </row>
    <row r="209" ht="15.75" customHeight="1" s="74">
      <c r="A209" s="2" t="n"/>
      <c r="B209" s="2" t="n"/>
    </row>
    <row r="210" ht="15.75" customHeight="1" s="74">
      <c r="A210" s="2" t="n"/>
      <c r="B210" s="2" t="n"/>
    </row>
    <row r="211" ht="15.75" customHeight="1" s="74">
      <c r="A211" s="2" t="n"/>
      <c r="B211" s="2" t="n"/>
    </row>
    <row r="212" ht="15.75" customHeight="1" s="74">
      <c r="A212" s="2" t="n"/>
      <c r="B212" s="2" t="n"/>
    </row>
    <row r="213" ht="15.75" customHeight="1" s="74">
      <c r="A213" s="2" t="n"/>
      <c r="B213" s="2" t="n"/>
    </row>
    <row r="214" ht="15.75" customHeight="1" s="74">
      <c r="A214" s="2" t="n"/>
      <c r="B214" s="2" t="n"/>
    </row>
    <row r="215" ht="15.75" customHeight="1" s="74">
      <c r="A215" s="2" t="n"/>
      <c r="B215" s="2" t="n"/>
    </row>
    <row r="216" ht="15.75" customHeight="1" s="74">
      <c r="A216" s="2" t="n"/>
      <c r="B216" s="2" t="n"/>
    </row>
    <row r="217" ht="15.75" customHeight="1" s="74">
      <c r="A217" s="2" t="n"/>
      <c r="B217" s="2" t="n"/>
    </row>
    <row r="218" ht="15.75" customHeight="1" s="74">
      <c r="A218" s="2" t="n"/>
      <c r="B218" s="2" t="n"/>
    </row>
    <row r="219" ht="15.75" customHeight="1" s="74">
      <c r="A219" s="2" t="n"/>
      <c r="B219" s="2" t="n"/>
    </row>
    <row r="220" ht="15.75" customHeight="1" s="74">
      <c r="A220" s="2" t="n"/>
      <c r="B220" s="2" t="n"/>
    </row>
    <row r="221" ht="15.75" customHeight="1" s="74">
      <c r="A221" s="2" t="n"/>
      <c r="B221" s="2" t="n"/>
    </row>
    <row r="222" ht="15.75" customHeight="1" s="74">
      <c r="A222" s="2" t="n"/>
      <c r="B222" s="2" t="n"/>
    </row>
    <row r="223" ht="15.75" customHeight="1" s="74">
      <c r="A223" s="2" t="n"/>
      <c r="B223" s="2" t="n"/>
    </row>
    <row r="224" ht="15.75" customHeight="1" s="74">
      <c r="A224" s="2" t="n"/>
      <c r="B224" s="2" t="n"/>
    </row>
    <row r="225" ht="15.75" customHeight="1" s="74">
      <c r="A225" s="2" t="n"/>
      <c r="B225" s="2" t="n"/>
    </row>
    <row r="226" ht="15.75" customHeight="1" s="74">
      <c r="A226" s="2" t="n"/>
      <c r="B226" s="2" t="n"/>
    </row>
    <row r="227" ht="15.75" customHeight="1" s="74">
      <c r="A227" s="2" t="n"/>
      <c r="B227" s="2" t="n"/>
    </row>
    <row r="228" ht="15.75" customHeight="1" s="74">
      <c r="A228" s="2" t="n"/>
      <c r="B228" s="2" t="n"/>
    </row>
    <row r="229" ht="15.75" customHeight="1" s="74">
      <c r="A229" s="2" t="n"/>
      <c r="B229" s="2" t="n"/>
    </row>
    <row r="230" ht="15.75" customHeight="1" s="74">
      <c r="A230" s="2" t="n"/>
      <c r="B230" s="2" t="n"/>
    </row>
    <row r="231" ht="15.75" customHeight="1" s="74">
      <c r="A231" s="2" t="n"/>
      <c r="B231" s="2" t="n"/>
    </row>
    <row r="232" ht="15.75" customHeight="1" s="74">
      <c r="A232" s="2" t="n"/>
      <c r="B232" s="2" t="n"/>
    </row>
    <row r="233" ht="15.75" customHeight="1" s="74">
      <c r="A233" s="2" t="n"/>
      <c r="B233" s="2" t="n"/>
    </row>
    <row r="234" ht="15.75" customHeight="1" s="74">
      <c r="A234" s="2" t="n"/>
      <c r="B234" s="2" t="n"/>
    </row>
    <row r="235" ht="15.75" customHeight="1" s="74">
      <c r="A235" s="2" t="n"/>
      <c r="B235" s="2" t="n"/>
    </row>
    <row r="236" ht="15.75" customHeight="1" s="74">
      <c r="A236" s="2" t="n"/>
      <c r="B236" s="2" t="n"/>
    </row>
    <row r="237" ht="15.75" customHeight="1" s="74">
      <c r="A237" s="2" t="n"/>
      <c r="B237" s="2" t="n"/>
    </row>
    <row r="238" ht="15.75" customHeight="1" s="74">
      <c r="A238" s="2" t="n"/>
      <c r="B238" s="2" t="n"/>
    </row>
    <row r="239" ht="15.75" customHeight="1" s="74">
      <c r="A239" s="2" t="n"/>
      <c r="B239" s="2" t="n"/>
    </row>
    <row r="240" ht="15.75" customHeight="1" s="74">
      <c r="A240" s="2" t="n"/>
      <c r="B240" s="2" t="n"/>
    </row>
    <row r="241" ht="15.75" customHeight="1" s="74">
      <c r="A241" s="2" t="n"/>
      <c r="B241" s="2" t="n"/>
    </row>
    <row r="242" ht="15.75" customHeight="1" s="74">
      <c r="A242" s="2" t="n"/>
      <c r="B242" s="2" t="n"/>
    </row>
    <row r="243" ht="15.75" customHeight="1" s="74">
      <c r="A243" s="2" t="n"/>
      <c r="B243" s="2" t="n"/>
    </row>
    <row r="244" ht="15.75" customHeight="1" s="74">
      <c r="A244" s="2" t="n"/>
      <c r="B244" s="2" t="n"/>
    </row>
    <row r="245" ht="15.75" customHeight="1" s="74">
      <c r="A245" s="2" t="n"/>
      <c r="B245" s="2" t="n"/>
    </row>
    <row r="246" ht="15.75" customHeight="1" s="74">
      <c r="A246" s="2" t="n"/>
      <c r="B246" s="2" t="n"/>
    </row>
    <row r="247" ht="15.75" customHeight="1" s="74">
      <c r="A247" s="2" t="n"/>
      <c r="B247" s="2" t="n"/>
    </row>
    <row r="248" ht="15.75" customHeight="1" s="74">
      <c r="A248" s="2" t="n"/>
      <c r="B248" s="2" t="n"/>
    </row>
    <row r="249" ht="15.75" customHeight="1" s="74">
      <c r="A249" s="2" t="n"/>
      <c r="B249" s="2" t="n"/>
    </row>
    <row r="250" ht="15.75" customHeight="1" s="74">
      <c r="A250" s="2" t="n"/>
      <c r="B250" s="2" t="n"/>
    </row>
    <row r="251" ht="15.75" customHeight="1" s="74">
      <c r="A251" s="2" t="n"/>
      <c r="B251" s="2" t="n"/>
    </row>
    <row r="252" ht="15.75" customHeight="1" s="74">
      <c r="A252" s="2" t="n"/>
      <c r="B252" s="2" t="n"/>
    </row>
    <row r="253" ht="15.75" customHeight="1" s="74">
      <c r="A253" s="2" t="n"/>
      <c r="B253" s="2" t="n"/>
    </row>
    <row r="254" ht="15.75" customHeight="1" s="74">
      <c r="A254" s="2" t="n"/>
      <c r="B254" s="2" t="n"/>
    </row>
    <row r="255" ht="15.75" customHeight="1" s="74">
      <c r="A255" s="2" t="n"/>
      <c r="B255" s="2" t="n"/>
    </row>
    <row r="256" ht="15.75" customHeight="1" s="74">
      <c r="A256" s="2" t="n"/>
      <c r="B256" s="2" t="n"/>
    </row>
    <row r="257" ht="15.75" customHeight="1" s="74">
      <c r="A257" s="2" t="n"/>
      <c r="B257" s="2" t="n"/>
    </row>
    <row r="258" ht="15.75" customHeight="1" s="74">
      <c r="A258" s="2" t="n"/>
      <c r="B258" s="2" t="n"/>
    </row>
    <row r="259" ht="15.75" customHeight="1" s="74">
      <c r="A259" s="2" t="n"/>
      <c r="B259" s="2" t="n"/>
    </row>
    <row r="260" ht="15.75" customHeight="1" s="74">
      <c r="A260" s="2" t="n"/>
      <c r="B260" s="2" t="n"/>
    </row>
    <row r="261" ht="15.75" customHeight="1" s="74">
      <c r="A261" s="2" t="n"/>
      <c r="B261" s="2" t="n"/>
    </row>
    <row r="262" ht="15.75" customHeight="1" s="74">
      <c r="A262" s="2" t="n"/>
      <c r="B262" s="2" t="n"/>
    </row>
    <row r="263" ht="15.75" customHeight="1" s="74">
      <c r="A263" s="2" t="n"/>
      <c r="B263" s="2" t="n"/>
    </row>
    <row r="264" ht="15.75" customHeight="1" s="74">
      <c r="A264" s="2" t="n"/>
      <c r="B264" s="2" t="n"/>
    </row>
    <row r="265" ht="15.75" customHeight="1" s="74">
      <c r="A265" s="2" t="n"/>
      <c r="B265" s="2" t="n"/>
    </row>
    <row r="266" ht="15.75" customHeight="1" s="74">
      <c r="A266" s="2" t="n"/>
      <c r="B266" s="2" t="n"/>
    </row>
    <row r="267" ht="15.75" customHeight="1" s="74">
      <c r="A267" s="2" t="n"/>
      <c r="B267" s="2" t="n"/>
    </row>
    <row r="268" ht="15.75" customHeight="1" s="74">
      <c r="A268" s="2" t="n"/>
      <c r="B268" s="2" t="n"/>
    </row>
    <row r="269" ht="15.75" customHeight="1" s="74">
      <c r="A269" s="2" t="n"/>
      <c r="B269" s="2" t="n"/>
    </row>
    <row r="270" ht="15.75" customHeight="1" s="74">
      <c r="A270" s="2" t="n"/>
      <c r="B270" s="2" t="n"/>
    </row>
    <row r="271" ht="15.75" customHeight="1" s="74">
      <c r="A271" s="2" t="n"/>
      <c r="B271" s="2" t="n"/>
    </row>
    <row r="272" ht="15.75" customHeight="1" s="74">
      <c r="A272" s="2" t="n"/>
      <c r="B272" s="2" t="n"/>
    </row>
    <row r="273" ht="15.75" customHeight="1" s="74">
      <c r="A273" s="2" t="n"/>
      <c r="B273" s="2" t="n"/>
    </row>
    <row r="274" ht="15.75" customHeight="1" s="74">
      <c r="A274" s="2" t="n"/>
      <c r="B274" s="2" t="n"/>
    </row>
    <row r="275" ht="15.75" customHeight="1" s="74">
      <c r="A275" s="2" t="n"/>
      <c r="B275" s="2" t="n"/>
    </row>
    <row r="276" ht="15.75" customHeight="1" s="74">
      <c r="A276" s="2" t="n"/>
      <c r="B276" s="2" t="n"/>
    </row>
    <row r="277" ht="15.75" customHeight="1" s="74">
      <c r="A277" s="2" t="n"/>
      <c r="B277" s="2" t="n"/>
    </row>
    <row r="278" ht="15.75" customHeight="1" s="74">
      <c r="A278" s="2" t="n"/>
      <c r="B278" s="2" t="n"/>
    </row>
    <row r="279" ht="15.75" customHeight="1" s="74">
      <c r="A279" s="2" t="n"/>
      <c r="B279" s="2" t="n"/>
    </row>
    <row r="280" ht="15.75" customHeight="1" s="74">
      <c r="A280" s="2" t="n"/>
      <c r="B280" s="2" t="n"/>
    </row>
    <row r="281" ht="15.75" customHeight="1" s="74">
      <c r="A281" s="2" t="n"/>
      <c r="B281" s="2" t="n"/>
    </row>
    <row r="282" ht="15.75" customHeight="1" s="74">
      <c r="A282" s="2" t="n"/>
      <c r="B282" s="2" t="n"/>
    </row>
    <row r="283" ht="15.75" customHeight="1" s="74">
      <c r="A283" s="2" t="n"/>
      <c r="B283" s="2" t="n"/>
    </row>
    <row r="284" ht="15.75" customHeight="1" s="74">
      <c r="A284" s="2" t="n"/>
      <c r="B284" s="2" t="n"/>
    </row>
    <row r="285" ht="15.75" customHeight="1" s="74">
      <c r="A285" s="2" t="n"/>
      <c r="B285" s="2" t="n"/>
    </row>
    <row r="286" ht="15.75" customHeight="1" s="74">
      <c r="A286" s="2" t="n"/>
      <c r="B286" s="2" t="n"/>
    </row>
    <row r="287" ht="15.75" customHeight="1" s="74">
      <c r="A287" s="2" t="n"/>
      <c r="B287" s="2" t="n"/>
    </row>
    <row r="288" ht="15.75" customHeight="1" s="74">
      <c r="A288" s="2" t="n"/>
      <c r="B288" s="2" t="n"/>
    </row>
    <row r="289" ht="15.75" customHeight="1" s="74">
      <c r="A289" s="2" t="n"/>
      <c r="B289" s="2" t="n"/>
    </row>
    <row r="290" ht="15.75" customHeight="1" s="74">
      <c r="A290" s="2" t="n"/>
      <c r="B290" s="2" t="n"/>
    </row>
    <row r="291" ht="15.75" customHeight="1" s="74">
      <c r="A291" s="2" t="n"/>
      <c r="B291" s="2" t="n"/>
    </row>
    <row r="292" ht="15.75" customHeight="1" s="74">
      <c r="A292" s="2" t="n"/>
      <c r="B292" s="2" t="n"/>
    </row>
    <row r="293" ht="15.75" customHeight="1" s="74">
      <c r="A293" s="2" t="n"/>
      <c r="B293" s="2" t="n"/>
    </row>
    <row r="294" ht="15.75" customHeight="1" s="74">
      <c r="A294" s="2" t="n"/>
      <c r="B294" s="2" t="n"/>
    </row>
    <row r="295" ht="15.75" customHeight="1" s="74">
      <c r="A295" s="2" t="n"/>
      <c r="B295" s="2" t="n"/>
    </row>
    <row r="296" ht="15.75" customHeight="1" s="74">
      <c r="A296" s="2" t="n"/>
      <c r="B296" s="2" t="n"/>
    </row>
    <row r="297" ht="15.75" customHeight="1" s="74">
      <c r="A297" s="2" t="n"/>
      <c r="B297" s="2" t="n"/>
    </row>
    <row r="298" ht="15.75" customHeight="1" s="74">
      <c r="A298" s="2" t="n"/>
      <c r="B298" s="2" t="n"/>
    </row>
    <row r="299" ht="15.75" customHeight="1" s="74">
      <c r="A299" s="2" t="n"/>
      <c r="B299" s="2" t="n"/>
    </row>
    <row r="300" ht="15.75" customHeight="1" s="74">
      <c r="A300" s="2" t="n"/>
      <c r="B300" s="2" t="n"/>
    </row>
    <row r="301" ht="15.75" customHeight="1" s="74">
      <c r="A301" s="2" t="n"/>
      <c r="B301" s="2" t="n"/>
    </row>
    <row r="302" ht="15.75" customHeight="1" s="74">
      <c r="A302" s="2" t="n"/>
      <c r="B302" s="2" t="n"/>
    </row>
    <row r="303" ht="15.75" customHeight="1" s="74">
      <c r="A303" s="2" t="n"/>
      <c r="B303" s="2" t="n"/>
    </row>
    <row r="304" ht="15.75" customHeight="1" s="74">
      <c r="A304" s="2" t="n"/>
      <c r="B304" s="2" t="n"/>
    </row>
    <row r="305" ht="15.75" customHeight="1" s="74">
      <c r="A305" s="2" t="n"/>
      <c r="B305" s="2" t="n"/>
    </row>
    <row r="306" ht="15.75" customHeight="1" s="74">
      <c r="A306" s="2" t="n"/>
      <c r="B306" s="2" t="n"/>
    </row>
    <row r="307" ht="15.75" customHeight="1" s="74">
      <c r="A307" s="2" t="n"/>
      <c r="B307" s="2" t="n"/>
    </row>
    <row r="308" ht="15.75" customHeight="1" s="74">
      <c r="A308" s="2" t="n"/>
      <c r="B308" s="2" t="n"/>
    </row>
    <row r="309" ht="15.75" customHeight="1" s="74">
      <c r="A309" s="2" t="n"/>
      <c r="B309" s="2" t="n"/>
    </row>
    <row r="310" ht="15.75" customHeight="1" s="74">
      <c r="A310" s="2" t="n"/>
      <c r="B310" s="2" t="n"/>
    </row>
    <row r="311" ht="15.75" customHeight="1" s="74">
      <c r="A311" s="2" t="n"/>
      <c r="B311" s="2" t="n"/>
    </row>
    <row r="312" ht="15.75" customHeight="1" s="74">
      <c r="A312" s="2" t="n"/>
      <c r="B312" s="2" t="n"/>
    </row>
    <row r="313" ht="15.75" customHeight="1" s="74">
      <c r="A313" s="2" t="n"/>
      <c r="B313" s="2" t="n"/>
    </row>
    <row r="314" ht="15.75" customHeight="1" s="74">
      <c r="A314" s="2" t="n"/>
      <c r="B314" s="2" t="n"/>
    </row>
    <row r="315" ht="15.75" customHeight="1" s="74">
      <c r="A315" s="2" t="n"/>
      <c r="B315" s="2" t="n"/>
    </row>
    <row r="316" ht="15.75" customHeight="1" s="74">
      <c r="A316" s="2" t="n"/>
      <c r="B316" s="2" t="n"/>
    </row>
    <row r="317" ht="15.75" customHeight="1" s="74">
      <c r="A317" s="2" t="n"/>
      <c r="B317" s="2" t="n"/>
    </row>
    <row r="318" ht="15.75" customHeight="1" s="74">
      <c r="A318" s="2" t="n"/>
      <c r="B318" s="2" t="n"/>
    </row>
    <row r="319" ht="15.75" customHeight="1" s="74">
      <c r="A319" s="2" t="n"/>
      <c r="B319" s="2" t="n"/>
    </row>
    <row r="320" ht="15.75" customHeight="1" s="74">
      <c r="A320" s="2" t="n"/>
      <c r="B320" s="2" t="n"/>
    </row>
    <row r="321" ht="15.75" customHeight="1" s="74">
      <c r="A321" s="2" t="n"/>
      <c r="B321" s="2" t="n"/>
    </row>
    <row r="322" ht="15.75" customHeight="1" s="74">
      <c r="A322" s="2" t="n"/>
      <c r="B322" s="2" t="n"/>
    </row>
    <row r="323" ht="15.75" customHeight="1" s="74">
      <c r="A323" s="2" t="n"/>
      <c r="B323" s="2" t="n"/>
    </row>
    <row r="324" ht="15.75" customHeight="1" s="74">
      <c r="A324" s="2" t="n"/>
      <c r="B324" s="2" t="n"/>
    </row>
    <row r="325" ht="15.75" customHeight="1" s="74">
      <c r="A325" s="2" t="n"/>
      <c r="B325" s="2" t="n"/>
    </row>
    <row r="326" ht="15.75" customHeight="1" s="74">
      <c r="A326" s="2" t="n"/>
      <c r="B326" s="2" t="n"/>
    </row>
    <row r="327" ht="15.75" customHeight="1" s="74">
      <c r="A327" s="2" t="n"/>
      <c r="B327" s="2" t="n"/>
    </row>
    <row r="328" ht="15.75" customHeight="1" s="74">
      <c r="A328" s="2" t="n"/>
      <c r="B328" s="2" t="n"/>
    </row>
    <row r="329" ht="15.75" customHeight="1" s="74">
      <c r="A329" s="2" t="n"/>
      <c r="B329" s="2" t="n"/>
    </row>
    <row r="330" ht="15.75" customHeight="1" s="74">
      <c r="A330" s="2" t="n"/>
      <c r="B330" s="2" t="n"/>
    </row>
    <row r="331" ht="15.75" customHeight="1" s="74">
      <c r="A331" s="2" t="n"/>
      <c r="B331" s="2" t="n"/>
    </row>
    <row r="332" ht="15.75" customHeight="1" s="74">
      <c r="A332" s="2" t="n"/>
      <c r="B332" s="2" t="n"/>
    </row>
    <row r="333" ht="15.75" customHeight="1" s="74">
      <c r="A333" s="2" t="n"/>
      <c r="B333" s="2" t="n"/>
    </row>
    <row r="334" ht="15.75" customHeight="1" s="74">
      <c r="A334" s="2" t="n"/>
      <c r="B334" s="2" t="n"/>
    </row>
    <row r="335" ht="15.75" customHeight="1" s="74">
      <c r="A335" s="2" t="n"/>
      <c r="B335" s="2" t="n"/>
    </row>
    <row r="336" ht="15.75" customHeight="1" s="74">
      <c r="A336" s="2" t="n"/>
      <c r="B336" s="2" t="n"/>
    </row>
    <row r="337" ht="15.75" customHeight="1" s="74">
      <c r="A337" s="2" t="n"/>
      <c r="B337" s="2" t="n"/>
    </row>
    <row r="338" ht="15.75" customHeight="1" s="74">
      <c r="A338" s="2" t="n"/>
      <c r="B338" s="2" t="n"/>
    </row>
    <row r="339" ht="15.75" customHeight="1" s="74">
      <c r="A339" s="2" t="n"/>
      <c r="B339" s="2" t="n"/>
    </row>
    <row r="340" ht="15.75" customHeight="1" s="74">
      <c r="A340" s="2" t="n"/>
      <c r="B340" s="2" t="n"/>
    </row>
    <row r="341" ht="15.75" customHeight="1" s="74">
      <c r="A341" s="2" t="n"/>
      <c r="B341" s="2" t="n"/>
    </row>
    <row r="342" ht="15.75" customHeight="1" s="74">
      <c r="A342" s="2" t="n"/>
      <c r="B342" s="2" t="n"/>
    </row>
    <row r="343" ht="15.75" customHeight="1" s="74">
      <c r="A343" s="2" t="n"/>
      <c r="B343" s="2" t="n"/>
    </row>
    <row r="344" ht="15.75" customHeight="1" s="74">
      <c r="A344" s="2" t="n"/>
      <c r="B344" s="2" t="n"/>
    </row>
    <row r="345" ht="15.75" customHeight="1" s="74">
      <c r="A345" s="2" t="n"/>
      <c r="B345" s="2" t="n"/>
    </row>
    <row r="346" ht="15.75" customHeight="1" s="74">
      <c r="A346" s="2" t="n"/>
      <c r="B346" s="2" t="n"/>
    </row>
    <row r="347" ht="15.75" customHeight="1" s="74">
      <c r="A347" s="2" t="n"/>
      <c r="B347" s="2" t="n"/>
    </row>
    <row r="348" ht="15.75" customHeight="1" s="74">
      <c r="A348" s="2" t="n"/>
      <c r="B348" s="2" t="n"/>
    </row>
    <row r="349" ht="15.75" customHeight="1" s="74">
      <c r="A349" s="2" t="n"/>
      <c r="B349" s="2" t="n"/>
    </row>
    <row r="350" ht="15.75" customHeight="1" s="74">
      <c r="A350" s="2" t="n"/>
      <c r="B350" s="2" t="n"/>
    </row>
    <row r="351" ht="15.75" customHeight="1" s="74">
      <c r="A351" s="2" t="n"/>
      <c r="B351" s="2" t="n"/>
    </row>
    <row r="352" ht="15.75" customHeight="1" s="74">
      <c r="A352" s="2" t="n"/>
      <c r="B352" s="2" t="n"/>
    </row>
    <row r="353" ht="15.75" customHeight="1" s="74">
      <c r="A353" s="2" t="n"/>
      <c r="B353" s="2" t="n"/>
    </row>
    <row r="354" ht="15.75" customHeight="1" s="74">
      <c r="A354" s="2" t="n"/>
      <c r="B354" s="2" t="n"/>
    </row>
    <row r="355" ht="15.75" customHeight="1" s="74">
      <c r="A355" s="2" t="n"/>
      <c r="B355" s="2" t="n"/>
    </row>
    <row r="356" ht="15.75" customHeight="1" s="74">
      <c r="A356" s="2" t="n"/>
      <c r="B356" s="2" t="n"/>
    </row>
    <row r="357" ht="15.75" customHeight="1" s="74">
      <c r="A357" s="2" t="n"/>
      <c r="B357" s="2" t="n"/>
    </row>
    <row r="358" ht="15.75" customHeight="1" s="74">
      <c r="A358" s="2" t="n"/>
      <c r="B358" s="2" t="n"/>
    </row>
    <row r="359" ht="15.75" customHeight="1" s="74">
      <c r="A359" s="2" t="n"/>
      <c r="B359" s="2" t="n"/>
    </row>
    <row r="360" ht="15.75" customHeight="1" s="74">
      <c r="A360" s="2" t="n"/>
      <c r="B360" s="2" t="n"/>
    </row>
    <row r="361" ht="15.75" customHeight="1" s="74">
      <c r="A361" s="2" t="n"/>
      <c r="B361" s="2" t="n"/>
    </row>
    <row r="362" ht="15.75" customHeight="1" s="74">
      <c r="A362" s="2" t="n"/>
      <c r="B362" s="2" t="n"/>
    </row>
    <row r="363" ht="15.75" customHeight="1" s="74">
      <c r="A363" s="2" t="n"/>
      <c r="B363" s="2" t="n"/>
    </row>
    <row r="364" ht="15.75" customHeight="1" s="74">
      <c r="A364" s="2" t="n"/>
      <c r="B364" s="2" t="n"/>
    </row>
    <row r="365" ht="15.75" customHeight="1" s="74">
      <c r="A365" s="2" t="n"/>
      <c r="B365" s="2" t="n"/>
    </row>
    <row r="366" ht="15.75" customHeight="1" s="74">
      <c r="A366" s="2" t="n"/>
      <c r="B366" s="2" t="n"/>
    </row>
    <row r="367" ht="15.75" customHeight="1" s="74">
      <c r="A367" s="2" t="n"/>
      <c r="B367" s="2" t="n"/>
    </row>
    <row r="368" ht="15.75" customHeight="1" s="74">
      <c r="A368" s="2" t="n"/>
      <c r="B368" s="2" t="n"/>
    </row>
    <row r="369" ht="15.75" customHeight="1" s="74">
      <c r="A369" s="2" t="n"/>
      <c r="B369" s="2" t="n"/>
    </row>
    <row r="370" ht="15.75" customHeight="1" s="74">
      <c r="A370" s="2" t="n"/>
      <c r="B370" s="2" t="n"/>
    </row>
    <row r="371" ht="15.75" customHeight="1" s="74">
      <c r="A371" s="2" t="n"/>
      <c r="B371" s="2" t="n"/>
    </row>
    <row r="372" ht="15.75" customHeight="1" s="74">
      <c r="A372" s="2" t="n"/>
      <c r="B372" s="2" t="n"/>
    </row>
    <row r="373" ht="15.75" customHeight="1" s="74">
      <c r="A373" s="2" t="n"/>
      <c r="B373" s="2" t="n"/>
    </row>
    <row r="374" ht="15.75" customHeight="1" s="74">
      <c r="A374" s="2" t="n"/>
      <c r="B374" s="2" t="n"/>
    </row>
    <row r="375" ht="15.75" customHeight="1" s="74">
      <c r="A375" s="2" t="n"/>
      <c r="B375" s="2" t="n"/>
    </row>
    <row r="376" ht="15.75" customHeight="1" s="74">
      <c r="A376" s="2" t="n"/>
      <c r="B376" s="2" t="n"/>
    </row>
    <row r="377" ht="15.75" customHeight="1" s="74">
      <c r="A377" s="2" t="n"/>
      <c r="B377" s="2" t="n"/>
    </row>
    <row r="378" ht="15.75" customHeight="1" s="74">
      <c r="A378" s="2" t="n"/>
      <c r="B378" s="2" t="n"/>
    </row>
    <row r="379" ht="15.75" customHeight="1" s="74">
      <c r="A379" s="2" t="n"/>
      <c r="B379" s="2" t="n"/>
    </row>
    <row r="380" ht="15.75" customHeight="1" s="74">
      <c r="A380" s="2" t="n"/>
      <c r="B380" s="2" t="n"/>
    </row>
    <row r="381" ht="15.75" customHeight="1" s="74">
      <c r="A381" s="2" t="n"/>
      <c r="B381" s="2" t="n"/>
    </row>
    <row r="382" ht="15.75" customHeight="1" s="74">
      <c r="A382" s="2" t="n"/>
      <c r="B382" s="2" t="n"/>
    </row>
    <row r="383" ht="15.75" customHeight="1" s="74">
      <c r="A383" s="2" t="n"/>
      <c r="B383" s="2" t="n"/>
    </row>
    <row r="384" ht="15.75" customHeight="1" s="74">
      <c r="A384" s="2" t="n"/>
      <c r="B384" s="2" t="n"/>
    </row>
    <row r="385" ht="15.75" customHeight="1" s="74">
      <c r="A385" s="2" t="n"/>
      <c r="B385" s="2" t="n"/>
    </row>
    <row r="386" ht="15.75" customHeight="1" s="74">
      <c r="A386" s="2" t="n"/>
      <c r="B386" s="2" t="n"/>
    </row>
    <row r="387" ht="15.75" customHeight="1" s="74">
      <c r="A387" s="2" t="n"/>
      <c r="B387" s="2" t="n"/>
    </row>
    <row r="388" ht="15.75" customHeight="1" s="74">
      <c r="A388" s="2" t="n"/>
      <c r="B388" s="2" t="n"/>
    </row>
    <row r="389" ht="15.75" customHeight="1" s="74">
      <c r="A389" s="2" t="n"/>
      <c r="B389" s="2" t="n"/>
    </row>
    <row r="390" ht="15.75" customHeight="1" s="74">
      <c r="A390" s="2" t="n"/>
      <c r="B390" s="2" t="n"/>
    </row>
    <row r="391" ht="15.75" customHeight="1" s="74">
      <c r="A391" s="2" t="n"/>
      <c r="B391" s="2" t="n"/>
    </row>
    <row r="392" ht="15.75" customHeight="1" s="74">
      <c r="A392" s="2" t="n"/>
      <c r="B392" s="2" t="n"/>
    </row>
    <row r="393" ht="15.75" customHeight="1" s="74">
      <c r="A393" s="2" t="n"/>
      <c r="B393" s="2" t="n"/>
    </row>
    <row r="394" ht="15.75" customHeight="1" s="74">
      <c r="A394" s="2" t="n"/>
      <c r="B394" s="2" t="n"/>
    </row>
    <row r="395" ht="15.75" customHeight="1" s="74">
      <c r="A395" s="2" t="n"/>
      <c r="B395" s="2" t="n"/>
    </row>
    <row r="396" ht="15.75" customHeight="1" s="74">
      <c r="A396" s="2" t="n"/>
      <c r="B396" s="2" t="n"/>
    </row>
    <row r="397" ht="15.75" customHeight="1" s="74">
      <c r="A397" s="2" t="n"/>
      <c r="B397" s="2" t="n"/>
    </row>
    <row r="398" ht="15.75" customHeight="1" s="74">
      <c r="A398" s="2" t="n"/>
      <c r="B398" s="2" t="n"/>
    </row>
    <row r="399" ht="15.75" customHeight="1" s="74">
      <c r="A399" s="2" t="n"/>
      <c r="B399" s="2" t="n"/>
    </row>
    <row r="400" ht="15.75" customHeight="1" s="74">
      <c r="A400" s="2" t="n"/>
      <c r="B400" s="2" t="n"/>
    </row>
    <row r="401" ht="15.75" customHeight="1" s="74">
      <c r="A401" s="2" t="n"/>
      <c r="B401" s="2" t="n"/>
    </row>
    <row r="402" ht="15.75" customHeight="1" s="74">
      <c r="A402" s="2" t="n"/>
      <c r="B402" s="2" t="n"/>
    </row>
    <row r="403" ht="15.75" customHeight="1" s="74">
      <c r="A403" s="2" t="n"/>
      <c r="B403" s="2" t="n"/>
    </row>
    <row r="404" ht="15.75" customHeight="1" s="74">
      <c r="A404" s="2" t="n"/>
      <c r="B404" s="2" t="n"/>
    </row>
    <row r="405" ht="15.75" customHeight="1" s="74">
      <c r="A405" s="2" t="n"/>
      <c r="B405" s="2" t="n"/>
    </row>
    <row r="406" ht="15.75" customHeight="1" s="74">
      <c r="A406" s="2" t="n"/>
      <c r="B406" s="2" t="n"/>
    </row>
    <row r="407" ht="15.75" customHeight="1" s="74">
      <c r="A407" s="2" t="n"/>
      <c r="B407" s="2" t="n"/>
    </row>
    <row r="408" ht="15.75" customHeight="1" s="74">
      <c r="A408" s="2" t="n"/>
      <c r="B408" s="2" t="n"/>
    </row>
    <row r="409" ht="15.75" customHeight="1" s="74">
      <c r="A409" s="2" t="n"/>
      <c r="B409" s="2" t="n"/>
    </row>
    <row r="410" ht="15.75" customHeight="1" s="74">
      <c r="A410" s="2" t="n"/>
      <c r="B410" s="2" t="n"/>
    </row>
    <row r="411" ht="15.75" customHeight="1" s="74">
      <c r="A411" s="2" t="n"/>
      <c r="B411" s="2" t="n"/>
    </row>
    <row r="412" ht="15.75" customHeight="1" s="74">
      <c r="A412" s="2" t="n"/>
      <c r="B412" s="2" t="n"/>
    </row>
    <row r="413" ht="15.75" customHeight="1" s="74">
      <c r="A413" s="2" t="n"/>
      <c r="B413" s="2" t="n"/>
    </row>
    <row r="414" ht="15.75" customHeight="1" s="74">
      <c r="A414" s="2" t="n"/>
      <c r="B414" s="2" t="n"/>
    </row>
    <row r="415" ht="15.75" customHeight="1" s="74">
      <c r="A415" s="2" t="n"/>
      <c r="B415" s="2" t="n"/>
    </row>
    <row r="416" ht="15.75" customHeight="1" s="74">
      <c r="A416" s="2" t="n"/>
      <c r="B416" s="2" t="n"/>
    </row>
    <row r="417" ht="15.75" customHeight="1" s="74">
      <c r="A417" s="2" t="n"/>
      <c r="B417" s="2" t="n"/>
    </row>
    <row r="418" ht="15.75" customHeight="1" s="74">
      <c r="A418" s="2" t="n"/>
      <c r="B418" s="2" t="n"/>
    </row>
    <row r="419" ht="15.75" customHeight="1" s="74">
      <c r="A419" s="2" t="n"/>
      <c r="B419" s="2" t="n"/>
    </row>
    <row r="420" ht="15.75" customHeight="1" s="74">
      <c r="A420" s="2" t="n"/>
      <c r="B420" s="2" t="n"/>
    </row>
    <row r="421" ht="15.75" customHeight="1" s="74">
      <c r="A421" s="2" t="n"/>
      <c r="B421" s="2" t="n"/>
    </row>
    <row r="422" ht="15.75" customHeight="1" s="74">
      <c r="A422" s="2" t="n"/>
      <c r="B422" s="2" t="n"/>
    </row>
    <row r="423" ht="15.75" customHeight="1" s="74">
      <c r="A423" s="2" t="n"/>
      <c r="B423" s="2" t="n"/>
    </row>
    <row r="424" ht="15.75" customHeight="1" s="74">
      <c r="A424" s="2" t="n"/>
      <c r="B424" s="2" t="n"/>
    </row>
    <row r="425" ht="15.75" customHeight="1" s="74">
      <c r="A425" s="2" t="n"/>
      <c r="B425" s="2" t="n"/>
    </row>
    <row r="426" ht="15.75" customHeight="1" s="74">
      <c r="A426" s="2" t="n"/>
      <c r="B426" s="2" t="n"/>
    </row>
    <row r="427" ht="15.75" customHeight="1" s="74">
      <c r="A427" s="2" t="n"/>
      <c r="B427" s="2" t="n"/>
    </row>
    <row r="428" ht="15.75" customHeight="1" s="74">
      <c r="A428" s="2" t="n"/>
      <c r="B428" s="2" t="n"/>
    </row>
    <row r="429" ht="15.75" customHeight="1" s="74">
      <c r="A429" s="2" t="n"/>
      <c r="B429" s="2" t="n"/>
    </row>
    <row r="430" ht="15.75" customHeight="1" s="74">
      <c r="A430" s="2" t="n"/>
      <c r="B430" s="2" t="n"/>
    </row>
    <row r="431" ht="15.75" customHeight="1" s="74">
      <c r="A431" s="2" t="n"/>
      <c r="B431" s="2" t="n"/>
    </row>
    <row r="432" ht="15.75" customHeight="1" s="74">
      <c r="A432" s="2" t="n"/>
      <c r="B432" s="2" t="n"/>
    </row>
    <row r="433" ht="15.75" customHeight="1" s="74">
      <c r="A433" s="2" t="n"/>
      <c r="B433" s="2" t="n"/>
    </row>
    <row r="434" ht="15.75" customHeight="1" s="74">
      <c r="A434" s="2" t="n"/>
      <c r="B434" s="2" t="n"/>
    </row>
    <row r="435" ht="15.75" customHeight="1" s="74">
      <c r="A435" s="2" t="n"/>
      <c r="B435" s="2" t="n"/>
    </row>
    <row r="436" ht="15.75" customHeight="1" s="74">
      <c r="A436" s="2" t="n"/>
      <c r="B436" s="2" t="n"/>
    </row>
    <row r="437" ht="15.75" customHeight="1" s="74">
      <c r="A437" s="2" t="n"/>
      <c r="B437" s="2" t="n"/>
    </row>
    <row r="438" ht="15.75" customHeight="1" s="74">
      <c r="A438" s="2" t="n"/>
      <c r="B438" s="2" t="n"/>
    </row>
    <row r="439" ht="15.75" customHeight="1" s="74">
      <c r="A439" s="2" t="n"/>
      <c r="B439" s="2" t="n"/>
    </row>
    <row r="440" ht="15.75" customHeight="1" s="74">
      <c r="A440" s="2" t="n"/>
      <c r="B440" s="2" t="n"/>
    </row>
    <row r="441" ht="15.75" customHeight="1" s="74">
      <c r="A441" s="2" t="n"/>
      <c r="B441" s="2" t="n"/>
    </row>
    <row r="442" ht="15.75" customHeight="1" s="74">
      <c r="A442" s="2" t="n"/>
      <c r="B442" s="2" t="n"/>
    </row>
    <row r="443" ht="15.75" customHeight="1" s="74">
      <c r="A443" s="2" t="n"/>
      <c r="B443" s="2" t="n"/>
    </row>
    <row r="444" ht="15.75" customHeight="1" s="74">
      <c r="A444" s="2" t="n"/>
      <c r="B444" s="2" t="n"/>
    </row>
    <row r="445" ht="15.75" customHeight="1" s="74">
      <c r="A445" s="2" t="n"/>
      <c r="B445" s="2" t="n"/>
    </row>
    <row r="446" ht="15.75" customHeight="1" s="74">
      <c r="A446" s="2" t="n"/>
      <c r="B446" s="2" t="n"/>
    </row>
    <row r="447" ht="15.75" customHeight="1" s="74">
      <c r="A447" s="2" t="n"/>
      <c r="B447" s="2" t="n"/>
    </row>
    <row r="448" ht="15.75" customHeight="1" s="74">
      <c r="A448" s="2" t="n"/>
      <c r="B448" s="2" t="n"/>
    </row>
    <row r="449" ht="15.75" customHeight="1" s="74">
      <c r="A449" s="2" t="n"/>
      <c r="B449" s="2" t="n"/>
    </row>
    <row r="450" ht="15.75" customHeight="1" s="74">
      <c r="A450" s="2" t="n"/>
      <c r="B450" s="2" t="n"/>
    </row>
    <row r="451" ht="15.75" customHeight="1" s="74">
      <c r="A451" s="2" t="n"/>
      <c r="B451" s="2" t="n"/>
    </row>
    <row r="452" ht="15.75" customHeight="1" s="74">
      <c r="A452" s="2" t="n"/>
      <c r="B452" s="2" t="n"/>
    </row>
    <row r="453" ht="15.75" customHeight="1" s="74">
      <c r="A453" s="2" t="n"/>
      <c r="B453" s="2" t="n"/>
    </row>
    <row r="454" ht="15.75" customHeight="1" s="74">
      <c r="A454" s="2" t="n"/>
      <c r="B454" s="2" t="n"/>
    </row>
    <row r="455" ht="15.75" customHeight="1" s="74">
      <c r="A455" s="2" t="n"/>
      <c r="B455" s="2" t="n"/>
    </row>
    <row r="456" ht="15.75" customHeight="1" s="74">
      <c r="A456" s="2" t="n"/>
      <c r="B456" s="2" t="n"/>
    </row>
    <row r="457" ht="15.75" customHeight="1" s="74">
      <c r="A457" s="2" t="n"/>
      <c r="B457" s="2" t="n"/>
    </row>
    <row r="458" ht="15.75" customHeight="1" s="74">
      <c r="A458" s="2" t="n"/>
      <c r="B458" s="2" t="n"/>
    </row>
    <row r="459" ht="15.75" customHeight="1" s="74">
      <c r="A459" s="2" t="n"/>
      <c r="B459" s="2" t="n"/>
    </row>
    <row r="460" ht="15.75" customHeight="1" s="74">
      <c r="A460" s="2" t="n"/>
      <c r="B460" s="2" t="n"/>
    </row>
    <row r="461" ht="15.75" customHeight="1" s="74">
      <c r="A461" s="2" t="n"/>
      <c r="B461" s="2" t="n"/>
    </row>
    <row r="462" ht="15.75" customHeight="1" s="74">
      <c r="A462" s="2" t="n"/>
      <c r="B462" s="2" t="n"/>
    </row>
    <row r="463" ht="15.75" customHeight="1" s="74">
      <c r="A463" s="2" t="n"/>
      <c r="B463" s="2" t="n"/>
    </row>
    <row r="464" ht="15.75" customHeight="1" s="74">
      <c r="A464" s="2" t="n"/>
      <c r="B464" s="2" t="n"/>
    </row>
    <row r="465" ht="15.75" customHeight="1" s="74">
      <c r="A465" s="2" t="n"/>
      <c r="B465" s="2" t="n"/>
    </row>
    <row r="466" ht="15.75" customHeight="1" s="74">
      <c r="A466" s="2" t="n"/>
      <c r="B466" s="2" t="n"/>
    </row>
    <row r="467" ht="15.75" customHeight="1" s="74">
      <c r="A467" s="2" t="n"/>
      <c r="B467" s="2" t="n"/>
    </row>
    <row r="468" ht="15.75" customHeight="1" s="74">
      <c r="A468" s="2" t="n"/>
      <c r="B468" s="2" t="n"/>
    </row>
    <row r="469" ht="15.75" customHeight="1" s="74">
      <c r="A469" s="2" t="n"/>
      <c r="B469" s="2" t="n"/>
    </row>
    <row r="470" ht="15.75" customHeight="1" s="74">
      <c r="A470" s="2" t="n"/>
      <c r="B470" s="2" t="n"/>
    </row>
    <row r="471" ht="15.75" customHeight="1" s="74">
      <c r="A471" s="2" t="n"/>
      <c r="B471" s="2" t="n"/>
    </row>
    <row r="472" ht="15.75" customHeight="1" s="74">
      <c r="A472" s="2" t="n"/>
      <c r="B472" s="2" t="n"/>
    </row>
    <row r="473" ht="15.75" customHeight="1" s="74">
      <c r="A473" s="2" t="n"/>
      <c r="B473" s="2" t="n"/>
    </row>
    <row r="474" ht="15.75" customHeight="1" s="74">
      <c r="A474" s="2" t="n"/>
      <c r="B474" s="2" t="n"/>
    </row>
    <row r="475" ht="15.75" customHeight="1" s="74">
      <c r="A475" s="2" t="n"/>
      <c r="B475" s="2" t="n"/>
    </row>
    <row r="476" ht="15.75" customHeight="1" s="74">
      <c r="A476" s="2" t="n"/>
      <c r="B476" s="2" t="n"/>
    </row>
    <row r="477" ht="15.75" customHeight="1" s="74">
      <c r="A477" s="2" t="n"/>
      <c r="B477" s="2" t="n"/>
    </row>
    <row r="478" ht="15.75" customHeight="1" s="74">
      <c r="A478" s="2" t="n"/>
      <c r="B478" s="2" t="n"/>
    </row>
    <row r="479" ht="15.75" customHeight="1" s="74">
      <c r="A479" s="2" t="n"/>
      <c r="B479" s="2" t="n"/>
    </row>
    <row r="480" ht="15.75" customHeight="1" s="74">
      <c r="A480" s="2" t="n"/>
      <c r="B480" s="2" t="n"/>
    </row>
    <row r="481" ht="15.75" customHeight="1" s="74">
      <c r="A481" s="2" t="n"/>
      <c r="B481" s="2" t="n"/>
    </row>
    <row r="482" ht="15.75" customHeight="1" s="74">
      <c r="A482" s="2" t="n"/>
      <c r="B482" s="2" t="n"/>
    </row>
    <row r="483" ht="15.75" customHeight="1" s="74">
      <c r="A483" s="2" t="n"/>
      <c r="B483" s="2" t="n"/>
    </row>
    <row r="484" ht="15.75" customHeight="1" s="74">
      <c r="A484" s="2" t="n"/>
      <c r="B484" s="2" t="n"/>
    </row>
    <row r="485" ht="15.75" customHeight="1" s="74">
      <c r="A485" s="2" t="n"/>
      <c r="B485" s="2" t="n"/>
    </row>
    <row r="486" ht="15.75" customHeight="1" s="74">
      <c r="A486" s="2" t="n"/>
      <c r="B486" s="2" t="n"/>
    </row>
    <row r="487" ht="15.75" customHeight="1" s="74">
      <c r="A487" s="2" t="n"/>
      <c r="B487" s="2" t="n"/>
    </row>
    <row r="488" ht="15.75" customHeight="1" s="74">
      <c r="A488" s="2" t="n"/>
      <c r="B488" s="2" t="n"/>
    </row>
    <row r="489" ht="15.75" customHeight="1" s="74">
      <c r="A489" s="2" t="n"/>
      <c r="B489" s="2" t="n"/>
    </row>
    <row r="490" ht="15.75" customHeight="1" s="74">
      <c r="A490" s="2" t="n"/>
      <c r="B490" s="2" t="n"/>
    </row>
    <row r="491" ht="15.75" customHeight="1" s="74">
      <c r="A491" s="2" t="n"/>
      <c r="B491" s="2" t="n"/>
    </row>
    <row r="492" ht="15.75" customHeight="1" s="74">
      <c r="A492" s="2" t="n"/>
      <c r="B492" s="2" t="n"/>
    </row>
    <row r="493" ht="15.75" customHeight="1" s="74">
      <c r="A493" s="2" t="n"/>
      <c r="B493" s="2" t="n"/>
    </row>
    <row r="494" ht="15.75" customHeight="1" s="74">
      <c r="A494" s="2" t="n"/>
      <c r="B494" s="2" t="n"/>
    </row>
    <row r="495" ht="15.75" customHeight="1" s="74">
      <c r="A495" s="2" t="n"/>
      <c r="B495" s="2" t="n"/>
    </row>
    <row r="496" ht="15.75" customHeight="1" s="74">
      <c r="A496" s="2" t="n"/>
      <c r="B496" s="2" t="n"/>
    </row>
    <row r="497" ht="15.75" customHeight="1" s="74">
      <c r="A497" s="2" t="n"/>
      <c r="B497" s="2" t="n"/>
    </row>
    <row r="498" ht="15.75" customHeight="1" s="74">
      <c r="A498" s="2" t="n"/>
      <c r="B498" s="2" t="n"/>
    </row>
    <row r="499" ht="15.75" customHeight="1" s="74">
      <c r="A499" s="2" t="n"/>
      <c r="B499" s="2" t="n"/>
    </row>
    <row r="500" ht="15.75" customHeight="1" s="74">
      <c r="A500" s="2" t="n"/>
      <c r="B500" s="2" t="n"/>
    </row>
    <row r="501" ht="15.75" customHeight="1" s="74">
      <c r="A501" s="2" t="n"/>
      <c r="B501" s="2" t="n"/>
    </row>
    <row r="502" ht="15.75" customHeight="1" s="74">
      <c r="A502" s="2" t="n"/>
      <c r="B502" s="2" t="n"/>
    </row>
    <row r="503" ht="15.75" customHeight="1" s="74">
      <c r="A503" s="2" t="n"/>
      <c r="B503" s="2" t="n"/>
    </row>
    <row r="504" ht="15.75" customHeight="1" s="74">
      <c r="A504" s="2" t="n"/>
      <c r="B504" s="2" t="n"/>
    </row>
    <row r="505" ht="15.75" customHeight="1" s="74">
      <c r="A505" s="2" t="n"/>
      <c r="B505" s="2" t="n"/>
    </row>
    <row r="506" ht="15.75" customHeight="1" s="74">
      <c r="A506" s="2" t="n"/>
      <c r="B506" s="2" t="n"/>
    </row>
    <row r="507" ht="15.75" customHeight="1" s="74">
      <c r="A507" s="2" t="n"/>
      <c r="B507" s="2" t="n"/>
    </row>
    <row r="508" ht="15.75" customHeight="1" s="74">
      <c r="A508" s="2" t="n"/>
      <c r="B508" s="2" t="n"/>
    </row>
    <row r="509" ht="15.75" customHeight="1" s="74">
      <c r="A509" s="2" t="n"/>
      <c r="B509" s="2" t="n"/>
    </row>
    <row r="510" ht="15.75" customHeight="1" s="74">
      <c r="A510" s="2" t="n"/>
      <c r="B510" s="2" t="n"/>
    </row>
    <row r="511" ht="15.75" customHeight="1" s="74">
      <c r="A511" s="2" t="n"/>
      <c r="B511" s="2" t="n"/>
    </row>
    <row r="512" ht="15.75" customHeight="1" s="74">
      <c r="A512" s="2" t="n"/>
      <c r="B512" s="2" t="n"/>
    </row>
    <row r="513" ht="15.75" customHeight="1" s="74">
      <c r="A513" s="2" t="n"/>
      <c r="B513" s="2" t="n"/>
    </row>
    <row r="514" ht="15.75" customHeight="1" s="74">
      <c r="A514" s="2" t="n"/>
      <c r="B514" s="2" t="n"/>
    </row>
    <row r="515" ht="15.75" customHeight="1" s="74">
      <c r="A515" s="2" t="n"/>
      <c r="B515" s="2" t="n"/>
    </row>
    <row r="516" ht="15.75" customHeight="1" s="74">
      <c r="A516" s="2" t="n"/>
      <c r="B516" s="2" t="n"/>
    </row>
    <row r="517" ht="15.75" customHeight="1" s="74">
      <c r="A517" s="2" t="n"/>
      <c r="B517" s="2" t="n"/>
    </row>
    <row r="518" ht="15.75" customHeight="1" s="74">
      <c r="A518" s="2" t="n"/>
      <c r="B518" s="2" t="n"/>
    </row>
    <row r="519" ht="15.75" customHeight="1" s="74">
      <c r="A519" s="2" t="n"/>
      <c r="B519" s="2" t="n"/>
    </row>
    <row r="520" ht="15.75" customHeight="1" s="74">
      <c r="A520" s="2" t="n"/>
      <c r="B520" s="2" t="n"/>
    </row>
    <row r="521" ht="15.75" customHeight="1" s="74">
      <c r="A521" s="2" t="n"/>
      <c r="B521" s="2" t="n"/>
    </row>
    <row r="522" ht="15.75" customHeight="1" s="74">
      <c r="A522" s="2" t="n"/>
      <c r="B522" s="2" t="n"/>
    </row>
    <row r="523" ht="15.75" customHeight="1" s="74">
      <c r="A523" s="2" t="n"/>
      <c r="B523" s="2" t="n"/>
    </row>
    <row r="524" ht="15.75" customHeight="1" s="74">
      <c r="A524" s="2" t="n"/>
      <c r="B524" s="2" t="n"/>
    </row>
    <row r="525" ht="15.75" customHeight="1" s="74">
      <c r="A525" s="2" t="n"/>
      <c r="B525" s="2" t="n"/>
    </row>
    <row r="526" ht="15.75" customHeight="1" s="74">
      <c r="A526" s="2" t="n"/>
      <c r="B526" s="2" t="n"/>
    </row>
    <row r="527" ht="15.75" customHeight="1" s="74">
      <c r="A527" s="2" t="n"/>
      <c r="B527" s="2" t="n"/>
    </row>
    <row r="528" ht="15.75" customHeight="1" s="74">
      <c r="A528" s="2" t="n"/>
      <c r="B528" s="2" t="n"/>
    </row>
    <row r="529" ht="15.75" customHeight="1" s="74">
      <c r="A529" s="2" t="n"/>
      <c r="B529" s="2" t="n"/>
    </row>
    <row r="530" ht="15.75" customHeight="1" s="74">
      <c r="A530" s="2" t="n"/>
      <c r="B530" s="2" t="n"/>
    </row>
    <row r="531" ht="15.75" customHeight="1" s="74">
      <c r="A531" s="2" t="n"/>
      <c r="B531" s="2" t="n"/>
    </row>
    <row r="532" ht="15.75" customHeight="1" s="74">
      <c r="A532" s="2" t="n"/>
      <c r="B532" s="2" t="n"/>
    </row>
    <row r="533" ht="15.75" customHeight="1" s="74">
      <c r="A533" s="2" t="n"/>
      <c r="B533" s="2" t="n"/>
    </row>
    <row r="534" ht="15.75" customHeight="1" s="74">
      <c r="A534" s="2" t="n"/>
      <c r="B534" s="2" t="n"/>
    </row>
    <row r="535" ht="15.75" customHeight="1" s="74">
      <c r="A535" s="2" t="n"/>
      <c r="B535" s="2" t="n"/>
    </row>
    <row r="536" ht="15.75" customHeight="1" s="74">
      <c r="A536" s="2" t="n"/>
      <c r="B536" s="2" t="n"/>
    </row>
    <row r="537" ht="15.75" customHeight="1" s="74">
      <c r="A537" s="2" t="n"/>
      <c r="B537" s="2" t="n"/>
    </row>
    <row r="538" ht="15.75" customHeight="1" s="74">
      <c r="A538" s="2" t="n"/>
      <c r="B538" s="2" t="n"/>
    </row>
    <row r="539" ht="15.75" customHeight="1" s="74">
      <c r="A539" s="2" t="n"/>
      <c r="B539" s="2" t="n"/>
    </row>
    <row r="540" ht="15.75" customHeight="1" s="74">
      <c r="A540" s="2" t="n"/>
      <c r="B540" s="2" t="n"/>
    </row>
    <row r="541" ht="15.75" customHeight="1" s="74">
      <c r="A541" s="2" t="n"/>
      <c r="B541" s="2" t="n"/>
    </row>
    <row r="542" ht="15.75" customHeight="1" s="74">
      <c r="A542" s="2" t="n"/>
      <c r="B542" s="2" t="n"/>
    </row>
    <row r="543" ht="15.75" customHeight="1" s="74">
      <c r="A543" s="2" t="n"/>
      <c r="B543" s="2" t="n"/>
    </row>
    <row r="544" ht="15.75" customHeight="1" s="74">
      <c r="A544" s="2" t="n"/>
      <c r="B544" s="2" t="n"/>
    </row>
    <row r="545" ht="15.75" customHeight="1" s="74">
      <c r="A545" s="2" t="n"/>
      <c r="B545" s="2" t="n"/>
    </row>
    <row r="546" ht="15.75" customHeight="1" s="74">
      <c r="A546" s="2" t="n"/>
      <c r="B546" s="2" t="n"/>
    </row>
    <row r="547" ht="15.75" customHeight="1" s="74">
      <c r="A547" s="2" t="n"/>
      <c r="B547" s="2" t="n"/>
    </row>
    <row r="548" ht="15.75" customHeight="1" s="74">
      <c r="A548" s="2" t="n"/>
      <c r="B548" s="2" t="n"/>
    </row>
    <row r="549" ht="15.75" customHeight="1" s="74">
      <c r="A549" s="2" t="n"/>
      <c r="B549" s="2" t="n"/>
    </row>
    <row r="550" ht="15.75" customHeight="1" s="74">
      <c r="A550" s="2" t="n"/>
      <c r="B550" s="2" t="n"/>
    </row>
    <row r="551" ht="15.75" customHeight="1" s="74">
      <c r="A551" s="2" t="n"/>
      <c r="B551" s="2" t="n"/>
    </row>
    <row r="552" ht="15.75" customHeight="1" s="74">
      <c r="A552" s="2" t="n"/>
      <c r="B552" s="2" t="n"/>
    </row>
    <row r="553" ht="15.75" customHeight="1" s="74">
      <c r="A553" s="2" t="n"/>
      <c r="B553" s="2" t="n"/>
    </row>
    <row r="554" ht="15.75" customHeight="1" s="74">
      <c r="A554" s="2" t="n"/>
      <c r="B554" s="2" t="n"/>
    </row>
    <row r="555" ht="15.75" customHeight="1" s="74">
      <c r="A555" s="2" t="n"/>
      <c r="B555" s="2" t="n"/>
    </row>
    <row r="556" ht="15.75" customHeight="1" s="74">
      <c r="A556" s="2" t="n"/>
      <c r="B556" s="2" t="n"/>
    </row>
    <row r="557" ht="15.75" customHeight="1" s="74">
      <c r="A557" s="2" t="n"/>
      <c r="B557" s="2" t="n"/>
    </row>
    <row r="558" ht="15.75" customHeight="1" s="74">
      <c r="A558" s="2" t="n"/>
      <c r="B558" s="2" t="n"/>
    </row>
    <row r="559" ht="15.75" customHeight="1" s="74">
      <c r="A559" s="2" t="n"/>
      <c r="B559" s="2" t="n"/>
    </row>
    <row r="560" ht="15.75" customHeight="1" s="74">
      <c r="A560" s="2" t="n"/>
      <c r="B560" s="2" t="n"/>
    </row>
    <row r="561" ht="15.75" customHeight="1" s="74">
      <c r="A561" s="2" t="n"/>
      <c r="B561" s="2" t="n"/>
    </row>
    <row r="562" ht="15.75" customHeight="1" s="74">
      <c r="A562" s="2" t="n"/>
      <c r="B562" s="2" t="n"/>
    </row>
    <row r="563" ht="15.75" customHeight="1" s="74">
      <c r="A563" s="2" t="n"/>
      <c r="B563" s="2" t="n"/>
    </row>
    <row r="564" ht="15.75" customHeight="1" s="74">
      <c r="A564" s="2" t="n"/>
      <c r="B564" s="2" t="n"/>
    </row>
    <row r="565" ht="15.75" customHeight="1" s="74">
      <c r="A565" s="2" t="n"/>
      <c r="B565" s="2" t="n"/>
    </row>
    <row r="566" ht="15.75" customHeight="1" s="74">
      <c r="A566" s="2" t="n"/>
      <c r="B566" s="2" t="n"/>
    </row>
    <row r="567" ht="15.75" customHeight="1" s="74">
      <c r="A567" s="2" t="n"/>
      <c r="B567" s="2" t="n"/>
    </row>
    <row r="568" ht="15.75" customHeight="1" s="74">
      <c r="A568" s="2" t="n"/>
      <c r="B568" s="2" t="n"/>
    </row>
    <row r="569" ht="15.75" customHeight="1" s="74">
      <c r="A569" s="2" t="n"/>
      <c r="B569" s="2" t="n"/>
    </row>
    <row r="570" ht="15.75" customHeight="1" s="74">
      <c r="A570" s="2" t="n"/>
      <c r="B570" s="2" t="n"/>
    </row>
    <row r="571" ht="15.75" customHeight="1" s="74">
      <c r="A571" s="2" t="n"/>
      <c r="B571" s="2" t="n"/>
    </row>
    <row r="572" ht="15.75" customHeight="1" s="74">
      <c r="A572" s="2" t="n"/>
      <c r="B572" s="2" t="n"/>
    </row>
    <row r="573" ht="15.75" customHeight="1" s="74">
      <c r="A573" s="2" t="n"/>
      <c r="B573" s="2" t="n"/>
    </row>
    <row r="574" ht="15.75" customHeight="1" s="74">
      <c r="A574" s="2" t="n"/>
      <c r="B574" s="2" t="n"/>
    </row>
    <row r="575" ht="15.75" customHeight="1" s="74">
      <c r="A575" s="2" t="n"/>
      <c r="B575" s="2" t="n"/>
    </row>
    <row r="576" ht="15.75" customHeight="1" s="74">
      <c r="A576" s="2" t="n"/>
      <c r="B576" s="2" t="n"/>
    </row>
    <row r="577" ht="15.75" customHeight="1" s="74">
      <c r="A577" s="2" t="n"/>
      <c r="B577" s="2" t="n"/>
    </row>
    <row r="578" ht="15.75" customHeight="1" s="74">
      <c r="A578" s="2" t="n"/>
      <c r="B578" s="2" t="n"/>
    </row>
    <row r="579" ht="15.75" customHeight="1" s="74">
      <c r="A579" s="2" t="n"/>
      <c r="B579" s="2" t="n"/>
    </row>
    <row r="580" ht="15.75" customHeight="1" s="74">
      <c r="A580" s="2" t="n"/>
      <c r="B580" s="2" t="n"/>
    </row>
    <row r="581" ht="15.75" customHeight="1" s="74">
      <c r="A581" s="2" t="n"/>
      <c r="B581" s="2" t="n"/>
    </row>
    <row r="582" ht="15.75" customHeight="1" s="74">
      <c r="A582" s="2" t="n"/>
      <c r="B582" s="2" t="n"/>
    </row>
    <row r="583" ht="15.75" customHeight="1" s="74">
      <c r="A583" s="2" t="n"/>
      <c r="B583" s="2" t="n"/>
    </row>
    <row r="584" ht="15.75" customHeight="1" s="74">
      <c r="A584" s="2" t="n"/>
      <c r="B584" s="2" t="n"/>
    </row>
    <row r="585" ht="15.75" customHeight="1" s="74">
      <c r="A585" s="2" t="n"/>
      <c r="B585" s="2" t="n"/>
    </row>
    <row r="586" ht="15.75" customHeight="1" s="74">
      <c r="A586" s="2" t="n"/>
      <c r="B586" s="2" t="n"/>
    </row>
    <row r="587" ht="15.75" customHeight="1" s="74">
      <c r="A587" s="2" t="n"/>
      <c r="B587" s="2" t="n"/>
    </row>
    <row r="588" ht="15.75" customHeight="1" s="74">
      <c r="A588" s="2" t="n"/>
      <c r="B588" s="2" t="n"/>
    </row>
    <row r="589" ht="15.75" customHeight="1" s="74">
      <c r="A589" s="2" t="n"/>
      <c r="B589" s="2" t="n"/>
    </row>
    <row r="590" ht="15.75" customHeight="1" s="74">
      <c r="A590" s="2" t="n"/>
      <c r="B590" s="2" t="n"/>
    </row>
    <row r="591" ht="15.75" customHeight="1" s="74">
      <c r="A591" s="2" t="n"/>
      <c r="B591" s="2" t="n"/>
    </row>
    <row r="592" ht="15.75" customHeight="1" s="74">
      <c r="A592" s="2" t="n"/>
      <c r="B592" s="2" t="n"/>
    </row>
    <row r="593" ht="15.75" customHeight="1" s="74">
      <c r="A593" s="2" t="n"/>
      <c r="B593" s="2" t="n"/>
    </row>
    <row r="594" ht="15.75" customHeight="1" s="74">
      <c r="A594" s="2" t="n"/>
      <c r="B594" s="2" t="n"/>
    </row>
    <row r="595" ht="15.75" customHeight="1" s="74">
      <c r="A595" s="2" t="n"/>
      <c r="B595" s="2" t="n"/>
    </row>
    <row r="596" ht="15.75" customHeight="1" s="74">
      <c r="A596" s="2" t="n"/>
      <c r="B596" s="2" t="n"/>
    </row>
    <row r="597" ht="15.75" customHeight="1" s="74">
      <c r="A597" s="2" t="n"/>
      <c r="B597" s="2" t="n"/>
    </row>
    <row r="598" ht="15.75" customHeight="1" s="74">
      <c r="A598" s="2" t="n"/>
      <c r="B598" s="2" t="n"/>
    </row>
    <row r="599" ht="15.75" customHeight="1" s="74">
      <c r="A599" s="2" t="n"/>
      <c r="B599" s="2" t="n"/>
    </row>
    <row r="600" ht="15.75" customHeight="1" s="74">
      <c r="A600" s="2" t="n"/>
      <c r="B600" s="2" t="n"/>
    </row>
    <row r="601" ht="15.75" customHeight="1" s="74">
      <c r="A601" s="2" t="n"/>
      <c r="B601" s="2" t="n"/>
    </row>
    <row r="602" ht="15.75" customHeight="1" s="74">
      <c r="A602" s="2" t="n"/>
      <c r="B602" s="2" t="n"/>
    </row>
    <row r="603" ht="15.75" customHeight="1" s="74">
      <c r="A603" s="2" t="n"/>
      <c r="B603" s="2" t="n"/>
    </row>
    <row r="604" ht="15.75" customHeight="1" s="74">
      <c r="A604" s="2" t="n"/>
      <c r="B604" s="2" t="n"/>
    </row>
    <row r="605" ht="15.75" customHeight="1" s="74">
      <c r="A605" s="2" t="n"/>
      <c r="B605" s="2" t="n"/>
    </row>
    <row r="606" ht="15.75" customHeight="1" s="74">
      <c r="A606" s="2" t="n"/>
      <c r="B606" s="2" t="n"/>
    </row>
    <row r="607" ht="15.75" customHeight="1" s="74">
      <c r="A607" s="2" t="n"/>
      <c r="B607" s="2" t="n"/>
    </row>
    <row r="608" ht="15.75" customHeight="1" s="74">
      <c r="A608" s="2" t="n"/>
      <c r="B608" s="2" t="n"/>
    </row>
    <row r="609" ht="15.75" customHeight="1" s="74">
      <c r="A609" s="2" t="n"/>
      <c r="B609" s="2" t="n"/>
    </row>
    <row r="610" ht="15.75" customHeight="1" s="74">
      <c r="A610" s="2" t="n"/>
      <c r="B610" s="2" t="n"/>
    </row>
    <row r="611" ht="15.75" customHeight="1" s="74">
      <c r="A611" s="2" t="n"/>
      <c r="B611" s="2" t="n"/>
    </row>
    <row r="612" ht="15.75" customHeight="1" s="74">
      <c r="A612" s="2" t="n"/>
      <c r="B612" s="2" t="n"/>
    </row>
    <row r="613" ht="15.75" customHeight="1" s="74">
      <c r="A613" s="2" t="n"/>
      <c r="B613" s="2" t="n"/>
    </row>
    <row r="614" ht="15.75" customHeight="1" s="74">
      <c r="A614" s="2" t="n"/>
      <c r="B614" s="2" t="n"/>
    </row>
    <row r="615" ht="15.75" customHeight="1" s="74">
      <c r="A615" s="2" t="n"/>
      <c r="B615" s="2" t="n"/>
    </row>
    <row r="616" ht="15.75" customHeight="1" s="74">
      <c r="A616" s="2" t="n"/>
      <c r="B616" s="2" t="n"/>
    </row>
    <row r="617" ht="15.75" customHeight="1" s="74">
      <c r="A617" s="2" t="n"/>
      <c r="B617" s="2" t="n"/>
    </row>
    <row r="618" ht="15.75" customHeight="1" s="74">
      <c r="A618" s="2" t="n"/>
      <c r="B618" s="2" t="n"/>
    </row>
    <row r="619" ht="15.75" customHeight="1" s="74">
      <c r="A619" s="2" t="n"/>
      <c r="B619" s="2" t="n"/>
    </row>
    <row r="620" ht="15.75" customHeight="1" s="74">
      <c r="A620" s="2" t="n"/>
      <c r="B620" s="2" t="n"/>
    </row>
    <row r="621" ht="15.75" customHeight="1" s="74">
      <c r="A621" s="2" t="n"/>
      <c r="B621" s="2" t="n"/>
    </row>
    <row r="622" ht="15.75" customHeight="1" s="74">
      <c r="A622" s="2" t="n"/>
      <c r="B622" s="2" t="n"/>
    </row>
    <row r="623" ht="15.75" customHeight="1" s="74">
      <c r="A623" s="2" t="n"/>
      <c r="B623" s="2" t="n"/>
    </row>
    <row r="624" ht="15.75" customHeight="1" s="74">
      <c r="A624" s="2" t="n"/>
      <c r="B624" s="2" t="n"/>
    </row>
    <row r="625" ht="15.75" customHeight="1" s="74">
      <c r="A625" s="2" t="n"/>
      <c r="B625" s="2" t="n"/>
    </row>
    <row r="626" ht="15.75" customHeight="1" s="74">
      <c r="A626" s="2" t="n"/>
      <c r="B626" s="2" t="n"/>
    </row>
    <row r="627" ht="15.75" customHeight="1" s="74">
      <c r="A627" s="2" t="n"/>
      <c r="B627" s="2" t="n"/>
    </row>
    <row r="628" ht="15.75" customHeight="1" s="74">
      <c r="A628" s="2" t="n"/>
      <c r="B628" s="2" t="n"/>
    </row>
    <row r="629" ht="15.75" customHeight="1" s="74">
      <c r="A629" s="2" t="n"/>
      <c r="B629" s="2" t="n"/>
    </row>
    <row r="630" ht="15.75" customHeight="1" s="74">
      <c r="A630" s="2" t="n"/>
      <c r="B630" s="2" t="n"/>
    </row>
    <row r="631" ht="15.75" customHeight="1" s="74">
      <c r="A631" s="2" t="n"/>
      <c r="B631" s="2" t="n"/>
    </row>
    <row r="632" ht="15.75" customHeight="1" s="74">
      <c r="A632" s="2" t="n"/>
      <c r="B632" s="2" t="n"/>
    </row>
    <row r="633" ht="15.75" customHeight="1" s="74">
      <c r="A633" s="2" t="n"/>
      <c r="B633" s="2" t="n"/>
    </row>
    <row r="634" ht="15.75" customHeight="1" s="74">
      <c r="A634" s="2" t="n"/>
      <c r="B634" s="2" t="n"/>
    </row>
    <row r="635" ht="15.75" customHeight="1" s="74">
      <c r="A635" s="2" t="n"/>
      <c r="B635" s="2" t="n"/>
    </row>
    <row r="636" ht="15.75" customHeight="1" s="74">
      <c r="A636" s="2" t="n"/>
      <c r="B636" s="2" t="n"/>
    </row>
    <row r="637" ht="15.75" customHeight="1" s="74">
      <c r="A637" s="2" t="n"/>
      <c r="B637" s="2" t="n"/>
    </row>
    <row r="638" ht="15.75" customHeight="1" s="74">
      <c r="A638" s="2" t="n"/>
      <c r="B638" s="2" t="n"/>
    </row>
    <row r="639" ht="15.75" customHeight="1" s="74">
      <c r="A639" s="2" t="n"/>
      <c r="B639" s="2" t="n"/>
    </row>
    <row r="640" ht="15.75" customHeight="1" s="74">
      <c r="A640" s="2" t="n"/>
      <c r="B640" s="2" t="n"/>
    </row>
    <row r="641" ht="15.75" customHeight="1" s="74">
      <c r="A641" s="2" t="n"/>
      <c r="B641" s="2" t="n"/>
    </row>
    <row r="642" ht="15.75" customHeight="1" s="74">
      <c r="A642" s="2" t="n"/>
      <c r="B642" s="2" t="n"/>
    </row>
    <row r="643" ht="15.75" customHeight="1" s="74">
      <c r="A643" s="2" t="n"/>
      <c r="B643" s="2" t="n"/>
    </row>
    <row r="644" ht="15.75" customHeight="1" s="74">
      <c r="A644" s="2" t="n"/>
      <c r="B644" s="2" t="n"/>
    </row>
    <row r="645" ht="15.75" customHeight="1" s="74">
      <c r="A645" s="2" t="n"/>
      <c r="B645" s="2" t="n"/>
    </row>
    <row r="646" ht="15.75" customHeight="1" s="74">
      <c r="A646" s="2" t="n"/>
      <c r="B646" s="2" t="n"/>
    </row>
    <row r="647" ht="15.75" customHeight="1" s="74">
      <c r="A647" s="2" t="n"/>
      <c r="B647" s="2" t="n"/>
    </row>
    <row r="648" ht="15.75" customHeight="1" s="74">
      <c r="A648" s="2" t="n"/>
      <c r="B648" s="2" t="n"/>
    </row>
    <row r="649" ht="15.75" customHeight="1" s="74">
      <c r="A649" s="2" t="n"/>
      <c r="B649" s="2" t="n"/>
    </row>
    <row r="650" ht="15.75" customHeight="1" s="74">
      <c r="A650" s="2" t="n"/>
      <c r="B650" s="2" t="n"/>
    </row>
    <row r="651" ht="15.75" customHeight="1" s="74">
      <c r="A651" s="2" t="n"/>
      <c r="B651" s="2" t="n"/>
    </row>
    <row r="652" ht="15.75" customHeight="1" s="74">
      <c r="A652" s="2" t="n"/>
      <c r="B652" s="2" t="n"/>
    </row>
    <row r="653" ht="15.75" customHeight="1" s="74">
      <c r="A653" s="2" t="n"/>
      <c r="B653" s="2" t="n"/>
    </row>
    <row r="654" ht="15.75" customHeight="1" s="74">
      <c r="A654" s="2" t="n"/>
      <c r="B654" s="2" t="n"/>
    </row>
    <row r="655" ht="15.75" customHeight="1" s="74">
      <c r="A655" s="2" t="n"/>
      <c r="B655" s="2" t="n"/>
    </row>
    <row r="656" ht="15.75" customHeight="1" s="74">
      <c r="A656" s="2" t="n"/>
      <c r="B656" s="2" t="n"/>
    </row>
    <row r="657" ht="15.75" customHeight="1" s="74">
      <c r="A657" s="2" t="n"/>
      <c r="B657" s="2" t="n"/>
    </row>
    <row r="658" ht="15.75" customHeight="1" s="74">
      <c r="A658" s="2" t="n"/>
      <c r="B658" s="2" t="n"/>
    </row>
    <row r="659" ht="15.75" customHeight="1" s="74">
      <c r="A659" s="2" t="n"/>
      <c r="B659" s="2" t="n"/>
    </row>
    <row r="660" ht="15.75" customHeight="1" s="74">
      <c r="A660" s="2" t="n"/>
      <c r="B660" s="2" t="n"/>
    </row>
    <row r="661" ht="15.75" customHeight="1" s="74">
      <c r="A661" s="2" t="n"/>
      <c r="B661" s="2" t="n"/>
    </row>
    <row r="662" ht="15.75" customHeight="1" s="74">
      <c r="A662" s="2" t="n"/>
      <c r="B662" s="2" t="n"/>
    </row>
    <row r="663" ht="15.75" customHeight="1" s="74">
      <c r="A663" s="2" t="n"/>
      <c r="B663" s="2" t="n"/>
    </row>
    <row r="664" ht="15.75" customHeight="1" s="74">
      <c r="A664" s="2" t="n"/>
      <c r="B664" s="2" t="n"/>
    </row>
    <row r="665" ht="15.75" customHeight="1" s="74">
      <c r="A665" s="2" t="n"/>
      <c r="B665" s="2" t="n"/>
    </row>
    <row r="666" ht="15.75" customHeight="1" s="74">
      <c r="A666" s="2" t="n"/>
      <c r="B666" s="2" t="n"/>
    </row>
    <row r="667" ht="15.75" customHeight="1" s="74">
      <c r="A667" s="2" t="n"/>
      <c r="B667" s="2" t="n"/>
    </row>
    <row r="668" ht="15.75" customHeight="1" s="74">
      <c r="A668" s="2" t="n"/>
      <c r="B668" s="2" t="n"/>
    </row>
    <row r="669" ht="15.75" customHeight="1" s="74">
      <c r="A669" s="2" t="n"/>
      <c r="B669" s="2" t="n"/>
    </row>
    <row r="670" ht="15.75" customHeight="1" s="74">
      <c r="A670" s="2" t="n"/>
      <c r="B670" s="2" t="n"/>
    </row>
    <row r="671" ht="15.75" customHeight="1" s="74">
      <c r="A671" s="2" t="n"/>
      <c r="B671" s="2" t="n"/>
    </row>
    <row r="672" ht="15.75" customHeight="1" s="74">
      <c r="A672" s="2" t="n"/>
      <c r="B672" s="2" t="n"/>
    </row>
    <row r="673" ht="15.75" customHeight="1" s="74">
      <c r="A673" s="2" t="n"/>
      <c r="B673" s="2" t="n"/>
    </row>
    <row r="674" ht="15.75" customHeight="1" s="74">
      <c r="A674" s="2" t="n"/>
      <c r="B674" s="2" t="n"/>
    </row>
    <row r="675" ht="15.75" customHeight="1" s="74">
      <c r="A675" s="2" t="n"/>
      <c r="B675" s="2" t="n"/>
    </row>
    <row r="676" ht="15.75" customHeight="1" s="74">
      <c r="A676" s="2" t="n"/>
      <c r="B676" s="2" t="n"/>
    </row>
    <row r="677" ht="15.75" customHeight="1" s="74">
      <c r="A677" s="2" t="n"/>
      <c r="B677" s="2" t="n"/>
    </row>
    <row r="678" ht="15.75" customHeight="1" s="74">
      <c r="A678" s="2" t="n"/>
      <c r="B678" s="2" t="n"/>
    </row>
    <row r="679" ht="15.75" customHeight="1" s="74">
      <c r="A679" s="2" t="n"/>
      <c r="B679" s="2" t="n"/>
    </row>
    <row r="680" ht="15.75" customHeight="1" s="74">
      <c r="A680" s="2" t="n"/>
      <c r="B680" s="2" t="n"/>
    </row>
    <row r="681" ht="15.75" customHeight="1" s="74">
      <c r="A681" s="2" t="n"/>
      <c r="B681" s="2" t="n"/>
    </row>
    <row r="682" ht="15.75" customHeight="1" s="74">
      <c r="A682" s="2" t="n"/>
      <c r="B682" s="2" t="n"/>
    </row>
    <row r="683" ht="15.75" customHeight="1" s="74">
      <c r="A683" s="2" t="n"/>
      <c r="B683" s="2" t="n"/>
    </row>
    <row r="684" ht="15.75" customHeight="1" s="74">
      <c r="A684" s="2" t="n"/>
      <c r="B684" s="2" t="n"/>
    </row>
    <row r="685" ht="15.75" customHeight="1" s="74">
      <c r="A685" s="2" t="n"/>
      <c r="B685" s="2" t="n"/>
    </row>
    <row r="686" ht="15.75" customHeight="1" s="74">
      <c r="A686" s="2" t="n"/>
      <c r="B686" s="2" t="n"/>
    </row>
    <row r="687" ht="15.75" customHeight="1" s="74">
      <c r="A687" s="2" t="n"/>
      <c r="B687" s="2" t="n"/>
    </row>
    <row r="688" ht="15.75" customHeight="1" s="74">
      <c r="A688" s="2" t="n"/>
      <c r="B688" s="2" t="n"/>
    </row>
    <row r="689" ht="15.75" customHeight="1" s="74">
      <c r="A689" s="2" t="n"/>
      <c r="B689" s="2" t="n"/>
    </row>
    <row r="690" ht="15.75" customHeight="1" s="74">
      <c r="A690" s="2" t="n"/>
      <c r="B690" s="2" t="n"/>
    </row>
    <row r="691" ht="15.75" customHeight="1" s="74">
      <c r="A691" s="2" t="n"/>
      <c r="B691" s="2" t="n"/>
    </row>
    <row r="692" ht="15.75" customHeight="1" s="74">
      <c r="A692" s="2" t="n"/>
      <c r="B692" s="2" t="n"/>
    </row>
    <row r="693" ht="15.75" customHeight="1" s="74">
      <c r="A693" s="2" t="n"/>
      <c r="B693" s="2" t="n"/>
    </row>
    <row r="694" ht="15.75" customHeight="1" s="74">
      <c r="A694" s="2" t="n"/>
      <c r="B694" s="2" t="n"/>
    </row>
    <row r="695" ht="15.75" customHeight="1" s="74">
      <c r="A695" s="2" t="n"/>
      <c r="B695" s="2" t="n"/>
    </row>
    <row r="696" ht="15.75" customHeight="1" s="74">
      <c r="A696" s="2" t="n"/>
      <c r="B696" s="2" t="n"/>
    </row>
    <row r="697" ht="15.75" customHeight="1" s="74">
      <c r="A697" s="2" t="n"/>
      <c r="B697" s="2" t="n"/>
    </row>
    <row r="698" ht="15.75" customHeight="1" s="74">
      <c r="A698" s="2" t="n"/>
      <c r="B698" s="2" t="n"/>
    </row>
    <row r="699" ht="15.75" customHeight="1" s="74">
      <c r="A699" s="2" t="n"/>
      <c r="B699" s="2" t="n"/>
    </row>
    <row r="700" ht="15.75" customHeight="1" s="74">
      <c r="A700" s="2" t="n"/>
      <c r="B700" s="2" t="n"/>
    </row>
    <row r="701" ht="15.75" customHeight="1" s="74">
      <c r="A701" s="2" t="n"/>
      <c r="B701" s="2" t="n"/>
    </row>
    <row r="702" ht="15.75" customHeight="1" s="74">
      <c r="A702" s="2" t="n"/>
      <c r="B702" s="2" t="n"/>
    </row>
    <row r="703" ht="15.75" customHeight="1" s="74">
      <c r="A703" s="2" t="n"/>
      <c r="B703" s="2" t="n"/>
    </row>
    <row r="704" ht="15.75" customHeight="1" s="74">
      <c r="A704" s="2" t="n"/>
      <c r="B704" s="2" t="n"/>
    </row>
    <row r="705" ht="15.75" customHeight="1" s="74">
      <c r="A705" s="2" t="n"/>
      <c r="B705" s="2" t="n"/>
    </row>
    <row r="706" ht="15.75" customHeight="1" s="74">
      <c r="A706" s="2" t="n"/>
      <c r="B706" s="2" t="n"/>
    </row>
    <row r="707" ht="15.75" customHeight="1" s="74">
      <c r="A707" s="2" t="n"/>
      <c r="B707" s="2" t="n"/>
    </row>
    <row r="708" ht="15.75" customHeight="1" s="74">
      <c r="A708" s="2" t="n"/>
      <c r="B708" s="2" t="n"/>
    </row>
    <row r="709" ht="15.75" customHeight="1" s="74">
      <c r="A709" s="2" t="n"/>
      <c r="B709" s="2" t="n"/>
    </row>
    <row r="710" ht="15.75" customHeight="1" s="74">
      <c r="A710" s="2" t="n"/>
      <c r="B710" s="2" t="n"/>
    </row>
    <row r="711" ht="15.75" customHeight="1" s="74">
      <c r="A711" s="2" t="n"/>
      <c r="B711" s="2" t="n"/>
    </row>
    <row r="712" ht="15.75" customHeight="1" s="74">
      <c r="A712" s="2" t="n"/>
      <c r="B712" s="2" t="n"/>
    </row>
    <row r="713" ht="15.75" customHeight="1" s="74">
      <c r="A713" s="2" t="n"/>
      <c r="B713" s="2" t="n"/>
    </row>
    <row r="714" ht="15.75" customHeight="1" s="74">
      <c r="A714" s="2" t="n"/>
      <c r="B714" s="2" t="n"/>
    </row>
    <row r="715" ht="15.75" customHeight="1" s="74">
      <c r="A715" s="2" t="n"/>
      <c r="B715" s="2" t="n"/>
    </row>
    <row r="716" ht="15.75" customHeight="1" s="74">
      <c r="A716" s="2" t="n"/>
      <c r="B716" s="2" t="n"/>
    </row>
    <row r="717" ht="15.75" customHeight="1" s="74">
      <c r="A717" s="2" t="n"/>
      <c r="B717" s="2" t="n"/>
    </row>
    <row r="718" ht="15.75" customHeight="1" s="74">
      <c r="A718" s="2" t="n"/>
      <c r="B718" s="2" t="n"/>
    </row>
    <row r="719" ht="15.75" customHeight="1" s="74">
      <c r="A719" s="2" t="n"/>
      <c r="B719" s="2" t="n"/>
    </row>
    <row r="720" ht="15.75" customHeight="1" s="74">
      <c r="A720" s="2" t="n"/>
      <c r="B720" s="2" t="n"/>
    </row>
    <row r="721" ht="15.75" customHeight="1" s="74">
      <c r="A721" s="2" t="n"/>
      <c r="B721" s="2" t="n"/>
    </row>
    <row r="722" ht="15.75" customHeight="1" s="74">
      <c r="A722" s="2" t="n"/>
      <c r="B722" s="2" t="n"/>
    </row>
    <row r="723" ht="15.75" customHeight="1" s="74">
      <c r="A723" s="2" t="n"/>
      <c r="B723" s="2" t="n"/>
    </row>
    <row r="724" ht="15.75" customHeight="1" s="74">
      <c r="A724" s="2" t="n"/>
      <c r="B724" s="2" t="n"/>
    </row>
    <row r="725" ht="15.75" customHeight="1" s="74">
      <c r="A725" s="2" t="n"/>
      <c r="B725" s="2" t="n"/>
    </row>
    <row r="726" ht="15.75" customHeight="1" s="74">
      <c r="A726" s="2" t="n"/>
      <c r="B726" s="2" t="n"/>
    </row>
    <row r="727" ht="15.75" customHeight="1" s="74">
      <c r="A727" s="2" t="n"/>
      <c r="B727" s="2" t="n"/>
    </row>
    <row r="728" ht="15.75" customHeight="1" s="74">
      <c r="A728" s="2" t="n"/>
      <c r="B728" s="2" t="n"/>
    </row>
    <row r="729" ht="15.75" customHeight="1" s="74">
      <c r="A729" s="2" t="n"/>
      <c r="B729" s="2" t="n"/>
    </row>
    <row r="730" ht="15.75" customHeight="1" s="74">
      <c r="A730" s="2" t="n"/>
      <c r="B730" s="2" t="n"/>
    </row>
    <row r="731" ht="15.75" customHeight="1" s="74">
      <c r="A731" s="2" t="n"/>
      <c r="B731" s="2" t="n"/>
    </row>
    <row r="732" ht="15.75" customHeight="1" s="74">
      <c r="A732" s="2" t="n"/>
      <c r="B732" s="2" t="n"/>
    </row>
    <row r="733" ht="15.75" customHeight="1" s="74">
      <c r="A733" s="2" t="n"/>
      <c r="B733" s="2" t="n"/>
    </row>
    <row r="734" ht="15.75" customHeight="1" s="74">
      <c r="A734" s="2" t="n"/>
      <c r="B734" s="2" t="n"/>
    </row>
    <row r="735" ht="15.75" customHeight="1" s="74">
      <c r="A735" s="2" t="n"/>
      <c r="B735" s="2" t="n"/>
    </row>
    <row r="736" ht="15.75" customHeight="1" s="74">
      <c r="A736" s="2" t="n"/>
      <c r="B736" s="2" t="n"/>
    </row>
    <row r="737" ht="15.75" customHeight="1" s="74">
      <c r="A737" s="2" t="n"/>
      <c r="B737" s="2" t="n"/>
    </row>
    <row r="738" ht="15.75" customHeight="1" s="74">
      <c r="A738" s="2" t="n"/>
      <c r="B738" s="2" t="n"/>
    </row>
    <row r="739" ht="15.75" customHeight="1" s="74">
      <c r="A739" s="2" t="n"/>
      <c r="B739" s="2" t="n"/>
    </row>
    <row r="740" ht="15.75" customHeight="1" s="74">
      <c r="A740" s="2" t="n"/>
      <c r="B740" s="2" t="n"/>
    </row>
    <row r="741" ht="15.75" customHeight="1" s="74">
      <c r="A741" s="2" t="n"/>
      <c r="B741" s="2" t="n"/>
    </row>
    <row r="742" ht="15.75" customHeight="1" s="74">
      <c r="A742" s="2" t="n"/>
      <c r="B742" s="2" t="n"/>
    </row>
    <row r="743" ht="15.75" customHeight="1" s="74">
      <c r="A743" s="2" t="n"/>
      <c r="B743" s="2" t="n"/>
    </row>
    <row r="744" ht="15.75" customHeight="1" s="74">
      <c r="A744" s="2" t="n"/>
      <c r="B744" s="2" t="n"/>
    </row>
    <row r="745" ht="15.75" customHeight="1" s="74">
      <c r="A745" s="2" t="n"/>
      <c r="B745" s="2" t="n"/>
    </row>
    <row r="746" ht="15.75" customHeight="1" s="74">
      <c r="A746" s="2" t="n"/>
      <c r="B746" s="2" t="n"/>
    </row>
    <row r="747" ht="15.75" customHeight="1" s="74">
      <c r="A747" s="2" t="n"/>
      <c r="B747" s="2" t="n"/>
    </row>
    <row r="748" ht="15.75" customHeight="1" s="74">
      <c r="A748" s="2" t="n"/>
      <c r="B748" s="2" t="n"/>
    </row>
    <row r="749" ht="15.75" customHeight="1" s="74">
      <c r="A749" s="2" t="n"/>
      <c r="B749" s="2" t="n"/>
    </row>
    <row r="750" ht="15.75" customHeight="1" s="74">
      <c r="A750" s="2" t="n"/>
      <c r="B750" s="2" t="n"/>
    </row>
    <row r="751" ht="15.75" customHeight="1" s="74">
      <c r="A751" s="2" t="n"/>
      <c r="B751" s="2" t="n"/>
    </row>
    <row r="752" ht="15.75" customHeight="1" s="74">
      <c r="A752" s="2" t="n"/>
      <c r="B752" s="2" t="n"/>
    </row>
    <row r="753" ht="15.75" customHeight="1" s="74">
      <c r="A753" s="2" t="n"/>
      <c r="B753" s="2" t="n"/>
    </row>
    <row r="754" ht="15.75" customHeight="1" s="74">
      <c r="A754" s="2" t="n"/>
      <c r="B754" s="2" t="n"/>
    </row>
    <row r="755" ht="15.75" customHeight="1" s="74">
      <c r="A755" s="2" t="n"/>
      <c r="B755" s="2" t="n"/>
    </row>
    <row r="756" ht="15.75" customHeight="1" s="74">
      <c r="A756" s="2" t="n"/>
      <c r="B756" s="2" t="n"/>
    </row>
    <row r="757" ht="15.75" customHeight="1" s="74">
      <c r="A757" s="2" t="n"/>
      <c r="B757" s="2" t="n"/>
    </row>
    <row r="758" ht="15.75" customHeight="1" s="74">
      <c r="A758" s="2" t="n"/>
      <c r="B758" s="2" t="n"/>
    </row>
    <row r="759" ht="15.75" customHeight="1" s="74">
      <c r="A759" s="2" t="n"/>
      <c r="B759" s="2" t="n"/>
    </row>
    <row r="760" ht="15.75" customHeight="1" s="74">
      <c r="A760" s="2" t="n"/>
      <c r="B760" s="2" t="n"/>
    </row>
    <row r="761" ht="15.75" customHeight="1" s="74">
      <c r="A761" s="2" t="n"/>
      <c r="B761" s="2" t="n"/>
    </row>
    <row r="762" ht="15.75" customHeight="1" s="74">
      <c r="A762" s="2" t="n"/>
      <c r="B762" s="2" t="n"/>
    </row>
    <row r="763" ht="15.75" customHeight="1" s="74">
      <c r="A763" s="2" t="n"/>
      <c r="B763" s="2" t="n"/>
    </row>
    <row r="764" ht="15.75" customHeight="1" s="74">
      <c r="A764" s="2" t="n"/>
      <c r="B764" s="2" t="n"/>
    </row>
    <row r="765" ht="15.75" customHeight="1" s="74">
      <c r="A765" s="2" t="n"/>
      <c r="B765" s="2" t="n"/>
    </row>
    <row r="766" ht="15.75" customHeight="1" s="74">
      <c r="A766" s="2" t="n"/>
      <c r="B766" s="2" t="n"/>
    </row>
    <row r="767" ht="15.75" customHeight="1" s="74">
      <c r="A767" s="2" t="n"/>
      <c r="B767" s="2" t="n"/>
    </row>
    <row r="768" ht="15.75" customHeight="1" s="74">
      <c r="A768" s="2" t="n"/>
      <c r="B768" s="2" t="n"/>
    </row>
    <row r="769" ht="15.75" customHeight="1" s="74">
      <c r="A769" s="2" t="n"/>
      <c r="B769" s="2" t="n"/>
    </row>
    <row r="770" ht="15.75" customHeight="1" s="74">
      <c r="A770" s="2" t="n"/>
      <c r="B770" s="2" t="n"/>
    </row>
    <row r="771" ht="15.75" customHeight="1" s="74">
      <c r="A771" s="2" t="n"/>
      <c r="B771" s="2" t="n"/>
    </row>
    <row r="772" ht="15.75" customHeight="1" s="74">
      <c r="A772" s="2" t="n"/>
      <c r="B772" s="2" t="n"/>
    </row>
    <row r="773" ht="15.75" customHeight="1" s="74">
      <c r="A773" s="2" t="n"/>
      <c r="B773" s="2" t="n"/>
    </row>
    <row r="774" ht="15.75" customHeight="1" s="74">
      <c r="A774" s="2" t="n"/>
      <c r="B774" s="2" t="n"/>
    </row>
    <row r="775" ht="15.75" customHeight="1" s="74">
      <c r="A775" s="2" t="n"/>
      <c r="B775" s="2" t="n"/>
    </row>
    <row r="776" ht="15.75" customHeight="1" s="74">
      <c r="A776" s="2" t="n"/>
      <c r="B776" s="2" t="n"/>
    </row>
    <row r="777" ht="15.75" customHeight="1" s="74">
      <c r="A777" s="2" t="n"/>
      <c r="B777" s="2" t="n"/>
    </row>
    <row r="778" ht="15.75" customHeight="1" s="74">
      <c r="A778" s="2" t="n"/>
      <c r="B778" s="2" t="n"/>
    </row>
    <row r="779" ht="15.75" customHeight="1" s="74">
      <c r="A779" s="2" t="n"/>
      <c r="B779" s="2" t="n"/>
    </row>
    <row r="780" ht="15.75" customHeight="1" s="74">
      <c r="A780" s="2" t="n"/>
      <c r="B780" s="2" t="n"/>
    </row>
    <row r="781" ht="15.75" customHeight="1" s="74">
      <c r="A781" s="2" t="n"/>
      <c r="B781" s="2" t="n"/>
    </row>
    <row r="782" ht="15.75" customHeight="1" s="74">
      <c r="A782" s="2" t="n"/>
      <c r="B782" s="2" t="n"/>
    </row>
    <row r="783" ht="15.75" customHeight="1" s="74">
      <c r="A783" s="2" t="n"/>
      <c r="B783" s="2" t="n"/>
    </row>
    <row r="784" ht="15.75" customHeight="1" s="74">
      <c r="A784" s="2" t="n"/>
      <c r="B784" s="2" t="n"/>
    </row>
    <row r="785" ht="15.75" customHeight="1" s="74">
      <c r="A785" s="2" t="n"/>
      <c r="B785" s="2" t="n"/>
    </row>
    <row r="786" ht="15.75" customHeight="1" s="74">
      <c r="A786" s="2" t="n"/>
      <c r="B786" s="2" t="n"/>
    </row>
    <row r="787" ht="15.75" customHeight="1" s="74">
      <c r="A787" s="2" t="n"/>
      <c r="B787" s="2" t="n"/>
    </row>
    <row r="788" ht="15.75" customHeight="1" s="74">
      <c r="A788" s="2" t="n"/>
      <c r="B788" s="2" t="n"/>
    </row>
    <row r="789" ht="15.75" customHeight="1" s="74">
      <c r="A789" s="2" t="n"/>
      <c r="B789" s="2" t="n"/>
    </row>
    <row r="790" ht="15.75" customHeight="1" s="74">
      <c r="A790" s="2" t="n"/>
      <c r="B790" s="2" t="n"/>
    </row>
    <row r="791" ht="15.75" customHeight="1" s="74">
      <c r="A791" s="2" t="n"/>
      <c r="B791" s="2" t="n"/>
    </row>
    <row r="792" ht="15.75" customHeight="1" s="74">
      <c r="A792" s="2" t="n"/>
      <c r="B792" s="2" t="n"/>
    </row>
    <row r="793" ht="15.75" customHeight="1" s="74">
      <c r="A793" s="2" t="n"/>
      <c r="B793" s="2" t="n"/>
    </row>
    <row r="794" ht="15.75" customHeight="1" s="74">
      <c r="A794" s="2" t="n"/>
      <c r="B794" s="2" t="n"/>
    </row>
    <row r="795" ht="15.75" customHeight="1" s="74">
      <c r="A795" s="2" t="n"/>
      <c r="B795" s="2" t="n"/>
    </row>
    <row r="796" ht="15.75" customHeight="1" s="74">
      <c r="A796" s="2" t="n"/>
      <c r="B796" s="2" t="n"/>
    </row>
    <row r="797" ht="15.75" customHeight="1" s="74">
      <c r="A797" s="2" t="n"/>
      <c r="B797" s="2" t="n"/>
    </row>
    <row r="798" ht="15.75" customHeight="1" s="74">
      <c r="A798" s="2" t="n"/>
      <c r="B798" s="2" t="n"/>
    </row>
    <row r="799" ht="15.75" customHeight="1" s="74">
      <c r="A799" s="2" t="n"/>
      <c r="B799" s="2" t="n"/>
    </row>
    <row r="800" ht="15.75" customHeight="1" s="74">
      <c r="A800" s="2" t="n"/>
      <c r="B800" s="2" t="n"/>
    </row>
    <row r="801" ht="15.75" customHeight="1" s="74">
      <c r="A801" s="2" t="n"/>
      <c r="B801" s="2" t="n"/>
    </row>
    <row r="802" ht="15.75" customHeight="1" s="74">
      <c r="A802" s="2" t="n"/>
      <c r="B802" s="2" t="n"/>
    </row>
    <row r="803" ht="15.75" customHeight="1" s="74">
      <c r="A803" s="2" t="n"/>
      <c r="B803" s="2" t="n"/>
    </row>
    <row r="804" ht="15.75" customHeight="1" s="74">
      <c r="A804" s="2" t="n"/>
      <c r="B804" s="2" t="n"/>
    </row>
    <row r="805" ht="15.75" customHeight="1" s="74">
      <c r="A805" s="2" t="n"/>
      <c r="B805" s="2" t="n"/>
    </row>
    <row r="806" ht="15.75" customHeight="1" s="74">
      <c r="A806" s="2" t="n"/>
      <c r="B806" s="2" t="n"/>
    </row>
    <row r="807" ht="15.75" customHeight="1" s="74">
      <c r="A807" s="2" t="n"/>
      <c r="B807" s="2" t="n"/>
    </row>
    <row r="808" ht="15.75" customHeight="1" s="74">
      <c r="A808" s="2" t="n"/>
      <c r="B808" s="2" t="n"/>
    </row>
    <row r="809" ht="15.75" customHeight="1" s="74">
      <c r="A809" s="2" t="n"/>
      <c r="B809" s="2" t="n"/>
    </row>
    <row r="810" ht="15.75" customHeight="1" s="74">
      <c r="A810" s="2" t="n"/>
      <c r="B810" s="2" t="n"/>
    </row>
    <row r="811" ht="15.75" customHeight="1" s="74">
      <c r="A811" s="2" t="n"/>
      <c r="B811" s="2" t="n"/>
    </row>
    <row r="812" ht="15.75" customHeight="1" s="74">
      <c r="A812" s="2" t="n"/>
      <c r="B812" s="2" t="n"/>
    </row>
    <row r="813" ht="15.75" customHeight="1" s="74">
      <c r="A813" s="2" t="n"/>
      <c r="B813" s="2" t="n"/>
    </row>
    <row r="814" ht="15.75" customHeight="1" s="74">
      <c r="A814" s="2" t="n"/>
      <c r="B814" s="2" t="n"/>
    </row>
    <row r="815" ht="15.75" customHeight="1" s="74">
      <c r="A815" s="2" t="n"/>
      <c r="B815" s="2" t="n"/>
    </row>
    <row r="816" ht="15.75" customHeight="1" s="74">
      <c r="A816" s="2" t="n"/>
      <c r="B816" s="2" t="n"/>
    </row>
    <row r="817" ht="15.75" customHeight="1" s="74">
      <c r="A817" s="2" t="n"/>
      <c r="B817" s="2" t="n"/>
    </row>
    <row r="818" ht="15.75" customHeight="1" s="74">
      <c r="A818" s="2" t="n"/>
      <c r="B818" s="2" t="n"/>
    </row>
    <row r="819" ht="15.75" customHeight="1" s="74">
      <c r="A819" s="2" t="n"/>
      <c r="B819" s="2" t="n"/>
    </row>
    <row r="820" ht="15.75" customHeight="1" s="74">
      <c r="A820" s="2" t="n"/>
      <c r="B820" s="2" t="n"/>
    </row>
    <row r="821" ht="15.75" customHeight="1" s="74">
      <c r="A821" s="2" t="n"/>
      <c r="B821" s="2" t="n"/>
    </row>
    <row r="822" ht="15.75" customHeight="1" s="74">
      <c r="A822" s="2" t="n"/>
      <c r="B822" s="2" t="n"/>
    </row>
    <row r="823" ht="15.75" customHeight="1" s="74">
      <c r="A823" s="2" t="n"/>
      <c r="B823" s="2" t="n"/>
    </row>
    <row r="824" ht="15.75" customHeight="1" s="74">
      <c r="A824" s="2" t="n"/>
      <c r="B824" s="2" t="n"/>
    </row>
    <row r="825" ht="15.75" customHeight="1" s="74">
      <c r="A825" s="2" t="n"/>
      <c r="B825" s="2" t="n"/>
    </row>
    <row r="826" ht="15.75" customHeight="1" s="74">
      <c r="A826" s="2" t="n"/>
      <c r="B826" s="2" t="n"/>
    </row>
    <row r="827" ht="15.75" customHeight="1" s="74">
      <c r="A827" s="2" t="n"/>
      <c r="B827" s="2" t="n"/>
    </row>
    <row r="828" ht="15.75" customHeight="1" s="74">
      <c r="A828" s="2" t="n"/>
      <c r="B828" s="2" t="n"/>
    </row>
    <row r="829" ht="15.75" customHeight="1" s="74">
      <c r="A829" s="2" t="n"/>
      <c r="B829" s="2" t="n"/>
    </row>
    <row r="830" ht="15.75" customHeight="1" s="74">
      <c r="A830" s="2" t="n"/>
      <c r="B830" s="2" t="n"/>
    </row>
    <row r="831" ht="15.75" customHeight="1" s="74">
      <c r="A831" s="2" t="n"/>
      <c r="B831" s="2" t="n"/>
    </row>
    <row r="832" ht="15.75" customHeight="1" s="74">
      <c r="A832" s="2" t="n"/>
      <c r="B832" s="2" t="n"/>
    </row>
    <row r="833" ht="15.75" customHeight="1" s="74">
      <c r="A833" s="2" t="n"/>
      <c r="B833" s="2" t="n"/>
    </row>
    <row r="834" ht="15.75" customHeight="1" s="74">
      <c r="A834" s="2" t="n"/>
      <c r="B834" s="2" t="n"/>
    </row>
    <row r="835" ht="15.75" customHeight="1" s="74">
      <c r="A835" s="2" t="n"/>
      <c r="B835" s="2" t="n"/>
    </row>
    <row r="836" ht="15.75" customHeight="1" s="74">
      <c r="A836" s="2" t="n"/>
      <c r="B836" s="2" t="n"/>
    </row>
    <row r="837" ht="15.75" customHeight="1" s="74">
      <c r="A837" s="2" t="n"/>
      <c r="B837" s="2" t="n"/>
    </row>
    <row r="838" ht="15.75" customHeight="1" s="74">
      <c r="A838" s="2" t="n"/>
      <c r="B838" s="2" t="n"/>
    </row>
    <row r="839" ht="15.75" customHeight="1" s="74">
      <c r="A839" s="2" t="n"/>
      <c r="B839" s="2" t="n"/>
    </row>
    <row r="840" ht="15.75" customHeight="1" s="74">
      <c r="A840" s="2" t="n"/>
      <c r="B840" s="2" t="n"/>
    </row>
    <row r="841" ht="15.75" customHeight="1" s="74">
      <c r="A841" s="2" t="n"/>
      <c r="B841" s="2" t="n"/>
    </row>
    <row r="842" ht="15.75" customHeight="1" s="74">
      <c r="A842" s="2" t="n"/>
      <c r="B842" s="2" t="n"/>
    </row>
    <row r="843" ht="15.75" customHeight="1" s="74">
      <c r="A843" s="2" t="n"/>
      <c r="B843" s="2" t="n"/>
    </row>
    <row r="844" ht="15.75" customHeight="1" s="74">
      <c r="A844" s="2" t="n"/>
      <c r="B844" s="2" t="n"/>
    </row>
    <row r="845" ht="15.75" customHeight="1" s="74">
      <c r="A845" s="2" t="n"/>
      <c r="B845" s="2" t="n"/>
    </row>
    <row r="846" ht="15.75" customHeight="1" s="74">
      <c r="A846" s="2" t="n"/>
      <c r="B846" s="2" t="n"/>
    </row>
    <row r="847" ht="15.75" customHeight="1" s="74">
      <c r="A847" s="2" t="n"/>
      <c r="B847" s="2" t="n"/>
    </row>
    <row r="848" ht="15.75" customHeight="1" s="74">
      <c r="A848" s="2" t="n"/>
      <c r="B848" s="2" t="n"/>
    </row>
    <row r="849" ht="15.75" customHeight="1" s="74">
      <c r="A849" s="2" t="n"/>
      <c r="B849" s="2" t="n"/>
    </row>
    <row r="850" ht="15.75" customHeight="1" s="74">
      <c r="A850" s="2" t="n"/>
      <c r="B850" s="2" t="n"/>
    </row>
    <row r="851" ht="15.75" customHeight="1" s="74">
      <c r="A851" s="2" t="n"/>
      <c r="B851" s="2" t="n"/>
    </row>
    <row r="852" ht="15.75" customHeight="1" s="74">
      <c r="A852" s="2" t="n"/>
      <c r="B852" s="2" t="n"/>
    </row>
    <row r="853" ht="15.75" customHeight="1" s="74">
      <c r="A853" s="2" t="n"/>
      <c r="B853" s="2" t="n"/>
    </row>
    <row r="854" ht="15.75" customHeight="1" s="74">
      <c r="A854" s="2" t="n"/>
      <c r="B854" s="2" t="n"/>
    </row>
    <row r="855" ht="15.75" customHeight="1" s="74">
      <c r="A855" s="2" t="n"/>
      <c r="B855" s="2" t="n"/>
    </row>
    <row r="856" ht="15.75" customHeight="1" s="74">
      <c r="A856" s="2" t="n"/>
      <c r="B856" s="2" t="n"/>
    </row>
    <row r="857" ht="15.75" customHeight="1" s="74">
      <c r="A857" s="2" t="n"/>
      <c r="B857" s="2" t="n"/>
    </row>
    <row r="858" ht="15.75" customHeight="1" s="74">
      <c r="A858" s="2" t="n"/>
      <c r="B858" s="2" t="n"/>
    </row>
    <row r="859" ht="15.75" customHeight="1" s="74">
      <c r="A859" s="2" t="n"/>
      <c r="B859" s="2" t="n"/>
    </row>
    <row r="860" ht="15.75" customHeight="1" s="74">
      <c r="A860" s="2" t="n"/>
      <c r="B860" s="2" t="n"/>
    </row>
    <row r="861" ht="15.75" customHeight="1" s="74">
      <c r="A861" s="2" t="n"/>
      <c r="B861" s="2" t="n"/>
    </row>
    <row r="862" ht="15.75" customHeight="1" s="74">
      <c r="A862" s="2" t="n"/>
      <c r="B862" s="2" t="n"/>
    </row>
    <row r="863" ht="15.75" customHeight="1" s="74">
      <c r="A863" s="2" t="n"/>
      <c r="B863" s="2" t="n"/>
    </row>
    <row r="864" ht="15.75" customHeight="1" s="74">
      <c r="A864" s="2" t="n"/>
      <c r="B864" s="2" t="n"/>
    </row>
    <row r="865" ht="15.75" customHeight="1" s="74">
      <c r="A865" s="2" t="n"/>
      <c r="B865" s="2" t="n"/>
    </row>
    <row r="866" ht="15.75" customHeight="1" s="74">
      <c r="A866" s="2" t="n"/>
      <c r="B866" s="2" t="n"/>
    </row>
    <row r="867" ht="15.75" customHeight="1" s="74">
      <c r="A867" s="2" t="n"/>
      <c r="B867" s="2" t="n"/>
    </row>
    <row r="868" ht="15.75" customHeight="1" s="74">
      <c r="A868" s="2" t="n"/>
      <c r="B868" s="2" t="n"/>
    </row>
    <row r="869" ht="15.75" customHeight="1" s="74">
      <c r="A869" s="2" t="n"/>
      <c r="B869" s="2" t="n"/>
    </row>
    <row r="870" ht="15.75" customHeight="1" s="74">
      <c r="A870" s="2" t="n"/>
      <c r="B870" s="2" t="n"/>
    </row>
    <row r="871" ht="15.75" customHeight="1" s="74">
      <c r="A871" s="2" t="n"/>
      <c r="B871" s="2" t="n"/>
    </row>
    <row r="872" ht="15.75" customHeight="1" s="74">
      <c r="A872" s="2" t="n"/>
      <c r="B872" s="2" t="n"/>
    </row>
    <row r="873" ht="15.75" customHeight="1" s="74">
      <c r="A873" s="2" t="n"/>
      <c r="B873" s="2" t="n"/>
    </row>
    <row r="874" ht="15.75" customHeight="1" s="74">
      <c r="A874" s="2" t="n"/>
      <c r="B874" s="2" t="n"/>
    </row>
    <row r="875" ht="15.75" customHeight="1" s="74">
      <c r="A875" s="2" t="n"/>
      <c r="B875" s="2" t="n"/>
    </row>
    <row r="876" ht="15.75" customHeight="1" s="74">
      <c r="A876" s="2" t="n"/>
      <c r="B876" s="2" t="n"/>
    </row>
    <row r="877" ht="15.75" customHeight="1" s="74">
      <c r="A877" s="2" t="n"/>
      <c r="B877" s="2" t="n"/>
    </row>
    <row r="878" ht="15.75" customHeight="1" s="74">
      <c r="A878" s="2" t="n"/>
      <c r="B878" s="2" t="n"/>
    </row>
    <row r="879" ht="15.75" customHeight="1" s="74">
      <c r="A879" s="2" t="n"/>
      <c r="B879" s="2" t="n"/>
    </row>
    <row r="880" ht="15.75" customHeight="1" s="74">
      <c r="A880" s="2" t="n"/>
      <c r="B880" s="2" t="n"/>
    </row>
    <row r="881" ht="15.75" customHeight="1" s="74">
      <c r="A881" s="2" t="n"/>
      <c r="B881" s="2" t="n"/>
    </row>
    <row r="882" ht="15.75" customHeight="1" s="74">
      <c r="A882" s="2" t="n"/>
      <c r="B882" s="2" t="n"/>
    </row>
    <row r="883" ht="15.75" customHeight="1" s="74">
      <c r="A883" s="2" t="n"/>
      <c r="B883" s="2" t="n"/>
    </row>
    <row r="884" ht="15.75" customHeight="1" s="74">
      <c r="A884" s="2" t="n"/>
      <c r="B884" s="2" t="n"/>
    </row>
    <row r="885" ht="15.75" customHeight="1" s="74">
      <c r="A885" s="2" t="n"/>
      <c r="B885" s="2" t="n"/>
    </row>
    <row r="886" ht="15.75" customHeight="1" s="74">
      <c r="A886" s="2" t="n"/>
      <c r="B886" s="2" t="n"/>
    </row>
    <row r="887" ht="15.75" customHeight="1" s="74">
      <c r="A887" s="2" t="n"/>
      <c r="B887" s="2" t="n"/>
    </row>
    <row r="888" ht="15.75" customHeight="1" s="74">
      <c r="A888" s="2" t="n"/>
      <c r="B888" s="2" t="n"/>
    </row>
    <row r="889" ht="15.75" customHeight="1" s="74">
      <c r="A889" s="2" t="n"/>
      <c r="B889" s="2" t="n"/>
    </row>
    <row r="890" ht="15.75" customHeight="1" s="74">
      <c r="A890" s="2" t="n"/>
      <c r="B890" s="2" t="n"/>
    </row>
    <row r="891" ht="15.75" customHeight="1" s="74">
      <c r="A891" s="2" t="n"/>
      <c r="B891" s="2" t="n"/>
    </row>
    <row r="892" ht="15.75" customHeight="1" s="74">
      <c r="A892" s="2" t="n"/>
      <c r="B892" s="2" t="n"/>
    </row>
    <row r="893" ht="15.75" customHeight="1" s="74">
      <c r="A893" s="2" t="n"/>
      <c r="B893" s="2" t="n"/>
    </row>
    <row r="894" ht="15.75" customHeight="1" s="74">
      <c r="A894" s="2" t="n"/>
      <c r="B894" s="2" t="n"/>
    </row>
    <row r="895" ht="15.75" customHeight="1" s="74">
      <c r="A895" s="2" t="n"/>
      <c r="B895" s="2" t="n"/>
    </row>
    <row r="896" ht="15.75" customHeight="1" s="74">
      <c r="A896" s="2" t="n"/>
      <c r="B896" s="2" t="n"/>
    </row>
    <row r="897" ht="15.75" customHeight="1" s="74">
      <c r="A897" s="2" t="n"/>
      <c r="B897" s="2" t="n"/>
    </row>
    <row r="898" ht="15.75" customHeight="1" s="74">
      <c r="A898" s="2" t="n"/>
      <c r="B898" s="2" t="n"/>
    </row>
    <row r="899" ht="15.75" customHeight="1" s="74">
      <c r="A899" s="2" t="n"/>
      <c r="B899" s="2" t="n"/>
    </row>
    <row r="900" ht="15.75" customHeight="1" s="74">
      <c r="A900" s="2" t="n"/>
      <c r="B900" s="2" t="n"/>
    </row>
    <row r="901" ht="15.75" customHeight="1" s="74">
      <c r="A901" s="2" t="n"/>
      <c r="B901" s="2" t="n"/>
    </row>
    <row r="902" ht="15.75" customHeight="1" s="74">
      <c r="A902" s="2" t="n"/>
      <c r="B902" s="2" t="n"/>
    </row>
    <row r="903" ht="15.75" customHeight="1" s="74">
      <c r="A903" s="2" t="n"/>
      <c r="B903" s="2" t="n"/>
    </row>
    <row r="904" ht="15.75" customHeight="1" s="74">
      <c r="A904" s="2" t="n"/>
      <c r="B904" s="2" t="n"/>
    </row>
    <row r="905" ht="15.75" customHeight="1" s="74">
      <c r="A905" s="2" t="n"/>
      <c r="B905" s="2" t="n"/>
    </row>
    <row r="906" ht="15.75" customHeight="1" s="74">
      <c r="A906" s="2" t="n"/>
      <c r="B906" s="2" t="n"/>
    </row>
    <row r="907" ht="15.75" customHeight="1" s="74">
      <c r="A907" s="2" t="n"/>
      <c r="B907" s="2" t="n"/>
    </row>
    <row r="908" ht="15.75" customHeight="1" s="74">
      <c r="A908" s="2" t="n"/>
      <c r="B908" s="2" t="n"/>
    </row>
    <row r="909" ht="15.75" customHeight="1" s="74">
      <c r="A909" s="2" t="n"/>
      <c r="B909" s="2" t="n"/>
    </row>
    <row r="910" ht="15.75" customHeight="1" s="74">
      <c r="A910" s="2" t="n"/>
      <c r="B910" s="2" t="n"/>
    </row>
    <row r="911" ht="15.75" customHeight="1" s="74">
      <c r="A911" s="2" t="n"/>
      <c r="B911" s="2" t="n"/>
    </row>
    <row r="912" ht="15.75" customHeight="1" s="74">
      <c r="A912" s="2" t="n"/>
      <c r="B912" s="2" t="n"/>
    </row>
    <row r="913" ht="15.75" customHeight="1" s="74">
      <c r="A913" s="2" t="n"/>
      <c r="B913" s="2" t="n"/>
    </row>
    <row r="914" ht="15.75" customHeight="1" s="74">
      <c r="A914" s="2" t="n"/>
      <c r="B914" s="2" t="n"/>
    </row>
    <row r="915" ht="15.75" customHeight="1" s="74">
      <c r="A915" s="2" t="n"/>
      <c r="B915" s="2" t="n"/>
    </row>
    <row r="916" ht="15.75" customHeight="1" s="74">
      <c r="A916" s="2" t="n"/>
      <c r="B916" s="2" t="n"/>
    </row>
    <row r="917" ht="15.75" customHeight="1" s="74">
      <c r="A917" s="2" t="n"/>
      <c r="B917" s="2" t="n"/>
    </row>
    <row r="918" ht="15.75" customHeight="1" s="74">
      <c r="A918" s="2" t="n"/>
      <c r="B918" s="2" t="n"/>
    </row>
    <row r="919" ht="15.75" customHeight="1" s="74">
      <c r="A919" s="2" t="n"/>
      <c r="B919" s="2" t="n"/>
    </row>
    <row r="920" ht="15.75" customHeight="1" s="74">
      <c r="A920" s="2" t="n"/>
      <c r="B920" s="2" t="n"/>
    </row>
    <row r="921" ht="15.75" customHeight="1" s="74">
      <c r="A921" s="2" t="n"/>
      <c r="B921" s="2" t="n"/>
    </row>
    <row r="922" ht="15.75" customHeight="1" s="74">
      <c r="A922" s="2" t="n"/>
      <c r="B922" s="2" t="n"/>
    </row>
    <row r="923" ht="15.75" customHeight="1" s="74">
      <c r="A923" s="2" t="n"/>
      <c r="B923" s="2" t="n"/>
    </row>
    <row r="924" ht="15.75" customHeight="1" s="74">
      <c r="A924" s="2" t="n"/>
      <c r="B924" s="2" t="n"/>
    </row>
    <row r="925" ht="15.75" customHeight="1" s="74">
      <c r="A925" s="2" t="n"/>
      <c r="B925" s="2" t="n"/>
    </row>
    <row r="926" ht="15.75" customHeight="1" s="74">
      <c r="A926" s="2" t="n"/>
      <c r="B926" s="2" t="n"/>
    </row>
    <row r="927" ht="15.75" customHeight="1" s="74">
      <c r="A927" s="2" t="n"/>
      <c r="B927" s="2" t="n"/>
    </row>
    <row r="928" ht="15.75" customHeight="1" s="74">
      <c r="A928" s="2" t="n"/>
      <c r="B928" s="2" t="n"/>
    </row>
    <row r="929" ht="15.75" customHeight="1" s="74">
      <c r="A929" s="2" t="n"/>
      <c r="B929" s="2" t="n"/>
    </row>
    <row r="930" ht="15.75" customHeight="1" s="74">
      <c r="A930" s="2" t="n"/>
      <c r="B930" s="2" t="n"/>
    </row>
    <row r="931" ht="15.75" customHeight="1" s="74">
      <c r="A931" s="2" t="n"/>
      <c r="B931" s="2" t="n"/>
    </row>
    <row r="932" ht="15.75" customHeight="1" s="74">
      <c r="A932" s="2" t="n"/>
      <c r="B932" s="2" t="n"/>
    </row>
    <row r="933" ht="15.75" customHeight="1" s="74">
      <c r="A933" s="2" t="n"/>
      <c r="B933" s="2" t="n"/>
    </row>
    <row r="934" ht="15.75" customHeight="1" s="74">
      <c r="A934" s="2" t="n"/>
      <c r="B934" s="2" t="n"/>
    </row>
    <row r="935" ht="15.75" customHeight="1" s="74">
      <c r="A935" s="2" t="n"/>
      <c r="B935" s="2" t="n"/>
    </row>
    <row r="936" ht="15.75" customHeight="1" s="74">
      <c r="A936" s="2" t="n"/>
      <c r="B936" s="2" t="n"/>
    </row>
    <row r="937" ht="15.75" customHeight="1" s="74">
      <c r="A937" s="2" t="n"/>
      <c r="B937" s="2" t="n"/>
    </row>
    <row r="938" ht="15.75" customHeight="1" s="74">
      <c r="A938" s="2" t="n"/>
      <c r="B938" s="2" t="n"/>
    </row>
    <row r="939" ht="15.75" customHeight="1" s="74">
      <c r="A939" s="2" t="n"/>
      <c r="B939" s="2" t="n"/>
    </row>
    <row r="940" ht="15.75" customHeight="1" s="74">
      <c r="A940" s="2" t="n"/>
      <c r="B940" s="2" t="n"/>
    </row>
    <row r="941" ht="15.75" customHeight="1" s="74">
      <c r="A941" s="2" t="n"/>
      <c r="B941" s="2" t="n"/>
    </row>
    <row r="942" ht="15.75" customHeight="1" s="74">
      <c r="A942" s="2" t="n"/>
      <c r="B942" s="2" t="n"/>
    </row>
    <row r="943" ht="15.75" customHeight="1" s="74">
      <c r="A943" s="2" t="n"/>
      <c r="B943" s="2" t="n"/>
    </row>
    <row r="944" ht="15.75" customHeight="1" s="74">
      <c r="A944" s="2" t="n"/>
      <c r="B944" s="2" t="n"/>
    </row>
    <row r="945" ht="15.75" customHeight="1" s="74">
      <c r="A945" s="2" t="n"/>
      <c r="B945" s="2" t="n"/>
    </row>
    <row r="946" ht="15.75" customHeight="1" s="74">
      <c r="A946" s="2" t="n"/>
      <c r="B946" s="2" t="n"/>
    </row>
    <row r="947" ht="15.75" customHeight="1" s="74">
      <c r="A947" s="2" t="n"/>
      <c r="B947" s="2" t="n"/>
    </row>
    <row r="948" ht="15.75" customHeight="1" s="74">
      <c r="A948" s="2" t="n"/>
      <c r="B948" s="2" t="n"/>
    </row>
    <row r="949" ht="15.75" customHeight="1" s="74">
      <c r="A949" s="2" t="n"/>
      <c r="B949" s="2" t="n"/>
    </row>
    <row r="950" ht="15.75" customHeight="1" s="74">
      <c r="A950" s="2" t="n"/>
      <c r="B950" s="2" t="n"/>
    </row>
    <row r="951" ht="15.75" customHeight="1" s="74">
      <c r="A951" s="2" t="n"/>
      <c r="B951" s="2" t="n"/>
    </row>
    <row r="952" ht="15.75" customHeight="1" s="74">
      <c r="A952" s="2" t="n"/>
      <c r="B952" s="2" t="n"/>
    </row>
    <row r="953" ht="15.75" customHeight="1" s="74">
      <c r="A953" s="2" t="n"/>
      <c r="B953" s="2" t="n"/>
    </row>
    <row r="954" ht="15.75" customHeight="1" s="74">
      <c r="A954" s="2" t="n"/>
      <c r="B954" s="2" t="n"/>
    </row>
    <row r="955" ht="15.75" customHeight="1" s="74">
      <c r="A955" s="2" t="n"/>
      <c r="B955" s="2" t="n"/>
    </row>
    <row r="956" ht="15.75" customHeight="1" s="74">
      <c r="A956" s="2" t="n"/>
      <c r="B956" s="2" t="n"/>
    </row>
    <row r="957" ht="15.75" customHeight="1" s="74">
      <c r="A957" s="2" t="n"/>
      <c r="B957" s="2" t="n"/>
    </row>
    <row r="958" ht="15.75" customHeight="1" s="74">
      <c r="A958" s="2" t="n"/>
      <c r="B958" s="2" t="n"/>
    </row>
    <row r="959" ht="15.75" customHeight="1" s="74">
      <c r="A959" s="2" t="n"/>
      <c r="B959" s="2" t="n"/>
    </row>
    <row r="960" ht="15.75" customHeight="1" s="74">
      <c r="A960" s="2" t="n"/>
      <c r="B960" s="2" t="n"/>
    </row>
    <row r="961" ht="15.75" customHeight="1" s="74">
      <c r="A961" s="2" t="n"/>
      <c r="B961" s="2" t="n"/>
    </row>
    <row r="962" ht="15.75" customHeight="1" s="74">
      <c r="A962" s="2" t="n"/>
      <c r="B962" s="2" t="n"/>
    </row>
    <row r="963" ht="15.75" customHeight="1" s="74">
      <c r="A963" s="2" t="n"/>
      <c r="B963" s="2" t="n"/>
    </row>
    <row r="964" ht="15.75" customHeight="1" s="74">
      <c r="A964" s="2" t="n"/>
      <c r="B964" s="2" t="n"/>
    </row>
    <row r="965" ht="15.75" customHeight="1" s="74">
      <c r="A965" s="2" t="n"/>
      <c r="B965" s="2" t="n"/>
    </row>
    <row r="966" ht="15.75" customHeight="1" s="74">
      <c r="A966" s="2" t="n"/>
      <c r="B966" s="2" t="n"/>
    </row>
    <row r="967" ht="15.75" customHeight="1" s="74">
      <c r="A967" s="2" t="n"/>
      <c r="B967" s="2" t="n"/>
    </row>
    <row r="968" ht="15.75" customHeight="1" s="74">
      <c r="A968" s="2" t="n"/>
      <c r="B968" s="2" t="n"/>
    </row>
    <row r="969" ht="15.75" customHeight="1" s="74">
      <c r="A969" s="2" t="n"/>
      <c r="B969" s="2" t="n"/>
    </row>
    <row r="970" ht="15.75" customHeight="1" s="74">
      <c r="A970" s="2" t="n"/>
      <c r="B970" s="2" t="n"/>
    </row>
    <row r="971" ht="15.75" customHeight="1" s="74">
      <c r="A971" s="2" t="n"/>
      <c r="B971" s="2" t="n"/>
    </row>
    <row r="972" ht="15.75" customHeight="1" s="74">
      <c r="A972" s="2" t="n"/>
      <c r="B972" s="2" t="n"/>
    </row>
    <row r="973" ht="15.75" customHeight="1" s="74">
      <c r="A973" s="2" t="n"/>
      <c r="B973" s="2" t="n"/>
    </row>
    <row r="974" ht="15.75" customHeight="1" s="74">
      <c r="A974" s="2" t="n"/>
      <c r="B974" s="2" t="n"/>
    </row>
    <row r="975" ht="15.75" customHeight="1" s="74">
      <c r="A975" s="2" t="n"/>
      <c r="B975" s="2" t="n"/>
    </row>
    <row r="976" ht="15.75" customHeight="1" s="74">
      <c r="A976" s="2" t="n"/>
      <c r="B976" s="2" t="n"/>
    </row>
    <row r="977" ht="15.75" customHeight="1" s="74">
      <c r="A977" s="2" t="n"/>
      <c r="B977" s="2" t="n"/>
    </row>
    <row r="978" ht="15.75" customHeight="1" s="74">
      <c r="A978" s="2" t="n"/>
      <c r="B978" s="2" t="n"/>
    </row>
    <row r="979" ht="15.75" customHeight="1" s="74">
      <c r="A979" s="2" t="n"/>
      <c r="B979" s="2" t="n"/>
    </row>
    <row r="980" ht="15.75" customHeight="1" s="74">
      <c r="A980" s="2" t="n"/>
      <c r="B980" s="2" t="n"/>
    </row>
    <row r="981" ht="15.75" customHeight="1" s="74">
      <c r="A981" s="2" t="n"/>
      <c r="B981" s="2" t="n"/>
    </row>
    <row r="982" ht="15.75" customHeight="1" s="74">
      <c r="A982" s="2" t="n"/>
      <c r="B982" s="2" t="n"/>
    </row>
    <row r="983" ht="15.75" customHeight="1" s="74">
      <c r="A983" s="2" t="n"/>
      <c r="B983" s="2" t="n"/>
    </row>
    <row r="984" ht="15.75" customHeight="1" s="74">
      <c r="A984" s="2" t="n"/>
      <c r="B984" s="2" t="n"/>
    </row>
    <row r="985" ht="15.75" customHeight="1" s="74">
      <c r="A985" s="2" t="n"/>
      <c r="B985" s="2" t="n"/>
    </row>
    <row r="986" ht="15.75" customHeight="1" s="74">
      <c r="A986" s="2" t="n"/>
      <c r="B986" s="2" t="n"/>
    </row>
    <row r="987" ht="15.75" customHeight="1" s="74">
      <c r="A987" s="2" t="n"/>
      <c r="B987" s="2" t="n"/>
    </row>
    <row r="988" ht="15.75" customHeight="1" s="74">
      <c r="A988" s="2" t="n"/>
      <c r="B988" s="2" t="n"/>
    </row>
    <row r="989" ht="15.75" customHeight="1" s="74">
      <c r="A989" s="2" t="n"/>
      <c r="B989" s="2" t="n"/>
    </row>
    <row r="990" ht="15.75" customHeight="1" s="74">
      <c r="A990" s="2" t="n"/>
      <c r="B990" s="2" t="n"/>
    </row>
    <row r="991" ht="15.75" customHeight="1" s="74">
      <c r="A991" s="2" t="n"/>
      <c r="B991" s="2" t="n"/>
    </row>
    <row r="992" ht="15.75" customHeight="1" s="74">
      <c r="A992" s="2" t="n"/>
      <c r="B992" s="2" t="n"/>
    </row>
    <row r="993" ht="15.75" customHeight="1" s="74">
      <c r="A993" s="2" t="n"/>
      <c r="B993" s="2" t="n"/>
    </row>
    <row r="994" ht="15.75" customHeight="1" s="74">
      <c r="A994" s="2" t="n"/>
      <c r="B994" s="2" t="n"/>
    </row>
    <row r="995" ht="15.75" customHeight="1" s="74">
      <c r="A995" s="2" t="n"/>
      <c r="B995" s="2" t="n"/>
    </row>
    <row r="996" ht="15.75" customHeight="1" s="74">
      <c r="A996" s="2" t="n"/>
      <c r="B996" s="2" t="n"/>
    </row>
    <row r="997" ht="15.75" customHeight="1" s="74">
      <c r="A997" s="2" t="n"/>
      <c r="B997" s="2" t="n"/>
    </row>
    <row r="998" ht="15.75" customHeight="1" s="74">
      <c r="A998" s="2" t="n"/>
      <c r="B998" s="2" t="n"/>
    </row>
    <row r="999" ht="15.75" customHeight="1" s="74">
      <c r="A999" s="2" t="n"/>
      <c r="B999" s="2" t="n"/>
    </row>
    <row r="1000" ht="15.75" customHeight="1" s="74">
      <c r="A1000" s="2" t="n"/>
      <c r="B1000" s="2" t="n"/>
    </row>
  </sheetData>
  <mergeCells count="1">
    <mergeCell ref="B102:AI102"/>
  </mergeCells>
  <pageMargins left="0.75" right="0.75" top="1" bottom="1" header="0" footer="0"/>
  <pageSetup orientation="portrait"/>
</worksheet>
</file>

<file path=xl/worksheets/sheet4.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10" defaultColWidth="12.6640625" defaultRowHeight="15" customHeight="1"/>
  <cols>
    <col width="25.1640625" customWidth="1" style="74" min="1" max="1"/>
    <col width="10.1640625" customWidth="1" style="74" min="2" max="7"/>
    <col width="7.6640625" customWidth="1" style="74" min="8" max="26"/>
  </cols>
  <sheetData>
    <row r="1" ht="28.5" customHeight="1" s="74">
      <c r="A1" s="32" t="inlineStr">
        <is>
          <t>Release date: February 2017
Revised date: May 2018</t>
        </is>
      </c>
      <c r="B1" s="2" t="n"/>
      <c r="C1" s="2" t="n"/>
      <c r="D1" s="2" t="n"/>
      <c r="E1" s="2" t="n"/>
      <c r="F1" s="2" t="n"/>
      <c r="G1" s="2" t="n"/>
    </row>
    <row r="2" ht="24" customHeight="1" s="74">
      <c r="A2" s="73" t="inlineStr">
        <is>
          <t>Table HC2.1  Structural and geographic characteristics of U.S. homes by housing unit type, 20151</t>
        </is>
      </c>
    </row>
    <row r="3" ht="24" customHeight="1" s="74">
      <c r="A3" s="52" t="n"/>
      <c r="B3" s="75" t="inlineStr">
        <is>
          <t>Number of housing units (million)</t>
        </is>
      </c>
      <c r="C3" s="76" t="n"/>
      <c r="D3" s="76" t="n"/>
      <c r="E3" s="76" t="n"/>
      <c r="F3" s="76" t="n"/>
      <c r="G3" s="76" t="n"/>
    </row>
    <row r="4" ht="23.25" customHeight="1" s="74">
      <c r="A4" s="52" t="n"/>
      <c r="B4" s="33" t="n"/>
      <c r="C4" s="77" t="inlineStr">
        <is>
          <t>Housing unit type</t>
        </is>
      </c>
      <c r="D4" s="78" t="n"/>
      <c r="E4" s="78" t="n"/>
      <c r="F4" s="78" t="n"/>
      <c r="G4" s="79" t="n"/>
    </row>
    <row r="5" ht="46.5" customHeight="1" s="74">
      <c r="A5" s="34" t="n"/>
      <c r="B5" s="35" t="inlineStr">
        <is>
          <t>Total U.S.2</t>
        </is>
      </c>
      <c r="C5" s="35" t="inlineStr">
        <is>
          <t>Single-family detached</t>
        </is>
      </c>
      <c r="D5" s="35" t="inlineStr">
        <is>
          <t>Single-family attached</t>
        </is>
      </c>
      <c r="E5" s="35" t="inlineStr">
        <is>
          <t>Apartment
 (2- to 4-unit building)</t>
        </is>
      </c>
      <c r="F5" s="35" t="inlineStr">
        <is>
          <t>Apartment
 (5 or more unit building)</t>
        </is>
      </c>
      <c r="G5" s="35" t="inlineStr">
        <is>
          <t>Mobile home</t>
        </is>
      </c>
    </row>
    <row r="6" ht="24" customHeight="1" s="74">
      <c r="A6" s="36" t="inlineStr">
        <is>
          <t>All homes</t>
        </is>
      </c>
      <c r="B6" s="37" t="n">
        <v>118.2</v>
      </c>
      <c r="C6" s="37" t="n">
        <v>73.90000000000001</v>
      </c>
      <c r="D6" s="37" t="n">
        <v>7</v>
      </c>
      <c r="E6" s="37" t="n">
        <v>9.4</v>
      </c>
      <c r="F6" s="37" t="n">
        <v>21.1</v>
      </c>
      <c r="G6" s="37" t="n">
        <v>6.8</v>
      </c>
    </row>
    <row r="7" ht="24" customHeight="1" s="74">
      <c r="A7" s="38" t="inlineStr">
        <is>
          <t>Census region and division</t>
        </is>
      </c>
      <c r="B7" s="39" t="n"/>
      <c r="C7" s="39" t="n"/>
      <c r="D7" s="39" t="n"/>
      <c r="E7" s="39" t="n"/>
      <c r="F7" s="39" t="n"/>
      <c r="G7" s="39" t="n"/>
    </row>
    <row r="8" ht="15" customHeight="1" s="74">
      <c r="A8" s="40" t="inlineStr">
        <is>
          <t>Northeast</t>
        </is>
      </c>
      <c r="B8" s="41" t="n">
        <v>21</v>
      </c>
      <c r="C8" s="41" t="n">
        <v>10.8</v>
      </c>
      <c r="D8" s="41" t="n">
        <v>1.9</v>
      </c>
      <c r="E8" s="41" t="n">
        <v>3.2</v>
      </c>
      <c r="F8" s="41" t="n">
        <v>4.7</v>
      </c>
      <c r="G8" s="41" t="n">
        <v>0.5</v>
      </c>
    </row>
    <row r="9" ht="14.25" customHeight="1" s="74">
      <c r="A9" s="42" t="inlineStr">
        <is>
          <t>New England</t>
        </is>
      </c>
      <c r="B9" s="41" t="n">
        <v>5.6</v>
      </c>
      <c r="C9" s="41" t="n">
        <v>3.2</v>
      </c>
      <c r="D9" s="41" t="n">
        <v>0.3</v>
      </c>
      <c r="E9" s="41" t="n">
        <v>1</v>
      </c>
      <c r="F9" s="41" t="n">
        <v>1</v>
      </c>
      <c r="G9" s="41" t="inlineStr">
        <is>
          <t>Q</t>
        </is>
      </c>
    </row>
    <row r="10" ht="14.25" customHeight="1" s="74">
      <c r="A10" s="42" t="inlineStr">
        <is>
          <t>Middle Atlantic</t>
        </is>
      </c>
      <c r="B10" s="41" t="n">
        <v>15.4</v>
      </c>
      <c r="C10" s="41" t="n">
        <v>7.6</v>
      </c>
      <c r="D10" s="41" t="n">
        <v>1.6</v>
      </c>
      <c r="E10" s="41" t="n">
        <v>2.2</v>
      </c>
      <c r="F10" s="41" t="n">
        <v>3.7</v>
      </c>
      <c r="G10" s="41" t="n">
        <v>0.4</v>
      </c>
    </row>
    <row r="11" ht="14.25" customHeight="1" s="74">
      <c r="A11" s="40" t="inlineStr">
        <is>
          <t>Midwest</t>
        </is>
      </c>
      <c r="B11" s="41" t="n">
        <v>26.4</v>
      </c>
      <c r="C11" s="41" t="n">
        <v>18.2</v>
      </c>
      <c r="D11" s="41" t="n">
        <v>1.3</v>
      </c>
      <c r="E11" s="41" t="n">
        <v>2</v>
      </c>
      <c r="F11" s="41" t="n">
        <v>4</v>
      </c>
      <c r="G11" s="41" t="n">
        <v>1</v>
      </c>
    </row>
    <row r="12" ht="14.25" customHeight="1" s="74">
      <c r="A12" s="42" t="inlineStr">
        <is>
          <t>East North Central</t>
        </is>
      </c>
      <c r="B12" s="41" t="n">
        <v>18.1</v>
      </c>
      <c r="C12" s="41" t="n">
        <v>12.3</v>
      </c>
      <c r="D12" s="41" t="n">
        <v>0.9</v>
      </c>
      <c r="E12" s="41" t="n">
        <v>1.5</v>
      </c>
      <c r="F12" s="41" t="n">
        <v>2.8</v>
      </c>
      <c r="G12" s="41" t="n">
        <v>0.6</v>
      </c>
    </row>
    <row r="13" ht="15" customHeight="1" s="74">
      <c r="A13" s="42" t="inlineStr">
        <is>
          <t>West North Central</t>
        </is>
      </c>
      <c r="B13" s="41" t="n">
        <v>8.300000000000001</v>
      </c>
      <c r="C13" s="41" t="n">
        <v>5.9</v>
      </c>
      <c r="D13" s="41" t="n">
        <v>0.4</v>
      </c>
      <c r="E13" s="41" t="n">
        <v>0.5</v>
      </c>
      <c r="F13" s="41" t="n">
        <v>1.2</v>
      </c>
      <c r="G13" s="41" t="n">
        <v>0.4</v>
      </c>
    </row>
    <row r="14" ht="14.25" customHeight="1" s="74">
      <c r="A14" s="40" t="inlineStr">
        <is>
          <t>South</t>
        </is>
      </c>
      <c r="B14" s="41" t="n">
        <v>44.4</v>
      </c>
      <c r="C14" s="41" t="n">
        <v>28.7</v>
      </c>
      <c r="D14" s="41" t="n">
        <v>2.3</v>
      </c>
      <c r="E14" s="41" t="n">
        <v>2.4</v>
      </c>
      <c r="F14" s="41" t="n">
        <v>7.2</v>
      </c>
      <c r="G14" s="41" t="n">
        <v>3.9</v>
      </c>
    </row>
    <row r="15" ht="14.25" customHeight="1" s="74">
      <c r="A15" s="42" t="inlineStr">
        <is>
          <t>South Atlantic</t>
        </is>
      </c>
      <c r="B15" s="41" t="n">
        <v>23.5</v>
      </c>
      <c r="C15" s="41" t="n">
        <v>14.4</v>
      </c>
      <c r="D15" s="41" t="n">
        <v>1.8</v>
      </c>
      <c r="E15" s="41" t="n">
        <v>1.2</v>
      </c>
      <c r="F15" s="41" t="n">
        <v>4.1</v>
      </c>
      <c r="G15" s="41" t="n">
        <v>2</v>
      </c>
    </row>
    <row r="16" ht="14.25" customHeight="1" s="74">
      <c r="A16" s="42" t="inlineStr">
        <is>
          <t>East South Central</t>
        </is>
      </c>
      <c r="B16" s="41" t="n">
        <v>7.2</v>
      </c>
      <c r="C16" s="41" t="n">
        <v>5</v>
      </c>
      <c r="D16" s="41" t="n">
        <v>0.2</v>
      </c>
      <c r="E16" s="41" t="n">
        <v>0.4</v>
      </c>
      <c r="F16" s="41" t="n">
        <v>0.8</v>
      </c>
      <c r="G16" s="41" t="n">
        <v>0.8</v>
      </c>
    </row>
    <row r="17" ht="15" customHeight="1" s="74">
      <c r="A17" s="42" t="inlineStr">
        <is>
          <t>West South Central</t>
        </is>
      </c>
      <c r="B17" s="41" t="n">
        <v>13.8</v>
      </c>
      <c r="C17" s="41" t="n">
        <v>9.300000000000001</v>
      </c>
      <c r="D17" s="41" t="n">
        <v>0.3</v>
      </c>
      <c r="E17" s="41" t="n">
        <v>0.8</v>
      </c>
      <c r="F17" s="41" t="n">
        <v>2.3</v>
      </c>
      <c r="G17" s="41" t="n">
        <v>1.1</v>
      </c>
    </row>
    <row r="18" ht="14.25" customHeight="1" s="74">
      <c r="A18" s="40" t="inlineStr">
        <is>
          <t>West</t>
        </is>
      </c>
      <c r="B18" s="41" t="n">
        <v>26.4</v>
      </c>
      <c r="C18" s="41" t="n">
        <v>16.2</v>
      </c>
      <c r="D18" s="41" t="n">
        <v>1.6</v>
      </c>
      <c r="E18" s="41" t="n">
        <v>1.9</v>
      </c>
      <c r="F18" s="41" t="n">
        <v>5.3</v>
      </c>
      <c r="G18" s="41" t="n">
        <v>1.4</v>
      </c>
    </row>
    <row r="19" ht="14.25" customHeight="1" s="74">
      <c r="A19" s="42" t="inlineStr">
        <is>
          <t>Mountain</t>
        </is>
      </c>
      <c r="B19" s="41" t="n">
        <v>8.5</v>
      </c>
      <c r="C19" s="41" t="n">
        <v>5.6</v>
      </c>
      <c r="D19" s="41" t="n">
        <v>0.4</v>
      </c>
      <c r="E19" s="41" t="n">
        <v>0.5</v>
      </c>
      <c r="F19" s="41" t="n">
        <v>1.3</v>
      </c>
      <c r="G19" s="41" t="n">
        <v>0.7</v>
      </c>
    </row>
    <row r="20" ht="14.25" customHeight="1" s="74">
      <c r="A20" s="42" t="inlineStr">
        <is>
          <t>Mountain North</t>
        </is>
      </c>
      <c r="B20" s="41" t="n">
        <v>4.2</v>
      </c>
      <c r="C20" s="41" t="n">
        <v>2.9</v>
      </c>
      <c r="D20" s="41" t="n">
        <v>0.2</v>
      </c>
      <c r="E20" s="41" t="inlineStr">
        <is>
          <t>Q</t>
        </is>
      </c>
      <c r="F20" s="41" t="n">
        <v>0.6</v>
      </c>
      <c r="G20" s="41" t="n">
        <v>0.2</v>
      </c>
    </row>
    <row r="21" ht="14.25" customHeight="1" s="74">
      <c r="A21" s="42" t="inlineStr">
        <is>
          <t>Mountain South</t>
        </is>
      </c>
      <c r="B21" s="41" t="n">
        <v>4.3</v>
      </c>
      <c r="C21" s="41" t="n">
        <v>2.8</v>
      </c>
      <c r="D21" s="41" t="n">
        <v>0.2</v>
      </c>
      <c r="E21" s="41" t="inlineStr">
        <is>
          <t>Q</t>
        </is>
      </c>
      <c r="F21" s="41" t="n">
        <v>0.7</v>
      </c>
      <c r="G21" s="41" t="inlineStr">
        <is>
          <t>Q</t>
        </is>
      </c>
    </row>
    <row r="22" ht="14.25" customHeight="1" s="74">
      <c r="A22" s="42" t="inlineStr">
        <is>
          <t>Pacific</t>
        </is>
      </c>
      <c r="B22" s="41" t="n">
        <v>17.9</v>
      </c>
      <c r="C22" s="41" t="n">
        <v>10.6</v>
      </c>
      <c r="D22" s="41" t="n">
        <v>1.1</v>
      </c>
      <c r="E22" s="41" t="n">
        <v>1.4</v>
      </c>
      <c r="F22" s="41" t="n">
        <v>4</v>
      </c>
      <c r="G22" s="41" t="n">
        <v>0.8</v>
      </c>
    </row>
    <row r="23" ht="24" customHeight="1" s="74">
      <c r="A23" s="38" t="inlineStr">
        <is>
          <t>Census urban/rural classification3</t>
        </is>
      </c>
      <c r="B23" s="39" t="n"/>
      <c r="C23" s="39" t="n"/>
      <c r="D23" s="39" t="n"/>
      <c r="E23" s="39" t="n"/>
      <c r="F23" s="39" t="n"/>
      <c r="G23" s="39" t="n"/>
    </row>
    <row r="24" ht="14.25" customHeight="1" s="74">
      <c r="A24" s="40" t="inlineStr">
        <is>
          <t>Urban</t>
        </is>
      </c>
      <c r="B24" s="41" t="n">
        <v>94.7</v>
      </c>
      <c r="C24" s="41" t="n">
        <v>55.4</v>
      </c>
      <c r="D24" s="41" t="n">
        <v>6.7</v>
      </c>
      <c r="E24" s="41" t="n">
        <v>8.800000000000001</v>
      </c>
      <c r="F24" s="41" t="n">
        <v>20.9</v>
      </c>
      <c r="G24" s="41" t="n">
        <v>2.9</v>
      </c>
    </row>
    <row r="25" ht="14.25" customHeight="1" s="74">
      <c r="A25" s="42" t="inlineStr">
        <is>
          <t>Urbanized area</t>
        </is>
      </c>
      <c r="B25" s="41" t="n">
        <v>82.2</v>
      </c>
      <c r="C25" s="41" t="n">
        <v>47.5</v>
      </c>
      <c r="D25" s="41" t="n">
        <v>6.2</v>
      </c>
      <c r="E25" s="41" t="n">
        <v>7.6</v>
      </c>
      <c r="F25" s="41" t="n">
        <v>18.6</v>
      </c>
      <c r="G25" s="41" t="n">
        <v>2.4</v>
      </c>
      <c r="H25" s="4" t="n"/>
      <c r="I25" s="4" t="n"/>
      <c r="J25" s="4" t="n"/>
      <c r="K25" s="4" t="n"/>
      <c r="L25" s="4" t="n"/>
      <c r="M25" s="4" t="n"/>
      <c r="N25" s="4" t="n"/>
      <c r="O25" s="4" t="n"/>
      <c r="P25" s="4" t="n"/>
      <c r="Q25" s="4" t="n"/>
      <c r="R25" s="4" t="n"/>
      <c r="S25" s="4" t="n"/>
      <c r="T25" s="4" t="n"/>
      <c r="U25" s="4" t="n"/>
      <c r="V25" s="4" t="n"/>
      <c r="W25" s="4" t="n"/>
      <c r="X25" s="4" t="n"/>
      <c r="Y25" s="4" t="n"/>
      <c r="Z25" s="4" t="n"/>
    </row>
    <row r="26" ht="14.25" customHeight="1" s="74">
      <c r="A26" s="42" t="inlineStr">
        <is>
          <t>Urban cluster</t>
        </is>
      </c>
      <c r="B26" s="41" t="n">
        <v>12.5</v>
      </c>
      <c r="C26" s="41" t="n">
        <v>7.9</v>
      </c>
      <c r="D26" s="41" t="n">
        <v>0.5</v>
      </c>
      <c r="E26" s="41" t="n">
        <v>1.2</v>
      </c>
      <c r="F26" s="41" t="n">
        <v>2.3</v>
      </c>
      <c r="G26" s="41" t="n">
        <v>0.6</v>
      </c>
      <c r="H26" s="4" t="n"/>
      <c r="I26" s="4" t="n"/>
      <c r="J26" s="4" t="n"/>
      <c r="K26" s="4" t="n"/>
      <c r="L26" s="4" t="n"/>
      <c r="M26" s="4" t="n"/>
      <c r="N26" s="4" t="n"/>
      <c r="O26" s="4" t="n"/>
      <c r="P26" s="4" t="n"/>
      <c r="Q26" s="4" t="n"/>
      <c r="R26" s="4" t="n"/>
      <c r="S26" s="4" t="n"/>
      <c r="T26" s="4" t="n"/>
      <c r="U26" s="4" t="n"/>
      <c r="V26" s="4" t="n"/>
      <c r="W26" s="4" t="n"/>
      <c r="X26" s="4" t="n"/>
      <c r="Y26" s="4" t="n"/>
      <c r="Z26" s="4" t="n"/>
    </row>
    <row r="27" ht="14.25" customHeight="1" s="74">
      <c r="A27" s="40" t="inlineStr">
        <is>
          <t>Rural</t>
        </is>
      </c>
      <c r="B27" s="41" t="n">
        <v>23.5</v>
      </c>
      <c r="C27" s="41" t="n">
        <v>18.5</v>
      </c>
      <c r="D27" s="41" t="n">
        <v>0.3</v>
      </c>
      <c r="E27" s="41" t="n">
        <v>0.6</v>
      </c>
      <c r="F27" s="41" t="n">
        <v>0.2</v>
      </c>
      <c r="G27" s="41" t="n">
        <v>3.9</v>
      </c>
    </row>
    <row r="28" ht="33.75" customHeight="1" s="74">
      <c r="A28" s="38" t="inlineStr">
        <is>
          <t>Metropolitan or micropolitan statistical area</t>
        </is>
      </c>
      <c r="B28" s="39" t="n"/>
      <c r="C28" s="39" t="n"/>
      <c r="D28" s="39" t="n"/>
      <c r="E28" s="39" t="n"/>
      <c r="F28" s="39" t="n"/>
      <c r="G28" s="39" t="n"/>
    </row>
    <row r="29" ht="14.25" customHeight="1" s="74">
      <c r="A29" s="40" t="inlineStr">
        <is>
          <t>In metropolitan statistical area</t>
        </is>
      </c>
      <c r="B29" s="41" t="n">
        <v>98.5</v>
      </c>
      <c r="C29" s="41" t="n">
        <v>60.1</v>
      </c>
      <c r="D29" s="41" t="n">
        <v>6.6</v>
      </c>
      <c r="E29" s="41" t="n">
        <v>8.300000000000001</v>
      </c>
      <c r="F29" s="41" t="n">
        <v>19.5</v>
      </c>
      <c r="G29" s="41" t="n">
        <v>4</v>
      </c>
    </row>
    <row r="30" ht="14.25" customHeight="1" s="74">
      <c r="A30" s="40" t="inlineStr">
        <is>
          <t>In micropolitan statistical area</t>
        </is>
      </c>
      <c r="B30" s="41" t="n">
        <v>12.3</v>
      </c>
      <c r="C30" s="41" t="n">
        <v>8.6</v>
      </c>
      <c r="D30" s="41" t="n">
        <v>0.2</v>
      </c>
      <c r="E30" s="41" t="n">
        <v>0.6</v>
      </c>
      <c r="F30" s="41" t="n">
        <v>1.2</v>
      </c>
      <c r="G30" s="41" t="n">
        <v>1.7</v>
      </c>
    </row>
    <row r="31" ht="26.25" customHeight="1" s="74">
      <c r="A31" s="40" t="inlineStr">
        <is>
          <t>Not in metropolitan or micropolitan statistical area</t>
        </is>
      </c>
      <c r="B31" s="41" t="n">
        <v>7.4</v>
      </c>
      <c r="C31" s="41" t="n">
        <v>5.2</v>
      </c>
      <c r="D31" s="41" t="inlineStr">
        <is>
          <t>Q</t>
        </is>
      </c>
      <c r="E31" s="41" t="n">
        <v>0.5</v>
      </c>
      <c r="F31" s="41" t="inlineStr">
        <is>
          <t>Q</t>
        </is>
      </c>
      <c r="G31" s="41" t="n">
        <v>1.1</v>
      </c>
    </row>
    <row r="32" ht="24" customHeight="1" s="74">
      <c r="A32" s="38" t="inlineStr">
        <is>
          <t>Climate region4</t>
        </is>
      </c>
      <c r="B32" s="39" t="n"/>
      <c r="C32" s="39" t="n"/>
      <c r="D32" s="39" t="n"/>
      <c r="E32" s="39" t="n"/>
      <c r="F32" s="39" t="n"/>
      <c r="G32" s="39" t="n"/>
    </row>
    <row r="33" ht="14.25" customHeight="1" s="74">
      <c r="A33" s="40" t="inlineStr">
        <is>
          <t>Very cold/Cold</t>
        </is>
      </c>
      <c r="B33" s="41" t="n">
        <v>42.5</v>
      </c>
      <c r="C33" s="41" t="n">
        <v>27.5</v>
      </c>
      <c r="D33" s="41" t="n">
        <v>2.3</v>
      </c>
      <c r="E33" s="41" t="n">
        <v>4.3</v>
      </c>
      <c r="F33" s="41" t="n">
        <v>6.7</v>
      </c>
      <c r="G33" s="41" t="n">
        <v>1.8</v>
      </c>
    </row>
    <row r="34" ht="14.25" customHeight="1" s="74">
      <c r="A34" s="40" t="inlineStr">
        <is>
          <t>Mixed-humid</t>
        </is>
      </c>
      <c r="B34" s="41" t="n">
        <v>33.5</v>
      </c>
      <c r="C34" s="41" t="n">
        <v>20.1</v>
      </c>
      <c r="D34" s="41" t="n">
        <v>2.4</v>
      </c>
      <c r="E34" s="41" t="n">
        <v>2.3</v>
      </c>
      <c r="F34" s="41" t="n">
        <v>6.3</v>
      </c>
      <c r="G34" s="41" t="n">
        <v>2.4</v>
      </c>
    </row>
    <row r="35" ht="14.25" customHeight="1" s="74">
      <c r="A35" s="40" t="inlineStr">
        <is>
          <t>Mixed-dry/Hot-dry</t>
        </is>
      </c>
      <c r="B35" s="41" t="n">
        <v>12.7</v>
      </c>
      <c r="C35" s="41" t="n">
        <v>7</v>
      </c>
      <c r="D35" s="41" t="n">
        <v>1</v>
      </c>
      <c r="E35" s="41" t="n">
        <v>1.3</v>
      </c>
      <c r="F35" s="41" t="n">
        <v>3.2</v>
      </c>
      <c r="G35" s="41" t="n">
        <v>0.3</v>
      </c>
    </row>
    <row r="36" ht="14.25" customHeight="1" s="74">
      <c r="A36" s="40" t="inlineStr">
        <is>
          <t>Hot-humid</t>
        </is>
      </c>
      <c r="B36" s="41" t="n">
        <v>22.8</v>
      </c>
      <c r="C36" s="41" t="n">
        <v>14.6</v>
      </c>
      <c r="D36" s="41" t="n">
        <v>1</v>
      </c>
      <c r="E36" s="41" t="n">
        <v>1.2</v>
      </c>
      <c r="F36" s="41" t="n">
        <v>4.2</v>
      </c>
      <c r="G36" s="41" t="n">
        <v>1.8</v>
      </c>
    </row>
    <row r="37" ht="14.25" customHeight="1" s="74">
      <c r="A37" s="40" t="inlineStr">
        <is>
          <t>Marine</t>
        </is>
      </c>
      <c r="B37" s="41" t="n">
        <v>6.7</v>
      </c>
      <c r="C37" s="41" t="n">
        <v>4.8</v>
      </c>
      <c r="D37" s="41" t="n">
        <v>0.3</v>
      </c>
      <c r="E37" s="41" t="n">
        <v>0.3</v>
      </c>
      <c r="F37" s="41" t="n">
        <v>0.8</v>
      </c>
      <c r="G37" s="41" t="n">
        <v>0.4</v>
      </c>
    </row>
    <row r="38" ht="24" customHeight="1" s="74">
      <c r="A38" s="38" t="inlineStr">
        <is>
          <t>Year of construction</t>
        </is>
      </c>
      <c r="B38" s="39" t="n"/>
      <c r="C38" s="39" t="n"/>
      <c r="D38" s="39" t="n"/>
      <c r="E38" s="39" t="n"/>
      <c r="F38" s="39" t="n"/>
      <c r="G38" s="39" t="n"/>
    </row>
    <row r="39" ht="14.25" customHeight="1" s="74">
      <c r="A39" s="40" t="inlineStr">
        <is>
          <t>Before 1950</t>
        </is>
      </c>
      <c r="B39" s="41" t="n">
        <v>20.8</v>
      </c>
      <c r="C39" s="41" t="n">
        <v>13.6</v>
      </c>
      <c r="D39" s="41" t="n">
        <v>1.1</v>
      </c>
      <c r="E39" s="41" t="n">
        <v>2.9</v>
      </c>
      <c r="F39" s="41" t="n">
        <v>3.1</v>
      </c>
      <c r="G39" s="41" t="inlineStr">
        <is>
          <t>Q</t>
        </is>
      </c>
    </row>
    <row r="40" ht="14.25" customHeight="1" s="74">
      <c r="A40" s="40" t="inlineStr">
        <is>
          <t>1950 to 1959</t>
        </is>
      </c>
      <c r="B40" s="41" t="n">
        <v>12.6</v>
      </c>
      <c r="C40" s="41" t="n">
        <v>9.5</v>
      </c>
      <c r="D40" s="41" t="n">
        <v>0.8</v>
      </c>
      <c r="E40" s="41" t="n">
        <v>1.1</v>
      </c>
      <c r="F40" s="41" t="n">
        <v>1.1</v>
      </c>
      <c r="G40" s="41" t="inlineStr">
        <is>
          <t>Q</t>
        </is>
      </c>
    </row>
    <row r="41" ht="14.25" customHeight="1" s="74">
      <c r="A41" s="40" t="inlineStr">
        <is>
          <t>1960 to 1969</t>
        </is>
      </c>
      <c r="B41" s="41" t="n">
        <v>12.8</v>
      </c>
      <c r="C41" s="41" t="n">
        <v>8.300000000000001</v>
      </c>
      <c r="D41" s="41" t="n">
        <v>0.5</v>
      </c>
      <c r="E41" s="41" t="n">
        <v>0.9</v>
      </c>
      <c r="F41" s="41" t="n">
        <v>2.7</v>
      </c>
      <c r="G41" s="41" t="n">
        <v>0.4</v>
      </c>
    </row>
    <row r="42" ht="14.25" customHeight="1" s="74">
      <c r="A42" s="40" t="inlineStr">
        <is>
          <t>1970 to 1979</t>
        </is>
      </c>
      <c r="B42" s="41" t="n">
        <v>18.3</v>
      </c>
      <c r="C42" s="41" t="n">
        <v>10.3</v>
      </c>
      <c r="D42" s="41" t="n">
        <v>1</v>
      </c>
      <c r="E42" s="41" t="n">
        <v>1.4</v>
      </c>
      <c r="F42" s="41" t="n">
        <v>4</v>
      </c>
      <c r="G42" s="41" t="n">
        <v>1.5</v>
      </c>
    </row>
    <row r="43" ht="14.25" customHeight="1" s="74">
      <c r="A43" s="40" t="inlineStr">
        <is>
          <t>1980 to 1989</t>
        </is>
      </c>
      <c r="B43" s="41" t="n">
        <v>16</v>
      </c>
      <c r="C43" s="41" t="n">
        <v>8.4</v>
      </c>
      <c r="D43" s="41" t="n">
        <v>1.3</v>
      </c>
      <c r="E43" s="41" t="n">
        <v>1.1</v>
      </c>
      <c r="F43" s="41" t="n">
        <v>3.8</v>
      </c>
      <c r="G43" s="41" t="n">
        <v>1.4</v>
      </c>
    </row>
    <row r="44" ht="14.25" customHeight="1" s="74">
      <c r="A44" s="40" t="inlineStr">
        <is>
          <t>1990 to 1999</t>
        </is>
      </c>
      <c r="B44" s="41" t="n">
        <v>16.8</v>
      </c>
      <c r="C44" s="41" t="n">
        <v>10.5</v>
      </c>
      <c r="D44" s="41" t="n">
        <v>1</v>
      </c>
      <c r="E44" s="41" t="n">
        <v>0.9</v>
      </c>
      <c r="F44" s="41" t="n">
        <v>2.7</v>
      </c>
      <c r="G44" s="41" t="n">
        <v>1.8</v>
      </c>
    </row>
    <row r="45" ht="14.25" customHeight="1" s="74">
      <c r="A45" s="40" t="inlineStr">
        <is>
          <t>2000 to 2009</t>
        </is>
      </c>
      <c r="B45" s="41" t="n">
        <v>17</v>
      </c>
      <c r="C45" s="41" t="n">
        <v>10.9</v>
      </c>
      <c r="D45" s="41" t="n">
        <v>1.1</v>
      </c>
      <c r="E45" s="41" t="n">
        <v>1</v>
      </c>
      <c r="F45" s="41" t="n">
        <v>2.9</v>
      </c>
      <c r="G45" s="41" t="n">
        <v>1.2</v>
      </c>
    </row>
    <row r="46" ht="14.25" customHeight="1" s="74">
      <c r="A46" s="40" t="inlineStr">
        <is>
          <t>2010 to 2015</t>
        </is>
      </c>
      <c r="B46" s="41" t="n">
        <v>3.8</v>
      </c>
      <c r="C46" s="41" t="n">
        <v>2.3</v>
      </c>
      <c r="D46" s="41" t="n">
        <v>0.3</v>
      </c>
      <c r="E46" s="41" t="inlineStr">
        <is>
          <t>Q</t>
        </is>
      </c>
      <c r="F46" s="41" t="n">
        <v>0.9</v>
      </c>
      <c r="G46" s="41" t="n">
        <v>0.3</v>
      </c>
    </row>
    <row r="47" ht="24" customHeight="1" s="74">
      <c r="A47" s="38" t="inlineStr">
        <is>
          <t>Number of stories</t>
        </is>
      </c>
      <c r="B47" s="39" t="n"/>
      <c r="C47" s="39" t="n"/>
      <c r="D47" s="39" t="n"/>
      <c r="E47" s="39" t="n"/>
      <c r="F47" s="39" t="n"/>
      <c r="G47" s="39" t="n"/>
    </row>
    <row r="48" ht="14.25" customHeight="1" s="74">
      <c r="A48" s="40" t="inlineStr">
        <is>
          <t>One story</t>
        </is>
      </c>
      <c r="B48" s="41" t="n">
        <v>47.5</v>
      </c>
      <c r="C48" s="41" t="n">
        <v>45.2</v>
      </c>
      <c r="D48" s="41" t="n">
        <v>2.3</v>
      </c>
      <c r="E48" s="41" t="inlineStr">
        <is>
          <t>N</t>
        </is>
      </c>
      <c r="F48" s="41" t="inlineStr">
        <is>
          <t>N</t>
        </is>
      </c>
      <c r="G48" s="41" t="inlineStr">
        <is>
          <t>N</t>
        </is>
      </c>
    </row>
    <row r="49" ht="14.25" customHeight="1" s="74">
      <c r="A49" s="40" t="inlineStr">
        <is>
          <t>Two stories</t>
        </is>
      </c>
      <c r="B49" s="41" t="n">
        <v>29.5</v>
      </c>
      <c r="C49" s="41" t="n">
        <v>25.4</v>
      </c>
      <c r="D49" s="41" t="n">
        <v>4.1</v>
      </c>
      <c r="E49" s="41" t="inlineStr">
        <is>
          <t>N</t>
        </is>
      </c>
      <c r="F49" s="41" t="inlineStr">
        <is>
          <t>N</t>
        </is>
      </c>
      <c r="G49" s="41" t="inlineStr">
        <is>
          <t>N</t>
        </is>
      </c>
    </row>
    <row r="50" ht="14.25" customHeight="1" s="74">
      <c r="A50" s="40" t="inlineStr">
        <is>
          <t>Three or more stories</t>
        </is>
      </c>
      <c r="B50" s="41" t="n">
        <v>1.8</v>
      </c>
      <c r="C50" s="41" t="n">
        <v>1.2</v>
      </c>
      <c r="D50" s="41" t="n">
        <v>0.5</v>
      </c>
      <c r="E50" s="41" t="inlineStr">
        <is>
          <t>N</t>
        </is>
      </c>
      <c r="F50" s="41" t="inlineStr">
        <is>
          <t>N</t>
        </is>
      </c>
      <c r="G50" s="41" t="inlineStr">
        <is>
          <t>N</t>
        </is>
      </c>
    </row>
    <row r="51" ht="14.25" customHeight="1" s="74">
      <c r="A51" s="40" t="inlineStr">
        <is>
          <t>Split level</t>
        </is>
      </c>
      <c r="B51" s="41" t="n">
        <v>2.1</v>
      </c>
      <c r="C51" s="41" t="n">
        <v>2</v>
      </c>
      <c r="D51" s="41" t="inlineStr">
        <is>
          <t>Q</t>
        </is>
      </c>
      <c r="E51" s="41" t="inlineStr">
        <is>
          <t>N</t>
        </is>
      </c>
      <c r="F51" s="41" t="inlineStr">
        <is>
          <t>N</t>
        </is>
      </c>
      <c r="G51" s="41" t="inlineStr">
        <is>
          <t>N</t>
        </is>
      </c>
    </row>
    <row r="52" ht="26.25" customHeight="1" s="74">
      <c r="A52" s="40" t="inlineStr">
        <is>
          <t>Not asked (apartments and mobile homes)</t>
        </is>
      </c>
      <c r="B52" s="41" t="n">
        <v>37.3</v>
      </c>
      <c r="C52" s="41" t="inlineStr">
        <is>
          <t>N</t>
        </is>
      </c>
      <c r="D52" s="41" t="inlineStr">
        <is>
          <t>N</t>
        </is>
      </c>
      <c r="E52" s="41" t="n">
        <v>9.4</v>
      </c>
      <c r="F52" s="41" t="n">
        <v>21.1</v>
      </c>
      <c r="G52" s="41" t="n">
        <v>6.8</v>
      </c>
    </row>
    <row r="53" ht="24" customHeight="1" s="74">
      <c r="A53" s="38" t="inlineStr">
        <is>
          <t>Major outside wall construction</t>
        </is>
      </c>
      <c r="B53" s="39" t="n"/>
      <c r="C53" s="39" t="n"/>
      <c r="D53" s="39" t="n"/>
      <c r="E53" s="39" t="n"/>
      <c r="F53" s="39" t="n"/>
      <c r="G53" s="39" t="n"/>
    </row>
    <row r="54" ht="15" customHeight="1" s="74">
      <c r="A54" s="40" t="inlineStr">
        <is>
          <t>Siding (aluminum, vinyl, or steel)</t>
        </is>
      </c>
      <c r="B54" s="41" t="n">
        <v>40.2</v>
      </c>
      <c r="C54" s="41" t="n">
        <v>27.3</v>
      </c>
      <c r="D54" s="41" t="n">
        <v>2</v>
      </c>
      <c r="E54" s="41" t="n">
        <v>2.4</v>
      </c>
      <c r="F54" s="41" t="n">
        <v>3.3</v>
      </c>
      <c r="G54" s="41" t="n">
        <v>5.2</v>
      </c>
    </row>
    <row r="55" ht="14.25" customHeight="1" s="74">
      <c r="A55" s="40" t="inlineStr">
        <is>
          <t>Brick</t>
        </is>
      </c>
      <c r="B55" s="41" t="n">
        <v>32.9</v>
      </c>
      <c r="C55" s="41" t="n">
        <v>18.1</v>
      </c>
      <c r="D55" s="41" t="n">
        <v>2.5</v>
      </c>
      <c r="E55" s="41" t="n">
        <v>3.2</v>
      </c>
      <c r="F55" s="41" t="n">
        <v>8.699999999999999</v>
      </c>
      <c r="G55" s="41" t="n">
        <v>0.5</v>
      </c>
    </row>
    <row r="56" ht="14.25" customHeight="1" s="74">
      <c r="A56" s="40" t="inlineStr">
        <is>
          <t>Wood</t>
        </is>
      </c>
      <c r="B56" s="41" t="n">
        <v>18</v>
      </c>
      <c r="C56" s="41" t="n">
        <v>12.6</v>
      </c>
      <c r="D56" s="41" t="n">
        <v>0.9</v>
      </c>
      <c r="E56" s="41" t="n">
        <v>1.6</v>
      </c>
      <c r="F56" s="41" t="n">
        <v>2</v>
      </c>
      <c r="G56" s="41" t="n">
        <v>0.8</v>
      </c>
    </row>
    <row r="57" ht="14.25" customHeight="1" s="74">
      <c r="A57" s="40" t="inlineStr">
        <is>
          <t>Stucco</t>
        </is>
      </c>
      <c r="B57" s="41" t="n">
        <v>15.3</v>
      </c>
      <c r="C57" s="41" t="n">
        <v>9.5</v>
      </c>
      <c r="D57" s="41" t="n">
        <v>1.1</v>
      </c>
      <c r="E57" s="41" t="n">
        <v>1.4</v>
      </c>
      <c r="F57" s="41" t="n">
        <v>3.4</v>
      </c>
      <c r="G57" s="41" t="inlineStr">
        <is>
          <t>Q</t>
        </is>
      </c>
    </row>
    <row r="58" ht="14.25" customHeight="1" s="74">
      <c r="A58" s="40" t="inlineStr">
        <is>
          <t>Concrete or concrete block</t>
        </is>
      </c>
      <c r="B58" s="41" t="n">
        <v>6.7</v>
      </c>
      <c r="C58" s="41" t="n">
        <v>2.8</v>
      </c>
      <c r="D58" s="41" t="n">
        <v>0.3</v>
      </c>
      <c r="E58" s="41" t="n">
        <v>0.5</v>
      </c>
      <c r="F58" s="41" t="n">
        <v>3</v>
      </c>
      <c r="G58" s="41" t="inlineStr">
        <is>
          <t>Q</t>
        </is>
      </c>
    </row>
    <row r="59" ht="14.25" customHeight="1" s="74">
      <c r="A59" s="40" t="inlineStr">
        <is>
          <t>Shingles (composition)</t>
        </is>
      </c>
      <c r="B59" s="41" t="n">
        <v>3</v>
      </c>
      <c r="C59" s="41" t="n">
        <v>2.2</v>
      </c>
      <c r="D59" s="41" t="n">
        <v>0.2</v>
      </c>
      <c r="E59" s="41" t="inlineStr">
        <is>
          <t>Q</t>
        </is>
      </c>
      <c r="F59" s="41" t="inlineStr">
        <is>
          <t>Q</t>
        </is>
      </c>
      <c r="G59" s="41" t="inlineStr">
        <is>
          <t>Q</t>
        </is>
      </c>
    </row>
    <row r="60" ht="14.25" customHeight="1" s="74">
      <c r="A60" s="40" t="inlineStr">
        <is>
          <t>Stone</t>
        </is>
      </c>
      <c r="B60" s="41" t="n">
        <v>1.4</v>
      </c>
      <c r="C60" s="41" t="n">
        <v>0.9</v>
      </c>
      <c r="D60" s="41" t="inlineStr">
        <is>
          <t>Q</t>
        </is>
      </c>
      <c r="E60" s="41" t="inlineStr">
        <is>
          <t>Q</t>
        </is>
      </c>
      <c r="F60" s="41" t="n">
        <v>0.3</v>
      </c>
      <c r="G60" s="41" t="inlineStr">
        <is>
          <t>N</t>
        </is>
      </c>
    </row>
    <row r="61" ht="14.25" customHeight="1" s="74">
      <c r="A61" s="40" t="inlineStr">
        <is>
          <t>Some other material</t>
        </is>
      </c>
      <c r="B61" s="41" t="n">
        <v>0.7</v>
      </c>
      <c r="C61" s="41" t="n">
        <v>0.5</v>
      </c>
      <c r="D61" s="41" t="inlineStr">
        <is>
          <t>Q</t>
        </is>
      </c>
      <c r="E61" s="41" t="inlineStr">
        <is>
          <t>N</t>
        </is>
      </c>
      <c r="F61" s="41" t="inlineStr">
        <is>
          <t>Q</t>
        </is>
      </c>
      <c r="G61" s="41" t="inlineStr">
        <is>
          <t>Q</t>
        </is>
      </c>
    </row>
    <row r="62" ht="24" customHeight="1" s="74">
      <c r="A62" s="38" t="inlineStr">
        <is>
          <t>Major roofing material</t>
        </is>
      </c>
      <c r="B62" s="39" t="n"/>
      <c r="C62" s="39" t="n"/>
      <c r="D62" s="39" t="n"/>
      <c r="E62" s="39" t="n"/>
      <c r="F62" s="39" t="n"/>
      <c r="G62" s="39" t="n"/>
    </row>
    <row r="63" ht="14.25" customHeight="1" s="74">
      <c r="A63" s="40" t="inlineStr">
        <is>
          <t>Shingles (composition or asphalt)</t>
        </is>
      </c>
      <c r="B63" s="41" t="n">
        <v>73.09999999999999</v>
      </c>
      <c r="C63" s="41" t="n">
        <v>59.3</v>
      </c>
      <c r="D63" s="41" t="n">
        <v>5</v>
      </c>
      <c r="E63" s="41" t="n">
        <v>6.4</v>
      </c>
      <c r="F63" s="41" t="inlineStr">
        <is>
          <t>N</t>
        </is>
      </c>
      <c r="G63" s="41" t="n">
        <v>2.4</v>
      </c>
    </row>
    <row r="64" ht="14.25" customHeight="1" s="74">
      <c r="A64" s="40" t="inlineStr">
        <is>
          <t>Metal</t>
        </is>
      </c>
      <c r="B64" s="41" t="n">
        <v>9.800000000000001</v>
      </c>
      <c r="C64" s="41" t="n">
        <v>5.3</v>
      </c>
      <c r="D64" s="41" t="n">
        <v>0.3</v>
      </c>
      <c r="E64" s="41" t="n">
        <v>0.5</v>
      </c>
      <c r="F64" s="41" t="inlineStr">
        <is>
          <t>N</t>
        </is>
      </c>
      <c r="G64" s="41" t="n">
        <v>3.7</v>
      </c>
    </row>
    <row r="65" ht="14.25" customHeight="1" s="74">
      <c r="A65" s="40" t="inlineStr">
        <is>
          <t>Wood shingles or shakes</t>
        </is>
      </c>
      <c r="B65" s="41" t="n">
        <v>5.4</v>
      </c>
      <c r="C65" s="41" t="n">
        <v>3.6</v>
      </c>
      <c r="D65" s="41" t="n">
        <v>0.7</v>
      </c>
      <c r="E65" s="41" t="n">
        <v>0.8</v>
      </c>
      <c r="F65" s="41" t="inlineStr">
        <is>
          <t>N</t>
        </is>
      </c>
      <c r="G65" s="41" t="inlineStr">
        <is>
          <t>Q</t>
        </is>
      </c>
    </row>
    <row r="66" ht="14.25" customHeight="1" s="74">
      <c r="A66" s="40" t="inlineStr">
        <is>
          <t>Ceramic or clay tiles</t>
        </is>
      </c>
      <c r="B66" s="41" t="n">
        <v>4.4</v>
      </c>
      <c r="C66" s="41" t="n">
        <v>3</v>
      </c>
      <c r="D66" s="41" t="n">
        <v>0.6</v>
      </c>
      <c r="E66" s="41" t="n">
        <v>0.7</v>
      </c>
      <c r="F66" s="41" t="inlineStr">
        <is>
          <t>N</t>
        </is>
      </c>
      <c r="G66" s="41" t="inlineStr">
        <is>
          <t>Q</t>
        </is>
      </c>
    </row>
    <row r="67" ht="14.25" customHeight="1" s="74">
      <c r="A67" s="40" t="inlineStr">
        <is>
          <t>Concrete tiles</t>
        </is>
      </c>
      <c r="B67" s="41" t="n">
        <v>1.8</v>
      </c>
      <c r="C67" s="41" t="n">
        <v>1.3</v>
      </c>
      <c r="D67" s="41" t="inlineStr">
        <is>
          <t>Q</t>
        </is>
      </c>
      <c r="E67" s="41" t="n">
        <v>0.5</v>
      </c>
      <c r="F67" s="41" t="inlineStr">
        <is>
          <t>N</t>
        </is>
      </c>
      <c r="G67" s="41" t="inlineStr">
        <is>
          <t>N</t>
        </is>
      </c>
    </row>
    <row r="68" ht="14.25" customHeight="1" s="74">
      <c r="A68" s="40" t="inlineStr">
        <is>
          <t>Slate or synthetic slate</t>
        </is>
      </c>
      <c r="B68" s="41" t="n">
        <v>1.2</v>
      </c>
      <c r="C68" s="41" t="n">
        <v>0.7</v>
      </c>
      <c r="D68" s="41" t="inlineStr">
        <is>
          <t>Q</t>
        </is>
      </c>
      <c r="E68" s="41" t="inlineStr">
        <is>
          <t>Q</t>
        </is>
      </c>
      <c r="F68" s="41" t="inlineStr">
        <is>
          <t>N</t>
        </is>
      </c>
      <c r="G68" s="41" t="inlineStr">
        <is>
          <t>Q</t>
        </is>
      </c>
    </row>
    <row r="69" ht="14.25" customHeight="1" s="74">
      <c r="A69" s="40" t="inlineStr">
        <is>
          <t>Some other material</t>
        </is>
      </c>
      <c r="B69" s="41" t="n">
        <v>1.3</v>
      </c>
      <c r="C69" s="41" t="n">
        <v>0.7</v>
      </c>
      <c r="D69" s="41" t="n">
        <v>0.3</v>
      </c>
      <c r="E69" s="41" t="inlineStr">
        <is>
          <t>Q</t>
        </is>
      </c>
      <c r="F69" s="41" t="inlineStr">
        <is>
          <t>N</t>
        </is>
      </c>
      <c r="G69" s="41" t="inlineStr">
        <is>
          <t>Q</t>
        </is>
      </c>
    </row>
    <row r="70" ht="26.25" customHeight="1" s="74">
      <c r="A70" s="40" t="inlineStr">
        <is>
          <t>Not asked (apartments in buildings with 5 or more units)</t>
        </is>
      </c>
      <c r="B70" s="41" t="n">
        <v>21.1</v>
      </c>
      <c r="C70" s="41" t="inlineStr">
        <is>
          <t>N</t>
        </is>
      </c>
      <c r="D70" s="41" t="inlineStr">
        <is>
          <t>N</t>
        </is>
      </c>
      <c r="E70" s="41" t="inlineStr">
        <is>
          <t>N</t>
        </is>
      </c>
      <c r="F70" s="41" t="n">
        <v>21.1</v>
      </c>
      <c r="G70" s="41" t="inlineStr">
        <is>
          <t>N</t>
        </is>
      </c>
    </row>
    <row r="71" ht="33.75" customHeight="1" s="74">
      <c r="A71" s="38" t="inlineStr">
        <is>
          <t>Total number of rooms (excluding bathrooms)</t>
        </is>
      </c>
      <c r="B71" s="39" t="n"/>
      <c r="C71" s="39" t="n"/>
      <c r="D71" s="39" t="n"/>
      <c r="E71" s="39" t="n"/>
      <c r="F71" s="39" t="n"/>
      <c r="G71" s="39" t="n"/>
    </row>
    <row r="72" ht="14.25" customHeight="1" s="74">
      <c r="A72" s="42" t="inlineStr">
        <is>
          <t>1 or 2</t>
        </is>
      </c>
      <c r="B72" s="41" t="n">
        <v>5.3</v>
      </c>
      <c r="C72" s="41" t="inlineStr">
        <is>
          <t>Q</t>
        </is>
      </c>
      <c r="D72" s="41" t="inlineStr">
        <is>
          <t>Q</t>
        </is>
      </c>
      <c r="E72" s="41" t="n">
        <v>1</v>
      </c>
      <c r="F72" s="41" t="n">
        <v>4.2</v>
      </c>
      <c r="G72" s="41" t="inlineStr">
        <is>
          <t>Q</t>
        </is>
      </c>
    </row>
    <row r="73" ht="14.25" customHeight="1" s="74">
      <c r="A73" s="42" t="n">
        <v>3</v>
      </c>
      <c r="B73" s="41" t="n">
        <v>9</v>
      </c>
      <c r="C73" s="41" t="n">
        <v>0.9</v>
      </c>
      <c r="D73" s="41" t="n">
        <v>0.5</v>
      </c>
      <c r="E73" s="41" t="n">
        <v>2</v>
      </c>
      <c r="F73" s="41" t="n">
        <v>5.2</v>
      </c>
      <c r="G73" s="41" t="n">
        <v>0.4</v>
      </c>
    </row>
    <row r="74" ht="14.25" customHeight="1" s="74">
      <c r="A74" s="42" t="n">
        <v>4</v>
      </c>
      <c r="B74" s="41" t="n">
        <v>16.8</v>
      </c>
      <c r="C74" s="41" t="n">
        <v>4.1</v>
      </c>
      <c r="D74" s="41" t="n">
        <v>1.5</v>
      </c>
      <c r="E74" s="41" t="n">
        <v>3</v>
      </c>
      <c r="F74" s="41" t="n">
        <v>6.9</v>
      </c>
      <c r="G74" s="41" t="n">
        <v>1.3</v>
      </c>
    </row>
    <row r="75" ht="14.25" customHeight="1" s="74">
      <c r="A75" s="42" t="n">
        <v>5</v>
      </c>
      <c r="B75" s="41" t="n">
        <v>19.4</v>
      </c>
      <c r="C75" s="41" t="n">
        <v>10.4</v>
      </c>
      <c r="D75" s="41" t="n">
        <v>1.7</v>
      </c>
      <c r="E75" s="41" t="n">
        <v>2.2</v>
      </c>
      <c r="F75" s="41" t="n">
        <v>3.3</v>
      </c>
      <c r="G75" s="41" t="n">
        <v>1.8</v>
      </c>
    </row>
    <row r="76" ht="14.25" customHeight="1" s="74">
      <c r="A76" s="42" t="n">
        <v>6</v>
      </c>
      <c r="B76" s="41" t="n">
        <v>22.2</v>
      </c>
      <c r="C76" s="41" t="n">
        <v>17</v>
      </c>
      <c r="D76" s="41" t="n">
        <v>1.5</v>
      </c>
      <c r="E76" s="41" t="n">
        <v>0.9</v>
      </c>
      <c r="F76" s="41" t="n">
        <v>1.2</v>
      </c>
      <c r="G76" s="41" t="n">
        <v>1.6</v>
      </c>
    </row>
    <row r="77" ht="14.25" customHeight="1" s="74">
      <c r="A77" s="42" t="n">
        <v>7</v>
      </c>
      <c r="B77" s="41" t="n">
        <v>16.9</v>
      </c>
      <c r="C77" s="41" t="n">
        <v>14.4</v>
      </c>
      <c r="D77" s="41" t="n">
        <v>0.9</v>
      </c>
      <c r="E77" s="41" t="inlineStr">
        <is>
          <t>Q</t>
        </is>
      </c>
      <c r="F77" s="41" t="n">
        <v>0.3</v>
      </c>
      <c r="G77" s="41" t="n">
        <v>1</v>
      </c>
    </row>
    <row r="78" ht="14.25" customHeight="1" s="74">
      <c r="A78" s="42" t="n">
        <v>8</v>
      </c>
      <c r="B78" s="41" t="n">
        <v>12.6</v>
      </c>
      <c r="C78" s="41" t="n">
        <v>11.5</v>
      </c>
      <c r="D78" s="41" t="n">
        <v>0.6</v>
      </c>
      <c r="E78" s="41" t="inlineStr">
        <is>
          <t>Q</t>
        </is>
      </c>
      <c r="F78" s="41" t="inlineStr">
        <is>
          <t>Q</t>
        </is>
      </c>
      <c r="G78" s="41" t="n">
        <v>0.3</v>
      </c>
    </row>
    <row r="79" ht="14.25" customHeight="1" s="74">
      <c r="A79" s="42" t="inlineStr">
        <is>
          <t>9 or more</t>
        </is>
      </c>
      <c r="B79" s="41" t="n">
        <v>16</v>
      </c>
      <c r="C79" s="41" t="n">
        <v>15.3</v>
      </c>
      <c r="D79" s="41" t="n">
        <v>0.3</v>
      </c>
      <c r="E79" s="41" t="inlineStr">
        <is>
          <t>Q</t>
        </is>
      </c>
      <c r="F79" s="41" t="inlineStr">
        <is>
          <t>Q</t>
        </is>
      </c>
      <c r="G79" s="41" t="n">
        <v>0.3</v>
      </c>
    </row>
    <row r="80" ht="24" customHeight="1" s="74">
      <c r="A80" s="38" t="inlineStr">
        <is>
          <t>Number of bedrooms</t>
        </is>
      </c>
      <c r="B80" s="38" t="n"/>
      <c r="C80" s="38" t="n"/>
      <c r="D80" s="38" t="n"/>
      <c r="E80" s="38" t="n"/>
      <c r="F80" s="38" t="n"/>
      <c r="G80" s="38" t="n"/>
    </row>
    <row r="81" ht="14.25" customHeight="1" s="74">
      <c r="A81" s="42" t="n">
        <v>0</v>
      </c>
      <c r="B81" s="41" t="n">
        <v>3.2</v>
      </c>
      <c r="C81" s="41" t="inlineStr">
        <is>
          <t>Q</t>
        </is>
      </c>
      <c r="D81" s="41" t="inlineStr">
        <is>
          <t>Q</t>
        </is>
      </c>
      <c r="E81" s="41" t="n">
        <v>0.7</v>
      </c>
      <c r="F81" s="41" t="n">
        <v>2.4</v>
      </c>
      <c r="G81" s="41" t="inlineStr">
        <is>
          <t>Q</t>
        </is>
      </c>
    </row>
    <row r="82" ht="14.25" customHeight="1" s="74">
      <c r="A82" s="42" t="n">
        <v>1</v>
      </c>
      <c r="B82" s="41" t="n">
        <v>11.7</v>
      </c>
      <c r="C82" s="41" t="n">
        <v>1.2</v>
      </c>
      <c r="D82" s="41" t="n">
        <v>0.3</v>
      </c>
      <c r="E82" s="41" t="n">
        <v>2.5</v>
      </c>
      <c r="F82" s="41" t="n">
        <v>7.4</v>
      </c>
      <c r="G82" s="41" t="n">
        <v>0.3</v>
      </c>
    </row>
    <row r="83" ht="14.25" customHeight="1" s="74">
      <c r="A83" s="42" t="n">
        <v>2</v>
      </c>
      <c r="B83" s="41" t="n">
        <v>29.8</v>
      </c>
      <c r="C83" s="41" t="n">
        <v>10.3</v>
      </c>
      <c r="D83" s="41" t="n">
        <v>3.2</v>
      </c>
      <c r="E83" s="41" t="n">
        <v>4.7</v>
      </c>
      <c r="F83" s="41" t="n">
        <v>9.199999999999999</v>
      </c>
      <c r="G83" s="41" t="n">
        <v>2.4</v>
      </c>
    </row>
    <row r="84" ht="14.25" customHeight="1" s="74">
      <c r="A84" s="42" t="n">
        <v>3</v>
      </c>
      <c r="B84" s="41" t="n">
        <v>47.6</v>
      </c>
      <c r="C84" s="41" t="n">
        <v>38.1</v>
      </c>
      <c r="D84" s="41" t="n">
        <v>2.9</v>
      </c>
      <c r="E84" s="41" t="n">
        <v>1.4</v>
      </c>
      <c r="F84" s="41" t="n">
        <v>1.8</v>
      </c>
      <c r="G84" s="41" t="n">
        <v>3.5</v>
      </c>
    </row>
    <row r="85" ht="14.25" customHeight="1" s="74">
      <c r="A85" s="42" t="n">
        <v>4</v>
      </c>
      <c r="B85" s="41" t="n">
        <v>20.5</v>
      </c>
      <c r="C85" s="41" t="n">
        <v>19.1</v>
      </c>
      <c r="D85" s="41" t="n">
        <v>0.5</v>
      </c>
      <c r="E85" s="41" t="inlineStr">
        <is>
          <t>Q</t>
        </is>
      </c>
      <c r="F85" s="41" t="n">
        <v>0.4</v>
      </c>
      <c r="G85" s="41" t="n">
        <v>0.4</v>
      </c>
    </row>
    <row r="86" ht="14.25" customHeight="1" s="74">
      <c r="A86" s="42" t="inlineStr">
        <is>
          <t>5 or more</t>
        </is>
      </c>
      <c r="B86" s="41" t="n">
        <v>5.3</v>
      </c>
      <c r="C86" s="41" t="n">
        <v>5.1</v>
      </c>
      <c r="D86" s="41" t="inlineStr">
        <is>
          <t>Q</t>
        </is>
      </c>
      <c r="E86" s="41" t="inlineStr">
        <is>
          <t>Q</t>
        </is>
      </c>
      <c r="F86" s="41" t="inlineStr">
        <is>
          <t>N</t>
        </is>
      </c>
      <c r="G86" s="41" t="inlineStr">
        <is>
          <t>Q</t>
        </is>
      </c>
    </row>
    <row r="87" ht="33.75" customHeight="1" s="74">
      <c r="A87" s="38" t="inlineStr">
        <is>
          <t>Number of other rooms (excluding bathrooms)</t>
        </is>
      </c>
      <c r="B87" s="39" t="n"/>
      <c r="C87" s="39" t="n"/>
      <c r="D87" s="39" t="n"/>
      <c r="E87" s="39" t="n"/>
      <c r="F87" s="39" t="n"/>
      <c r="G87" s="39" t="n"/>
    </row>
    <row r="88" ht="14.25" customHeight="1" s="74">
      <c r="A88" s="42" t="n">
        <v>1</v>
      </c>
      <c r="B88" s="41" t="n">
        <v>10.3</v>
      </c>
      <c r="C88" s="41" t="n">
        <v>2.1</v>
      </c>
      <c r="D88" s="41" t="n">
        <v>0.5</v>
      </c>
      <c r="E88" s="41" t="n">
        <v>1.6</v>
      </c>
      <c r="F88" s="41" t="n">
        <v>5.6</v>
      </c>
      <c r="G88" s="41" t="n">
        <v>0.5</v>
      </c>
    </row>
    <row r="89" ht="14.25" customHeight="1" s="74">
      <c r="A89" s="42" t="n">
        <v>2</v>
      </c>
      <c r="B89" s="41" t="n">
        <v>31</v>
      </c>
      <c r="C89" s="41" t="n">
        <v>11.3</v>
      </c>
      <c r="D89" s="41" t="n">
        <v>2.3</v>
      </c>
      <c r="E89" s="41" t="n">
        <v>4.4</v>
      </c>
      <c r="F89" s="41" t="n">
        <v>10.5</v>
      </c>
      <c r="G89" s="41" t="n">
        <v>2.5</v>
      </c>
    </row>
    <row r="90" ht="14.25" customHeight="1" s="74">
      <c r="A90" s="42" t="n">
        <v>3</v>
      </c>
      <c r="B90" s="41" t="n">
        <v>32.1</v>
      </c>
      <c r="C90" s="41" t="n">
        <v>21.8</v>
      </c>
      <c r="D90" s="41" t="n">
        <v>2.1</v>
      </c>
      <c r="E90" s="41" t="n">
        <v>2.4</v>
      </c>
      <c r="F90" s="41" t="n">
        <v>3.9</v>
      </c>
      <c r="G90" s="41" t="n">
        <v>1.9</v>
      </c>
    </row>
    <row r="91" ht="14.25" customHeight="1" s="74">
      <c r="A91" s="42" t="n">
        <v>4</v>
      </c>
      <c r="B91" s="41" t="n">
        <v>22.5</v>
      </c>
      <c r="C91" s="41" t="n">
        <v>18.4</v>
      </c>
      <c r="D91" s="41" t="n">
        <v>1.4</v>
      </c>
      <c r="E91" s="41" t="n">
        <v>0.9</v>
      </c>
      <c r="F91" s="41" t="n">
        <v>0.8</v>
      </c>
      <c r="G91" s="41" t="n">
        <v>1.1</v>
      </c>
    </row>
    <row r="92" ht="14.25" customHeight="1" s="74">
      <c r="A92" s="42" t="inlineStr">
        <is>
          <t>5 or more</t>
        </is>
      </c>
      <c r="B92" s="41" t="n">
        <v>22.4</v>
      </c>
      <c r="C92" s="41" t="n">
        <v>20.3</v>
      </c>
      <c r="D92" s="41" t="n">
        <v>0.8</v>
      </c>
      <c r="E92" s="41" t="inlineStr">
        <is>
          <t>Q</t>
        </is>
      </c>
      <c r="F92" s="41" t="n">
        <v>0.4</v>
      </c>
      <c r="G92" s="41" t="n">
        <v>0.7</v>
      </c>
    </row>
    <row r="93" ht="24" customHeight="1" s="74">
      <c r="A93" s="38" t="inlineStr">
        <is>
          <t>Number of full bathrooms</t>
        </is>
      </c>
      <c r="B93" s="39" t="n"/>
      <c r="C93" s="39" t="n"/>
      <c r="D93" s="39" t="n"/>
      <c r="E93" s="39" t="n"/>
      <c r="F93" s="39" t="n"/>
      <c r="G93" s="39" t="n"/>
    </row>
    <row r="94" ht="14.25" customHeight="1" s="74">
      <c r="A94" s="42" t="n">
        <v>0</v>
      </c>
      <c r="B94" s="41" t="inlineStr">
        <is>
          <t>Q</t>
        </is>
      </c>
      <c r="C94" s="41" t="inlineStr">
        <is>
          <t>Q</t>
        </is>
      </c>
      <c r="D94" s="41" t="inlineStr">
        <is>
          <t>Q</t>
        </is>
      </c>
      <c r="E94" s="41" t="inlineStr">
        <is>
          <t>N</t>
        </is>
      </c>
      <c r="F94" s="41" t="inlineStr">
        <is>
          <t>Q</t>
        </is>
      </c>
      <c r="G94" s="41" t="inlineStr">
        <is>
          <t>N</t>
        </is>
      </c>
    </row>
    <row r="95" ht="14.25" customHeight="1" s="74">
      <c r="A95" s="42" t="n">
        <v>1</v>
      </c>
      <c r="B95" s="41" t="n">
        <v>53.1</v>
      </c>
      <c r="C95" s="41" t="n">
        <v>23.6</v>
      </c>
      <c r="D95" s="41" t="n">
        <v>3.3</v>
      </c>
      <c r="E95" s="41" t="n">
        <v>7.8</v>
      </c>
      <c r="F95" s="41" t="n">
        <v>16</v>
      </c>
      <c r="G95" s="41" t="n">
        <v>2.5</v>
      </c>
    </row>
    <row r="96" ht="14.25" customHeight="1" s="74">
      <c r="A96" s="42" t="n">
        <v>2</v>
      </c>
      <c r="B96" s="41" t="n">
        <v>52.1</v>
      </c>
      <c r="C96" s="41" t="n">
        <v>38.4</v>
      </c>
      <c r="D96" s="41" t="n">
        <v>3.1</v>
      </c>
      <c r="E96" s="41" t="n">
        <v>1.6</v>
      </c>
      <c r="F96" s="41" t="n">
        <v>4.8</v>
      </c>
      <c r="G96" s="41" t="n">
        <v>4.1</v>
      </c>
    </row>
    <row r="97" ht="14.25" customHeight="1" s="74">
      <c r="A97" s="42" t="inlineStr">
        <is>
          <t>3 or more</t>
        </is>
      </c>
      <c r="B97" s="41" t="n">
        <v>12.9</v>
      </c>
      <c r="C97" s="41" t="n">
        <v>11.8</v>
      </c>
      <c r="D97" s="41" t="n">
        <v>0.6</v>
      </c>
      <c r="E97" s="41" t="inlineStr">
        <is>
          <t>Q</t>
        </is>
      </c>
      <c r="F97" s="41" t="inlineStr">
        <is>
          <t>Q</t>
        </is>
      </c>
      <c r="G97" s="41" t="inlineStr">
        <is>
          <t>Q</t>
        </is>
      </c>
    </row>
    <row r="98" ht="24" customHeight="1" s="74">
      <c r="A98" s="38" t="inlineStr">
        <is>
          <t>Number of half bathrooms</t>
        </is>
      </c>
      <c r="B98" s="39" t="n"/>
      <c r="C98" s="39" t="n"/>
      <c r="D98" s="39" t="n"/>
      <c r="E98" s="39" t="n"/>
      <c r="F98" s="39" t="n"/>
      <c r="G98" s="39" t="n"/>
    </row>
    <row r="99" ht="14.25" customHeight="1" s="74">
      <c r="A99" s="42" t="n">
        <v>0</v>
      </c>
      <c r="B99" s="41" t="n">
        <v>85</v>
      </c>
      <c r="C99" s="41" t="n">
        <v>47.7</v>
      </c>
      <c r="D99" s="41" t="n">
        <v>3.8</v>
      </c>
      <c r="E99" s="41" t="n">
        <v>8.4</v>
      </c>
      <c r="F99" s="41" t="n">
        <v>19.2</v>
      </c>
      <c r="G99" s="41" t="n">
        <v>5.9</v>
      </c>
    </row>
    <row r="100" ht="14.25" customHeight="1" s="74">
      <c r="A100" s="42" t="n">
        <v>1</v>
      </c>
      <c r="B100" s="41" t="n">
        <v>31.1</v>
      </c>
      <c r="C100" s="41" t="n">
        <v>24.2</v>
      </c>
      <c r="D100" s="41" t="n">
        <v>3.1</v>
      </c>
      <c r="E100" s="41" t="n">
        <v>1</v>
      </c>
      <c r="F100" s="41" t="n">
        <v>2</v>
      </c>
      <c r="G100" s="41" t="n">
        <v>0.8</v>
      </c>
    </row>
    <row r="101" ht="14.25" customHeight="1" s="74">
      <c r="A101" s="42" t="inlineStr">
        <is>
          <t>2 or more</t>
        </is>
      </c>
      <c r="B101" s="41" t="n">
        <v>2.2</v>
      </c>
      <c r="C101" s="41" t="n">
        <v>2</v>
      </c>
      <c r="D101" s="41" t="inlineStr">
        <is>
          <t>Q</t>
        </is>
      </c>
      <c r="E101" s="41" t="inlineStr">
        <is>
          <t>N</t>
        </is>
      </c>
      <c r="F101" s="41" t="inlineStr">
        <is>
          <t>N</t>
        </is>
      </c>
      <c r="G101" s="41" t="inlineStr">
        <is>
          <t>Q</t>
        </is>
      </c>
    </row>
    <row r="102" ht="24" customHeight="1" s="74">
      <c r="A102" s="38" t="inlineStr">
        <is>
          <t>Basement</t>
        </is>
      </c>
      <c r="B102" s="39" t="n"/>
      <c r="C102" s="39" t="n"/>
      <c r="D102" s="39" t="n"/>
      <c r="E102" s="39" t="n"/>
      <c r="F102" s="39" t="n"/>
      <c r="G102" s="39" t="n"/>
    </row>
    <row r="103" ht="14.25" customHeight="1" s="74">
      <c r="A103" s="40" t="inlineStr">
        <is>
          <t>Yes</t>
        </is>
      </c>
      <c r="B103" s="41" t="n">
        <v>35.2</v>
      </c>
      <c r="C103" s="41" t="n">
        <v>32.4</v>
      </c>
      <c r="D103" s="41" t="n">
        <v>2.8</v>
      </c>
      <c r="E103" s="41" t="inlineStr">
        <is>
          <t>N</t>
        </is>
      </c>
      <c r="F103" s="41" t="inlineStr">
        <is>
          <t>N</t>
        </is>
      </c>
      <c r="G103" s="41" t="inlineStr">
        <is>
          <t>N</t>
        </is>
      </c>
    </row>
    <row r="104" ht="14.25" customHeight="1" s="74">
      <c r="A104" s="42" t="inlineStr">
        <is>
          <t>Finished basement</t>
        </is>
      </c>
      <c r="B104" s="41" t="n">
        <v>20.6</v>
      </c>
      <c r="C104" s="41" t="n">
        <v>18.7</v>
      </c>
      <c r="D104" s="41" t="n">
        <v>1.9</v>
      </c>
      <c r="E104" s="41" t="inlineStr">
        <is>
          <t>N</t>
        </is>
      </c>
      <c r="F104" s="41" t="inlineStr">
        <is>
          <t>N</t>
        </is>
      </c>
      <c r="G104" s="41" t="inlineStr">
        <is>
          <t>N</t>
        </is>
      </c>
    </row>
    <row r="105" ht="14.25" customHeight="1" s="74">
      <c r="A105" s="42" t="inlineStr">
        <is>
          <t>Unfinished basement</t>
        </is>
      </c>
      <c r="B105" s="41" t="n">
        <v>14.6</v>
      </c>
      <c r="C105" s="41" t="n">
        <v>13.7</v>
      </c>
      <c r="D105" s="41" t="n">
        <v>0.9</v>
      </c>
      <c r="E105" s="41" t="inlineStr">
        <is>
          <t>N</t>
        </is>
      </c>
      <c r="F105" s="41" t="inlineStr">
        <is>
          <t>N</t>
        </is>
      </c>
      <c r="G105" s="41" t="inlineStr">
        <is>
          <t>N</t>
        </is>
      </c>
    </row>
    <row r="106" ht="14.25" customHeight="1" s="74">
      <c r="A106" s="42" t="inlineStr">
        <is>
          <t>No</t>
        </is>
      </c>
      <c r="B106" s="41" t="n">
        <v>45.7</v>
      </c>
      <c r="C106" s="41" t="n">
        <v>41.5</v>
      </c>
      <c r="D106" s="41" t="n">
        <v>4.2</v>
      </c>
      <c r="E106" s="41" t="inlineStr">
        <is>
          <t>N</t>
        </is>
      </c>
      <c r="F106" s="41" t="inlineStr">
        <is>
          <t>N</t>
        </is>
      </c>
      <c r="G106" s="41" t="inlineStr">
        <is>
          <t>N</t>
        </is>
      </c>
    </row>
    <row r="107" ht="26.25" customHeight="1" s="74">
      <c r="A107" s="42" t="inlineStr">
        <is>
          <t>Not asked (apartments and mobile homes)</t>
        </is>
      </c>
      <c r="B107" s="41" t="n">
        <v>37.3</v>
      </c>
      <c r="C107" s="41" t="inlineStr">
        <is>
          <t>N</t>
        </is>
      </c>
      <c r="D107" s="41" t="inlineStr">
        <is>
          <t>N</t>
        </is>
      </c>
      <c r="E107" s="41" t="n">
        <v>9.4</v>
      </c>
      <c r="F107" s="41" t="n">
        <v>21.1</v>
      </c>
      <c r="G107" s="41" t="n">
        <v>6.8</v>
      </c>
    </row>
    <row r="108" ht="24" customHeight="1" s="74">
      <c r="A108" s="38" t="inlineStr">
        <is>
          <t>Attic</t>
        </is>
      </c>
      <c r="B108" s="39" t="n"/>
      <c r="C108" s="39" t="n"/>
      <c r="D108" s="39" t="n"/>
      <c r="E108" s="39" t="n"/>
      <c r="F108" s="39" t="n"/>
      <c r="G108" s="39" t="n"/>
    </row>
    <row r="109" ht="14.25" customHeight="1" s="74">
      <c r="A109" s="40" t="inlineStr">
        <is>
          <t>Yes</t>
        </is>
      </c>
      <c r="B109" s="41" t="n">
        <v>45.3</v>
      </c>
      <c r="C109" s="41" t="n">
        <v>42.8</v>
      </c>
      <c r="D109" s="41" t="n">
        <v>2.6</v>
      </c>
      <c r="E109" s="41" t="inlineStr">
        <is>
          <t>N</t>
        </is>
      </c>
      <c r="F109" s="41" t="inlineStr">
        <is>
          <t>N</t>
        </is>
      </c>
      <c r="G109" s="41" t="inlineStr">
        <is>
          <t>N</t>
        </is>
      </c>
    </row>
    <row r="110" ht="14.25" customHeight="1" s="74">
      <c r="A110" s="42" t="inlineStr">
        <is>
          <t>Finished attic</t>
        </is>
      </c>
      <c r="B110" s="41" t="n">
        <v>7.5</v>
      </c>
      <c r="C110" s="41" t="n">
        <v>7</v>
      </c>
      <c r="D110" s="41" t="n">
        <v>0.5</v>
      </c>
      <c r="E110" s="41" t="inlineStr">
        <is>
          <t>N</t>
        </is>
      </c>
      <c r="F110" s="41" t="inlineStr">
        <is>
          <t>N</t>
        </is>
      </c>
      <c r="G110" s="41" t="inlineStr">
        <is>
          <t>N</t>
        </is>
      </c>
    </row>
    <row r="111" ht="14.25" customHeight="1" s="74">
      <c r="A111" s="42" t="inlineStr">
        <is>
          <t>Unfinished attic</t>
        </is>
      </c>
      <c r="B111" s="41" t="n">
        <v>37.9</v>
      </c>
      <c r="C111" s="41" t="n">
        <v>35.8</v>
      </c>
      <c r="D111" s="41" t="n">
        <v>2.1</v>
      </c>
      <c r="E111" s="41" t="inlineStr">
        <is>
          <t>N</t>
        </is>
      </c>
      <c r="F111" s="41" t="inlineStr">
        <is>
          <t>N</t>
        </is>
      </c>
      <c r="G111" s="41" t="inlineStr">
        <is>
          <t>N</t>
        </is>
      </c>
    </row>
    <row r="112" ht="14.25" customHeight="1" s="74">
      <c r="A112" s="40" t="inlineStr">
        <is>
          <t>No</t>
        </is>
      </c>
      <c r="B112" s="41" t="n">
        <v>35.5</v>
      </c>
      <c r="C112" s="41" t="n">
        <v>31.1</v>
      </c>
      <c r="D112" s="41" t="n">
        <v>4.4</v>
      </c>
      <c r="E112" s="41" t="inlineStr">
        <is>
          <t>N</t>
        </is>
      </c>
      <c r="F112" s="41" t="inlineStr">
        <is>
          <t>N</t>
        </is>
      </c>
      <c r="G112" s="41" t="inlineStr">
        <is>
          <t>N</t>
        </is>
      </c>
    </row>
    <row r="113" ht="26.25" customHeight="1" s="74">
      <c r="A113" s="42" t="inlineStr">
        <is>
          <t>Not asked (apartments and mobile homes)</t>
        </is>
      </c>
      <c r="B113" s="41" t="n">
        <v>37.3</v>
      </c>
      <c r="C113" s="41" t="inlineStr">
        <is>
          <t>N</t>
        </is>
      </c>
      <c r="D113" s="41" t="inlineStr">
        <is>
          <t>N</t>
        </is>
      </c>
      <c r="E113" s="41" t="n">
        <v>9.4</v>
      </c>
      <c r="F113" s="41" t="n">
        <v>21.1</v>
      </c>
      <c r="G113" s="41" t="n">
        <v>6.8</v>
      </c>
    </row>
    <row r="114" ht="24" customHeight="1" s="74">
      <c r="A114" s="38" t="inlineStr">
        <is>
          <t>Attached garage</t>
        </is>
      </c>
      <c r="B114" s="39" t="n"/>
      <c r="C114" s="39" t="n"/>
      <c r="D114" s="39" t="n"/>
      <c r="E114" s="39" t="n"/>
      <c r="F114" s="39" t="n"/>
      <c r="G114" s="39" t="n"/>
    </row>
    <row r="115" ht="24" customHeight="1" s="74">
      <c r="A115" s="40" t="inlineStr">
        <is>
          <t>Yes</t>
        </is>
      </c>
      <c r="B115" s="41" t="n">
        <v>46.9</v>
      </c>
      <c r="C115" s="41" t="n">
        <v>43.8</v>
      </c>
      <c r="D115" s="41" t="n">
        <v>3.1</v>
      </c>
      <c r="E115" s="41" t="inlineStr">
        <is>
          <t>N</t>
        </is>
      </c>
      <c r="F115" s="41" t="inlineStr">
        <is>
          <t>N</t>
        </is>
      </c>
      <c r="G115" s="41" t="inlineStr">
        <is>
          <t>N</t>
        </is>
      </c>
    </row>
    <row r="116" ht="14.25" customHeight="1" s="74">
      <c r="A116" s="42" t="inlineStr">
        <is>
          <t>1-car garage</t>
        </is>
      </c>
      <c r="B116" s="41" t="n">
        <v>11.4</v>
      </c>
      <c r="C116" s="41" t="n">
        <v>9.9</v>
      </c>
      <c r="D116" s="41" t="n">
        <v>1.5</v>
      </c>
      <c r="E116" s="41" t="inlineStr">
        <is>
          <t>N</t>
        </is>
      </c>
      <c r="F116" s="41" t="inlineStr">
        <is>
          <t>N</t>
        </is>
      </c>
      <c r="G116" s="41" t="inlineStr">
        <is>
          <t>N</t>
        </is>
      </c>
    </row>
    <row r="117" ht="14.25" customHeight="1" s="74">
      <c r="A117" s="42" t="inlineStr">
        <is>
          <t>2-car garage</t>
        </is>
      </c>
      <c r="B117" s="41" t="n">
        <v>30.3</v>
      </c>
      <c r="C117" s="41" t="n">
        <v>28.7</v>
      </c>
      <c r="D117" s="41" t="n">
        <v>1.6</v>
      </c>
      <c r="E117" s="41" t="inlineStr">
        <is>
          <t>N</t>
        </is>
      </c>
      <c r="F117" s="41" t="inlineStr">
        <is>
          <t>N</t>
        </is>
      </c>
      <c r="G117" s="41" t="inlineStr">
        <is>
          <t>N</t>
        </is>
      </c>
    </row>
    <row r="118" ht="14.25" customHeight="1" s="74">
      <c r="A118" s="42" t="inlineStr">
        <is>
          <t>3 or more car garage</t>
        </is>
      </c>
      <c r="B118" s="41" t="n">
        <v>5.2</v>
      </c>
      <c r="C118" s="41" t="n">
        <v>5.2</v>
      </c>
      <c r="D118" s="41" t="inlineStr">
        <is>
          <t>Q</t>
        </is>
      </c>
      <c r="E118" s="41" t="inlineStr">
        <is>
          <t>N</t>
        </is>
      </c>
      <c r="F118" s="41" t="inlineStr">
        <is>
          <t>N</t>
        </is>
      </c>
      <c r="G118" s="41" t="inlineStr">
        <is>
          <t>N</t>
        </is>
      </c>
    </row>
    <row r="119" ht="14.25" customHeight="1" s="74">
      <c r="A119" s="40" t="inlineStr">
        <is>
          <t>No</t>
        </is>
      </c>
      <c r="B119" s="41" t="n">
        <v>34</v>
      </c>
      <c r="C119" s="41" t="n">
        <v>30</v>
      </c>
      <c r="D119" s="41" t="n">
        <v>4</v>
      </c>
      <c r="E119" s="41" t="inlineStr">
        <is>
          <t>N</t>
        </is>
      </c>
      <c r="F119" s="41" t="inlineStr">
        <is>
          <t>N</t>
        </is>
      </c>
      <c r="G119" s="41" t="inlineStr">
        <is>
          <t>N</t>
        </is>
      </c>
    </row>
    <row r="120" ht="26.25" customHeight="1" s="74">
      <c r="A120" s="42" t="inlineStr">
        <is>
          <t>Not asked (apartments and mobile homes)</t>
        </is>
      </c>
      <c r="B120" s="41" t="n">
        <v>37.3</v>
      </c>
      <c r="C120" s="41" t="inlineStr">
        <is>
          <t>N</t>
        </is>
      </c>
      <c r="D120" s="41" t="inlineStr">
        <is>
          <t>N</t>
        </is>
      </c>
      <c r="E120" s="41" t="n">
        <v>9.4</v>
      </c>
      <c r="F120" s="41" t="n">
        <v>21.1</v>
      </c>
      <c r="G120" s="41" t="n">
        <v>6.8</v>
      </c>
    </row>
    <row r="121" ht="24" customHeight="1" s="74">
      <c r="A121" s="38" t="inlineStr">
        <is>
          <t>Adequacy of insulation</t>
        </is>
      </c>
      <c r="B121" s="39" t="n"/>
      <c r="C121" s="39" t="n"/>
      <c r="D121" s="39" t="n"/>
      <c r="E121" s="39" t="n"/>
      <c r="F121" s="39" t="n"/>
      <c r="G121" s="39" t="n"/>
    </row>
    <row r="122" ht="14.25" customHeight="1" s="74">
      <c r="A122" s="40" t="inlineStr">
        <is>
          <t>Well insulated</t>
        </is>
      </c>
      <c r="B122" s="41" t="n">
        <v>37.5</v>
      </c>
      <c r="C122" s="41" t="n">
        <v>25.7</v>
      </c>
      <c r="D122" s="41" t="n">
        <v>1.9</v>
      </c>
      <c r="E122" s="41" t="n">
        <v>2.2</v>
      </c>
      <c r="F122" s="41" t="n">
        <v>6</v>
      </c>
      <c r="G122" s="41" t="n">
        <v>1.8</v>
      </c>
    </row>
    <row r="123" ht="14.25" customHeight="1" s="74">
      <c r="A123" s="40" t="inlineStr">
        <is>
          <t>Adequately insulated</t>
        </is>
      </c>
      <c r="B123" s="41" t="n">
        <v>57.9</v>
      </c>
      <c r="C123" s="41" t="n">
        <v>36.5</v>
      </c>
      <c r="D123" s="41" t="n">
        <v>3.7</v>
      </c>
      <c r="E123" s="41" t="n">
        <v>4.7</v>
      </c>
      <c r="F123" s="41" t="n">
        <v>10.1</v>
      </c>
      <c r="G123" s="41" t="n">
        <v>2.9</v>
      </c>
    </row>
    <row r="124" ht="14.25" customHeight="1" s="74">
      <c r="A124" s="40" t="inlineStr">
        <is>
          <t>Poorly insulated</t>
        </is>
      </c>
      <c r="B124" s="41" t="n">
        <v>20.9</v>
      </c>
      <c r="C124" s="41" t="n">
        <v>11</v>
      </c>
      <c r="D124" s="41" t="n">
        <v>1.3</v>
      </c>
      <c r="E124" s="41" t="n">
        <v>2.4</v>
      </c>
      <c r="F124" s="41" t="n">
        <v>4.2</v>
      </c>
      <c r="G124" s="41" t="n">
        <v>2</v>
      </c>
    </row>
    <row r="125" ht="14.25" customHeight="1" s="74">
      <c r="A125" s="40" t="inlineStr">
        <is>
          <t>No insulation</t>
        </is>
      </c>
      <c r="B125" s="41" t="n">
        <v>1.9</v>
      </c>
      <c r="C125" s="41" t="n">
        <v>0.6</v>
      </c>
      <c r="D125" s="41" t="inlineStr">
        <is>
          <t>Q</t>
        </is>
      </c>
      <c r="E125" s="41" t="inlineStr">
        <is>
          <t>Q</t>
        </is>
      </c>
      <c r="F125" s="41" t="n">
        <v>0.9</v>
      </c>
      <c r="G125" s="41" t="inlineStr">
        <is>
          <t>Q</t>
        </is>
      </c>
    </row>
    <row r="126" ht="24" customHeight="1" s="74">
      <c r="A126" s="38" t="inlineStr">
        <is>
          <t>Home is too drafty during the winter</t>
        </is>
      </c>
      <c r="B126" s="39" t="n"/>
      <c r="C126" s="39" t="n"/>
      <c r="D126" s="39" t="n"/>
      <c r="E126" s="39" t="n"/>
      <c r="F126" s="39" t="n"/>
      <c r="G126" s="39"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4.25" customHeight="1" s="74">
      <c r="A127" s="40" t="inlineStr">
        <is>
          <t>Never</t>
        </is>
      </c>
      <c r="B127" s="41" t="n">
        <v>56</v>
      </c>
      <c r="C127" s="41" t="n">
        <v>36</v>
      </c>
      <c r="D127" s="41" t="n">
        <v>3</v>
      </c>
      <c r="E127" s="41" t="n">
        <v>3.6</v>
      </c>
      <c r="F127" s="41" t="n">
        <v>10.8</v>
      </c>
      <c r="G127" s="41" t="n">
        <v>2.6</v>
      </c>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4.25" customHeight="1" s="74">
      <c r="A128" s="40" t="inlineStr">
        <is>
          <t>Some of the time</t>
        </is>
      </c>
      <c r="B128" s="41" t="n">
        <v>48.4</v>
      </c>
      <c r="C128" s="41" t="n">
        <v>31.3</v>
      </c>
      <c r="D128" s="41" t="n">
        <v>2.9</v>
      </c>
      <c r="E128" s="41" t="n">
        <v>4</v>
      </c>
      <c r="F128" s="41" t="n">
        <v>7.3</v>
      </c>
      <c r="G128" s="41" t="n">
        <v>3</v>
      </c>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4.25" customHeight="1" s="74">
      <c r="A129" s="40" t="inlineStr">
        <is>
          <t>Most of the time</t>
        </is>
      </c>
      <c r="B129" s="41" t="n">
        <v>9</v>
      </c>
      <c r="C129" s="41" t="n">
        <v>4.4</v>
      </c>
      <c r="D129" s="41" t="n">
        <v>0.7</v>
      </c>
      <c r="E129" s="41" t="n">
        <v>1.1</v>
      </c>
      <c r="F129" s="41" t="n">
        <v>2.1</v>
      </c>
      <c r="G129" s="41" t="n">
        <v>0.6</v>
      </c>
    </row>
    <row r="130" ht="14.25" customHeight="1" s="74">
      <c r="A130" s="40" t="inlineStr">
        <is>
          <t>All of the time</t>
        </is>
      </c>
      <c r="B130" s="41" t="n">
        <v>4.8</v>
      </c>
      <c r="C130" s="41" t="n">
        <v>2.2</v>
      </c>
      <c r="D130" s="41" t="n">
        <v>0.3</v>
      </c>
      <c r="E130" s="41" t="n">
        <v>0.7</v>
      </c>
      <c r="F130" s="41" t="n">
        <v>1</v>
      </c>
      <c r="G130" s="41" t="n">
        <v>0.6</v>
      </c>
    </row>
    <row r="131" ht="24" customHeight="1" s="74">
      <c r="A131" s="38" t="inlineStr">
        <is>
          <t>Unusually high ceilings</t>
        </is>
      </c>
      <c r="B131" s="39" t="n"/>
      <c r="C131" s="39" t="n"/>
      <c r="D131" s="39" t="n"/>
      <c r="E131" s="39" t="n"/>
      <c r="F131" s="39" t="n"/>
      <c r="G131" s="39" t="n"/>
    </row>
    <row r="132" ht="14.25" customHeight="1" s="74">
      <c r="A132" s="40" t="inlineStr">
        <is>
          <t>Yes</t>
        </is>
      </c>
      <c r="B132" s="41" t="n">
        <v>38.2</v>
      </c>
      <c r="C132" s="41" t="n">
        <v>29</v>
      </c>
      <c r="D132" s="41" t="n">
        <v>2.9</v>
      </c>
      <c r="E132" s="41" t="n">
        <v>2</v>
      </c>
      <c r="F132" s="41" t="n">
        <v>4.2</v>
      </c>
      <c r="G132" s="41" t="inlineStr">
        <is>
          <t>N</t>
        </is>
      </c>
    </row>
    <row r="133" ht="14.25" customHeight="1" s="74">
      <c r="A133" s="40" t="inlineStr">
        <is>
          <t>No</t>
        </is>
      </c>
      <c r="B133" s="41" t="n">
        <v>73.3</v>
      </c>
      <c r="C133" s="41" t="n">
        <v>44.8</v>
      </c>
      <c r="D133" s="41" t="n">
        <v>4.1</v>
      </c>
      <c r="E133" s="41" t="n">
        <v>7.4</v>
      </c>
      <c r="F133" s="41" t="n">
        <v>16.9</v>
      </c>
      <c r="G133" s="41" t="inlineStr">
        <is>
          <t>N</t>
        </is>
      </c>
    </row>
    <row r="134" ht="14.25" customHeight="1" s="74">
      <c r="A134" s="40" t="inlineStr">
        <is>
          <t>Not asked (mobile homes)</t>
        </is>
      </c>
      <c r="B134" s="41" t="n">
        <v>6.8</v>
      </c>
      <c r="C134" s="41" t="inlineStr">
        <is>
          <t>N</t>
        </is>
      </c>
      <c r="D134" s="41" t="inlineStr">
        <is>
          <t>N</t>
        </is>
      </c>
      <c r="E134" s="41" t="inlineStr">
        <is>
          <t>N</t>
        </is>
      </c>
      <c r="F134" s="41" t="inlineStr">
        <is>
          <t>N</t>
        </is>
      </c>
      <c r="G134" s="41" t="n">
        <v>6.8</v>
      </c>
    </row>
    <row r="135" ht="24" customHeight="1" s="74">
      <c r="A135" s="38" t="inlineStr">
        <is>
          <t>Number of windows</t>
        </is>
      </c>
      <c r="B135" s="39" t="n"/>
      <c r="C135" s="39" t="n"/>
      <c r="D135" s="39" t="n"/>
      <c r="E135" s="39" t="n"/>
      <c r="F135" s="39" t="n"/>
      <c r="G135" s="39" t="n"/>
    </row>
    <row r="136" ht="14.25" customHeight="1" s="74">
      <c r="A136" s="40" t="inlineStr">
        <is>
          <t>1 to 2</t>
        </is>
      </c>
      <c r="B136" s="41" t="n">
        <v>5.8</v>
      </c>
      <c r="C136" s="41" t="inlineStr">
        <is>
          <t>Q</t>
        </is>
      </c>
      <c r="D136" s="41" t="n">
        <v>0.1</v>
      </c>
      <c r="E136" s="41" t="n">
        <v>0.7</v>
      </c>
      <c r="F136" s="41" t="n">
        <v>4.8</v>
      </c>
      <c r="G136" s="41" t="inlineStr">
        <is>
          <t>N</t>
        </is>
      </c>
    </row>
    <row r="137" ht="14.25" customHeight="1" s="74">
      <c r="A137" s="40" t="inlineStr">
        <is>
          <t>3 to 5</t>
        </is>
      </c>
      <c r="B137" s="41" t="n">
        <v>17.8</v>
      </c>
      <c r="C137" s="41" t="n">
        <v>1.6</v>
      </c>
      <c r="D137" s="41" t="n">
        <v>1.8</v>
      </c>
      <c r="E137" s="41" t="n">
        <v>3.5</v>
      </c>
      <c r="F137" s="41" t="n">
        <v>10.6</v>
      </c>
      <c r="G137" s="41" t="inlineStr">
        <is>
          <t>Q</t>
        </is>
      </c>
    </row>
    <row r="138" ht="14.25" customHeight="1" s="74">
      <c r="A138" s="40" t="inlineStr">
        <is>
          <t>6 to 9</t>
        </is>
      </c>
      <c r="B138" s="41" t="n">
        <v>28.2</v>
      </c>
      <c r="C138" s="41" t="n">
        <v>15.3</v>
      </c>
      <c r="D138" s="41" t="n">
        <v>2.5</v>
      </c>
      <c r="E138" s="41" t="n">
        <v>3</v>
      </c>
      <c r="F138" s="41" t="n">
        <v>4.4</v>
      </c>
      <c r="G138" s="41" t="n">
        <v>3</v>
      </c>
    </row>
    <row r="139" ht="14.25" customHeight="1" s="74">
      <c r="A139" s="43" t="inlineStr">
        <is>
          <t>10 to 15</t>
        </is>
      </c>
      <c r="B139" s="41" t="n">
        <v>37.6</v>
      </c>
      <c r="C139" s="41" t="n">
        <v>30.2</v>
      </c>
      <c r="D139" s="41" t="n">
        <v>1.7</v>
      </c>
      <c r="E139" s="41" t="n">
        <v>1.6</v>
      </c>
      <c r="F139" s="41" t="n">
        <v>1.1</v>
      </c>
      <c r="G139" s="41" t="n">
        <v>3.1</v>
      </c>
    </row>
    <row r="140" ht="14.25" customHeight="1" s="74">
      <c r="A140" s="43" t="inlineStr">
        <is>
          <t>16 to 19</t>
        </is>
      </c>
      <c r="B140" s="41" t="n">
        <v>12.9</v>
      </c>
      <c r="C140" s="41" t="n">
        <v>11.5</v>
      </c>
      <c r="D140" s="41" t="n">
        <v>0.4</v>
      </c>
      <c r="E140" s="41" t="n">
        <v>0.4</v>
      </c>
      <c r="F140" s="41" t="inlineStr">
        <is>
          <t>Q</t>
        </is>
      </c>
      <c r="G140" s="41" t="n">
        <v>0.5</v>
      </c>
    </row>
    <row r="141" ht="14.25" customHeight="1" s="74">
      <c r="A141" s="43" t="inlineStr">
        <is>
          <t>20 to 29</t>
        </is>
      </c>
      <c r="B141" s="41" t="n">
        <v>12.2</v>
      </c>
      <c r="C141" s="41" t="n">
        <v>11.5</v>
      </c>
      <c r="D141" s="41" t="n">
        <v>0.4</v>
      </c>
      <c r="E141" s="41" t="inlineStr">
        <is>
          <t>Q</t>
        </is>
      </c>
      <c r="F141" s="41" t="inlineStr">
        <is>
          <t>Q</t>
        </is>
      </c>
      <c r="G141" s="41" t="inlineStr">
        <is>
          <t>N</t>
        </is>
      </c>
    </row>
    <row r="142" ht="14.25" customHeight="1" s="74">
      <c r="A142" s="43" t="inlineStr">
        <is>
          <t>30 or more</t>
        </is>
      </c>
      <c r="B142" s="41" t="n">
        <v>3.7</v>
      </c>
      <c r="C142" s="41" t="n">
        <v>3.7</v>
      </c>
      <c r="D142" s="41" t="inlineStr">
        <is>
          <t>Q</t>
        </is>
      </c>
      <c r="E142" s="41" t="inlineStr">
        <is>
          <t>Q</t>
        </is>
      </c>
      <c r="F142" s="41" t="inlineStr">
        <is>
          <t>N</t>
        </is>
      </c>
      <c r="G142" s="41" t="inlineStr">
        <is>
          <t>N</t>
        </is>
      </c>
    </row>
    <row r="143" ht="24" customHeight="1" s="74">
      <c r="A143" s="38" t="inlineStr">
        <is>
          <t>Type of glass in windows</t>
        </is>
      </c>
      <c r="B143" s="39" t="n"/>
      <c r="C143" s="39" t="n"/>
      <c r="D143" s="39" t="n"/>
      <c r="E143" s="39" t="n"/>
      <c r="F143" s="39" t="n"/>
      <c r="G143" s="39" t="n"/>
    </row>
    <row r="144" ht="14.25" customHeight="1" s="74">
      <c r="A144" s="40" t="inlineStr">
        <is>
          <t>Single-pane glass</t>
        </is>
      </c>
      <c r="B144" s="41" t="n">
        <v>48.7</v>
      </c>
      <c r="C144" s="41" t="n">
        <v>25.2</v>
      </c>
      <c r="D144" s="41" t="n">
        <v>2.8</v>
      </c>
      <c r="E144" s="41" t="n">
        <v>5.7</v>
      </c>
      <c r="F144" s="41" t="n">
        <v>11</v>
      </c>
      <c r="G144" s="41" t="n">
        <v>4</v>
      </c>
    </row>
    <row r="145" ht="14.25" customHeight="1" s="74">
      <c r="A145" s="40" t="inlineStr">
        <is>
          <t>Double-pane glass</t>
        </is>
      </c>
      <c r="B145" s="41" t="n">
        <v>68.3</v>
      </c>
      <c r="C145" s="41" t="n">
        <v>47.8</v>
      </c>
      <c r="D145" s="41" t="n">
        <v>4.2</v>
      </c>
      <c r="E145" s="41" t="n">
        <v>3.7</v>
      </c>
      <c r="F145" s="41" t="n">
        <v>9.9</v>
      </c>
      <c r="G145" s="41" t="n">
        <v>2.7</v>
      </c>
    </row>
    <row r="146" ht="14.25" customHeight="1" s="74">
      <c r="A146" s="40" t="inlineStr">
        <is>
          <t>Triple-pane glass</t>
        </is>
      </c>
      <c r="B146" s="41" t="n">
        <v>1.2</v>
      </c>
      <c r="C146" s="41" t="n">
        <v>0.9</v>
      </c>
      <c r="D146" s="41" t="inlineStr">
        <is>
          <t>Q</t>
        </is>
      </c>
      <c r="E146" s="41" t="inlineStr">
        <is>
          <t>Q</t>
        </is>
      </c>
      <c r="F146" s="41" t="inlineStr">
        <is>
          <t>Q</t>
        </is>
      </c>
      <c r="G146" s="41" t="inlineStr">
        <is>
          <t>Q</t>
        </is>
      </c>
    </row>
    <row r="147" ht="24" customHeight="1" s="74">
      <c r="A147" s="38" t="inlineStr">
        <is>
          <t>Window frame material</t>
        </is>
      </c>
      <c r="B147" s="39" t="n"/>
      <c r="C147" s="39" t="n"/>
      <c r="D147" s="39" t="n"/>
      <c r="E147" s="39" t="n"/>
      <c r="F147" s="39" t="n"/>
      <c r="G147" s="39" t="n"/>
    </row>
    <row r="148" ht="14.25" customHeight="1" s="74">
      <c r="A148" s="40" t="inlineStr">
        <is>
          <t>Metal (aluminum)</t>
        </is>
      </c>
      <c r="B148" s="41" t="n">
        <v>47.7</v>
      </c>
      <c r="C148" s="41" t="n">
        <v>22.3</v>
      </c>
      <c r="D148" s="41" t="n">
        <v>2.8</v>
      </c>
      <c r="E148" s="41" t="n">
        <v>4.2</v>
      </c>
      <c r="F148" s="41" t="n">
        <v>14.1</v>
      </c>
      <c r="G148" s="41" t="n">
        <v>4.2</v>
      </c>
    </row>
    <row r="149" ht="14.25" customHeight="1" s="74">
      <c r="A149" s="40" t="inlineStr">
        <is>
          <t>Wood</t>
        </is>
      </c>
      <c r="B149" s="41" t="n">
        <v>41.9</v>
      </c>
      <c r="C149" s="41" t="n">
        <v>28.6</v>
      </c>
      <c r="D149" s="41" t="n">
        <v>2.4</v>
      </c>
      <c r="E149" s="41" t="n">
        <v>4</v>
      </c>
      <c r="F149" s="41" t="n">
        <v>5</v>
      </c>
      <c r="G149" s="41" t="n">
        <v>1.8</v>
      </c>
    </row>
    <row r="150" ht="14.25" customHeight="1" s="74">
      <c r="A150" s="40" t="inlineStr">
        <is>
          <t>Vinyl</t>
        </is>
      </c>
      <c r="B150" s="41" t="n">
        <v>25.3</v>
      </c>
      <c r="C150" s="41" t="n">
        <v>20.7</v>
      </c>
      <c r="D150" s="41" t="n">
        <v>1.6</v>
      </c>
      <c r="E150" s="41" t="n">
        <v>0.9</v>
      </c>
      <c r="F150" s="41" t="n">
        <v>1.4</v>
      </c>
      <c r="G150" s="41" t="n">
        <v>0.7</v>
      </c>
    </row>
    <row r="151" ht="14.25" customHeight="1" s="74">
      <c r="A151" s="43" t="inlineStr">
        <is>
          <t>Fiberglass</t>
        </is>
      </c>
      <c r="B151" s="41" t="n">
        <v>2</v>
      </c>
      <c r="C151" s="41" t="n">
        <v>1</v>
      </c>
      <c r="D151" s="41" t="n">
        <v>0.1</v>
      </c>
      <c r="E151" s="41" t="inlineStr">
        <is>
          <t>Q</t>
        </is>
      </c>
      <c r="F151" s="41" t="n">
        <v>0.6</v>
      </c>
      <c r="G151" s="41" t="inlineStr">
        <is>
          <t>Q</t>
        </is>
      </c>
    </row>
    <row r="152" ht="14.25" customHeight="1" s="74">
      <c r="A152" s="43" t="inlineStr">
        <is>
          <t>Composite</t>
        </is>
      </c>
      <c r="B152" s="41" t="n">
        <v>1.4</v>
      </c>
      <c r="C152" s="41" t="n">
        <v>1.2</v>
      </c>
      <c r="D152" s="41" t="inlineStr">
        <is>
          <t>Q</t>
        </is>
      </c>
      <c r="E152" s="41" t="inlineStr">
        <is>
          <t>Q</t>
        </is>
      </c>
      <c r="F152" s="41" t="inlineStr">
        <is>
          <t>Q</t>
        </is>
      </c>
      <c r="G152" s="41" t="inlineStr">
        <is>
          <t>N</t>
        </is>
      </c>
    </row>
    <row r="153" ht="24" customHeight="1" s="74">
      <c r="A153" s="38" t="inlineStr">
        <is>
          <t>Number of sliding glass doors</t>
        </is>
      </c>
      <c r="B153" s="39" t="n"/>
      <c r="C153" s="39" t="n"/>
      <c r="D153" s="39" t="n"/>
      <c r="E153" s="39" t="n"/>
      <c r="F153" s="39" t="n"/>
      <c r="G153" s="39" t="n"/>
    </row>
    <row r="154" ht="14.25" customHeight="1" s="74">
      <c r="A154" s="42" t="n">
        <v>0</v>
      </c>
      <c r="B154" s="41" t="n">
        <v>75.59999999999999</v>
      </c>
      <c r="C154" s="41" t="n">
        <v>45.7</v>
      </c>
      <c r="D154" s="41" t="n">
        <v>3.6</v>
      </c>
      <c r="E154" s="41" t="n">
        <v>7.3</v>
      </c>
      <c r="F154" s="41" t="n">
        <v>13.5</v>
      </c>
      <c r="G154" s="41" t="n">
        <v>5.6</v>
      </c>
    </row>
    <row r="155" ht="14.25" customHeight="1" s="74">
      <c r="A155" s="42" t="n">
        <v>1</v>
      </c>
      <c r="B155" s="41" t="n">
        <v>32.3</v>
      </c>
      <c r="C155" s="41" t="n">
        <v>20.3</v>
      </c>
      <c r="D155" s="41" t="n">
        <v>2.5</v>
      </c>
      <c r="E155" s="41" t="n">
        <v>1.8</v>
      </c>
      <c r="F155" s="41" t="n">
        <v>6.6</v>
      </c>
      <c r="G155" s="41" t="n">
        <v>1.1</v>
      </c>
    </row>
    <row r="156" ht="14.25" customHeight="1" s="74">
      <c r="A156" s="42" t="n">
        <v>2</v>
      </c>
      <c r="B156" s="41" t="n">
        <v>7.4</v>
      </c>
      <c r="C156" s="41" t="n">
        <v>5.5</v>
      </c>
      <c r="D156" s="41" t="n">
        <v>0.7</v>
      </c>
      <c r="E156" s="41" t="inlineStr">
        <is>
          <t>Q</t>
        </is>
      </c>
      <c r="F156" s="41" t="n">
        <v>0.9</v>
      </c>
      <c r="G156" s="41" t="inlineStr">
        <is>
          <t>Q</t>
        </is>
      </c>
    </row>
    <row r="157" ht="14.25" customHeight="1" s="74">
      <c r="A157" s="42" t="inlineStr">
        <is>
          <t>3 or more</t>
        </is>
      </c>
      <c r="B157" s="41" t="n">
        <v>2.9</v>
      </c>
      <c r="C157" s="41" t="n">
        <v>2.3</v>
      </c>
      <c r="D157" s="41" t="n">
        <v>0.2</v>
      </c>
      <c r="E157" s="41" t="inlineStr">
        <is>
          <t>Q</t>
        </is>
      </c>
      <c r="F157" s="41" t="n">
        <v>0.2</v>
      </c>
      <c r="G157" s="41" t="inlineStr">
        <is>
          <t>N</t>
        </is>
      </c>
    </row>
    <row r="158" ht="24" customHeight="1" s="74">
      <c r="A158" s="38" t="inlineStr">
        <is>
          <t>Energy audit performed on home</t>
        </is>
      </c>
      <c r="B158" s="39" t="n"/>
      <c r="C158" s="39" t="n"/>
      <c r="D158" s="39" t="n"/>
      <c r="E158" s="39" t="n"/>
      <c r="F158" s="39" t="n"/>
      <c r="G158" s="39" t="n"/>
    </row>
    <row r="159" ht="14.25" customHeight="1" s="74">
      <c r="A159" s="40" t="inlineStr">
        <is>
          <t>Yes</t>
        </is>
      </c>
      <c r="B159" s="41" t="n">
        <v>8.9</v>
      </c>
      <c r="C159" s="41" t="n">
        <v>7</v>
      </c>
      <c r="D159" s="41" t="n">
        <v>0.5</v>
      </c>
      <c r="E159" s="41" t="n">
        <v>0.5</v>
      </c>
      <c r="F159" s="41" t="n">
        <v>0.6</v>
      </c>
      <c r="G159" s="41" t="n">
        <v>0.4</v>
      </c>
    </row>
    <row r="160" ht="14.25" customHeight="1" s="74">
      <c r="A160" s="40" t="inlineStr">
        <is>
          <t>No</t>
        </is>
      </c>
      <c r="B160" s="41" t="n">
        <v>94.59999999999999</v>
      </c>
      <c r="C160" s="41" t="n">
        <v>61.4</v>
      </c>
      <c r="D160" s="41" t="n">
        <v>5.4</v>
      </c>
      <c r="E160" s="41" t="n">
        <v>6.8</v>
      </c>
      <c r="F160" s="41" t="n">
        <v>15.3</v>
      </c>
      <c r="G160" s="41" t="n">
        <v>5.8</v>
      </c>
    </row>
    <row r="161" ht="14.25" customHeight="1" s="74">
      <c r="A161" s="40" t="inlineStr">
        <is>
          <t>Don't know</t>
        </is>
      </c>
      <c r="B161" s="41" t="n">
        <v>14.7</v>
      </c>
      <c r="C161" s="41" t="n">
        <v>5.5</v>
      </c>
      <c r="D161" s="41" t="n">
        <v>1.1</v>
      </c>
      <c r="E161" s="41" t="n">
        <v>2.2</v>
      </c>
      <c r="F161" s="41" t="n">
        <v>5.3</v>
      </c>
      <c r="G161" s="41" t="n">
        <v>0.6</v>
      </c>
    </row>
    <row r="162" ht="24" customHeight="1" s="74">
      <c r="A162" s="38" t="inlineStr">
        <is>
          <t>Electricity meter is a smart meter</t>
        </is>
      </c>
      <c r="B162" s="39" t="n"/>
      <c r="C162" s="39" t="n"/>
      <c r="D162" s="39" t="n"/>
      <c r="E162" s="39" t="n"/>
      <c r="F162" s="39" t="n"/>
      <c r="G162" s="39" t="n"/>
    </row>
    <row r="163" ht="14.25" customHeight="1" s="74">
      <c r="A163" s="40" t="inlineStr">
        <is>
          <t>Yes</t>
        </is>
      </c>
      <c r="B163" s="41" t="n">
        <v>26.1</v>
      </c>
      <c r="C163" s="41" t="n">
        <v>19.3</v>
      </c>
      <c r="D163" s="41" t="n">
        <v>1.4</v>
      </c>
      <c r="E163" s="41" t="n">
        <v>1.4</v>
      </c>
      <c r="F163" s="41" t="n">
        <v>2.3</v>
      </c>
      <c r="G163" s="41" t="n">
        <v>1.6</v>
      </c>
    </row>
    <row r="164" ht="14.25" customHeight="1" s="74">
      <c r="A164" s="40" t="inlineStr">
        <is>
          <t>No</t>
        </is>
      </c>
      <c r="B164" s="41" t="n">
        <v>57.9</v>
      </c>
      <c r="C164" s="41" t="n">
        <v>35.4</v>
      </c>
      <c r="D164" s="41" t="n">
        <v>3.2</v>
      </c>
      <c r="E164" s="41" t="n">
        <v>4.5</v>
      </c>
      <c r="F164" s="41" t="n">
        <v>11.2</v>
      </c>
      <c r="G164" s="41" t="n">
        <v>3.6</v>
      </c>
    </row>
    <row r="165" ht="14.25" customHeight="1" s="74">
      <c r="A165" s="40" t="inlineStr">
        <is>
          <t>Don't know</t>
        </is>
      </c>
      <c r="B165" s="41" t="n">
        <v>34.2</v>
      </c>
      <c r="C165" s="41" t="n">
        <v>19.1</v>
      </c>
      <c r="D165" s="41" t="n">
        <v>2.4</v>
      </c>
      <c r="E165" s="41" t="n">
        <v>3.4</v>
      </c>
      <c r="F165" s="41" t="n">
        <v>7.6</v>
      </c>
      <c r="G165" s="41" t="n">
        <v>1.6</v>
      </c>
    </row>
    <row r="166" ht="33.75" customHeight="1" s="74">
      <c r="A166" s="38" t="inlineStr">
        <is>
          <t>Park a car within 20 feet of electrical outlet</t>
        </is>
      </c>
      <c r="B166" s="39" t="n"/>
      <c r="C166" s="39" t="n"/>
      <c r="D166" s="39" t="n"/>
      <c r="E166" s="39" t="n"/>
      <c r="F166" s="39" t="n"/>
      <c r="G166" s="39" t="n"/>
    </row>
    <row r="167" ht="14.25" customHeight="1" s="74">
      <c r="A167" s="40" t="inlineStr">
        <is>
          <t>Yes</t>
        </is>
      </c>
      <c r="B167" s="41" t="n">
        <v>56.4</v>
      </c>
      <c r="C167" s="41" t="n">
        <v>48.5</v>
      </c>
      <c r="D167" s="41" t="n">
        <v>3.4</v>
      </c>
      <c r="E167" s="41" t="n">
        <v>2.2</v>
      </c>
      <c r="F167" s="41" t="inlineStr">
        <is>
          <t>N</t>
        </is>
      </c>
      <c r="G167" s="41" t="n">
        <v>2.4</v>
      </c>
    </row>
    <row r="168" ht="14.25" customHeight="1" s="74">
      <c r="A168" s="40" t="inlineStr">
        <is>
          <t>No</t>
        </is>
      </c>
      <c r="B168" s="41" t="n">
        <v>40.6</v>
      </c>
      <c r="C168" s="41" t="n">
        <v>25.4</v>
      </c>
      <c r="D168" s="41" t="n">
        <v>3.6</v>
      </c>
      <c r="E168" s="41" t="n">
        <v>7.2</v>
      </c>
      <c r="F168" s="41" t="inlineStr">
        <is>
          <t>N</t>
        </is>
      </c>
      <c r="G168" s="41" t="n">
        <v>4.4</v>
      </c>
    </row>
    <row r="169" ht="26.25" customHeight="1" s="74">
      <c r="A169" s="40" t="inlineStr">
        <is>
          <t>Not asked (apartments in buildings with 5 or more units)</t>
        </is>
      </c>
      <c r="B169" s="41" t="n">
        <v>21.1</v>
      </c>
      <c r="C169" s="41" t="inlineStr">
        <is>
          <t>N</t>
        </is>
      </c>
      <c r="D169" s="41" t="inlineStr">
        <is>
          <t>N</t>
        </is>
      </c>
      <c r="E169" s="41" t="inlineStr">
        <is>
          <t>N</t>
        </is>
      </c>
      <c r="F169" s="41" t="n">
        <v>21.1</v>
      </c>
      <c r="G169" s="41" t="inlineStr">
        <is>
          <t>N</t>
        </is>
      </c>
    </row>
    <row r="170" ht="33.75" customHeight="1" s="74">
      <c r="A170" s="38" t="inlineStr">
        <is>
          <t>Natural gas available in neighborhood</t>
        </is>
      </c>
      <c r="B170" s="39" t="n"/>
      <c r="C170" s="39" t="n"/>
      <c r="D170" s="39" t="n"/>
      <c r="E170" s="39" t="n"/>
      <c r="F170" s="39" t="n"/>
      <c r="G170" s="39" t="n"/>
    </row>
    <row r="171" ht="14.25" customHeight="1" s="74">
      <c r="A171" s="40" t="inlineStr">
        <is>
          <t>Yes</t>
        </is>
      </c>
      <c r="B171" s="41" t="n">
        <v>81.90000000000001</v>
      </c>
      <c r="C171" s="41" t="n">
        <v>51.7</v>
      </c>
      <c r="D171" s="41" t="n">
        <v>5.4</v>
      </c>
      <c r="E171" s="41" t="n">
        <v>7.3</v>
      </c>
      <c r="F171" s="41" t="n">
        <v>14.8</v>
      </c>
      <c r="G171" s="41" t="n">
        <v>2.8</v>
      </c>
    </row>
    <row r="172" ht="14.25" customHeight="1" s="74">
      <c r="A172" s="42" t="inlineStr">
        <is>
          <t>Actually use natural gas</t>
        </is>
      </c>
      <c r="B172" s="41" t="n">
        <v>68.59999999999999</v>
      </c>
      <c r="C172" s="41" t="n">
        <v>45.1</v>
      </c>
      <c r="D172" s="41" t="n">
        <v>4.8</v>
      </c>
      <c r="E172" s="41" t="n">
        <v>6</v>
      </c>
      <c r="F172" s="41" t="n">
        <v>11.1</v>
      </c>
      <c r="G172" s="41" t="n">
        <v>1.7</v>
      </c>
    </row>
    <row r="173" ht="14.25" customHeight="1" s="74">
      <c r="A173" s="42" t="inlineStr">
        <is>
          <t>Do not use natural gas</t>
        </is>
      </c>
      <c r="B173" s="41" t="n">
        <v>13.3</v>
      </c>
      <c r="C173" s="41" t="n">
        <v>6.7</v>
      </c>
      <c r="D173" s="41" t="n">
        <v>0.6</v>
      </c>
      <c r="E173" s="41" t="n">
        <v>1.3</v>
      </c>
      <c r="F173" s="41" t="n">
        <v>3.6</v>
      </c>
      <c r="G173" s="41" t="n">
        <v>1.2</v>
      </c>
    </row>
    <row r="174" ht="14.25" customHeight="1" s="74">
      <c r="A174" s="40" t="inlineStr">
        <is>
          <t>No</t>
        </is>
      </c>
      <c r="B174" s="41" t="n">
        <v>36.3</v>
      </c>
      <c r="C174" s="41" t="n">
        <v>22.1</v>
      </c>
      <c r="D174" s="41" t="n">
        <v>1.6</v>
      </c>
      <c r="E174" s="41" t="n">
        <v>2.1</v>
      </c>
      <c r="F174" s="41" t="n">
        <v>6.4</v>
      </c>
      <c r="G174" s="41" t="n">
        <v>4</v>
      </c>
    </row>
    <row r="175" ht="24" customHeight="1" s="74">
      <c r="A175" s="38" t="inlineStr">
        <is>
          <t>Distributed solar generation</t>
        </is>
      </c>
      <c r="B175" s="39" t="n"/>
      <c r="C175" s="39" t="n"/>
      <c r="D175" s="39" t="n"/>
      <c r="E175" s="39" t="n"/>
      <c r="F175" s="39" t="n"/>
      <c r="G175" s="39" t="n"/>
    </row>
    <row r="176" ht="14.25" customHeight="1" s="74">
      <c r="A176" s="40" t="inlineStr">
        <is>
          <t>Yes</t>
        </is>
      </c>
      <c r="B176" s="41" t="n">
        <v>1.5</v>
      </c>
      <c r="C176" s="41" t="n">
        <v>1.5</v>
      </c>
      <c r="D176" s="41" t="inlineStr">
        <is>
          <t>N</t>
        </is>
      </c>
      <c r="E176" s="41" t="inlineStr">
        <is>
          <t>N</t>
        </is>
      </c>
      <c r="F176" s="41" t="inlineStr">
        <is>
          <t>N</t>
        </is>
      </c>
      <c r="G176" s="41" t="inlineStr">
        <is>
          <t>Q</t>
        </is>
      </c>
    </row>
    <row r="177" ht="14.25" customHeight="1" s="74">
      <c r="A177" s="40" t="inlineStr">
        <is>
          <t>No</t>
        </is>
      </c>
      <c r="B177" s="41" t="n">
        <v>86.2</v>
      </c>
      <c r="C177" s="41" t="n">
        <v>72.40000000000001</v>
      </c>
      <c r="D177" s="41" t="n">
        <v>7</v>
      </c>
      <c r="E177" s="41" t="inlineStr">
        <is>
          <t>N</t>
        </is>
      </c>
      <c r="F177" s="41" t="inlineStr">
        <is>
          <t>N</t>
        </is>
      </c>
      <c r="G177" s="41" t="n">
        <v>6.8</v>
      </c>
    </row>
    <row r="178" ht="14.25" customHeight="1" s="74">
      <c r="A178" s="40" t="inlineStr">
        <is>
          <t>Not asked (apartments)</t>
        </is>
      </c>
      <c r="B178" s="41" t="n">
        <v>30.5</v>
      </c>
      <c r="C178" s="41" t="inlineStr">
        <is>
          <t>N</t>
        </is>
      </c>
      <c r="D178" s="41" t="inlineStr">
        <is>
          <t>N</t>
        </is>
      </c>
      <c r="E178" s="41" t="n">
        <v>9.4</v>
      </c>
      <c r="F178" s="41" t="n">
        <v>21.1</v>
      </c>
      <c r="G178" s="41" t="inlineStr">
        <is>
          <t>N</t>
        </is>
      </c>
    </row>
    <row r="179" ht="24" customHeight="1" s="74">
      <c r="A179" s="38" t="inlineStr">
        <is>
          <t>Back-up generator in home</t>
        </is>
      </c>
      <c r="B179" s="39" t="n"/>
      <c r="C179" s="39" t="n"/>
      <c r="D179" s="39" t="n"/>
      <c r="E179" s="39" t="n"/>
      <c r="F179" s="39" t="n"/>
      <c r="G179" s="39" t="n"/>
    </row>
    <row r="180" ht="14.25" customHeight="1" s="74">
      <c r="A180" s="40" t="inlineStr">
        <is>
          <t>Yes</t>
        </is>
      </c>
      <c r="B180" s="41" t="n">
        <v>12.6</v>
      </c>
      <c r="C180" s="41" t="n">
        <v>11.2</v>
      </c>
      <c r="D180" s="41" t="n">
        <v>0.2</v>
      </c>
      <c r="E180" s="41" t="n">
        <v>0.3</v>
      </c>
      <c r="F180" s="41" t="inlineStr">
        <is>
          <t>N</t>
        </is>
      </c>
      <c r="G180" s="41" t="n">
        <v>0.8</v>
      </c>
    </row>
    <row r="181" ht="14.25" customHeight="1" s="74">
      <c r="A181" s="40" t="inlineStr">
        <is>
          <t>No</t>
        </is>
      </c>
      <c r="B181" s="41" t="n">
        <v>84.5</v>
      </c>
      <c r="C181" s="41" t="n">
        <v>62.7</v>
      </c>
      <c r="D181" s="41" t="n">
        <v>6.8</v>
      </c>
      <c r="E181" s="41" t="n">
        <v>9.1</v>
      </c>
      <c r="F181" s="41" t="inlineStr">
        <is>
          <t>N</t>
        </is>
      </c>
      <c r="G181" s="41" t="n">
        <v>6</v>
      </c>
    </row>
    <row r="182" ht="26.25" customHeight="1" s="74">
      <c r="A182" s="40" t="inlineStr">
        <is>
          <t>Not asked (apartments in buildings with 5 or more units)</t>
        </is>
      </c>
      <c r="B182" s="41" t="n">
        <v>21.1</v>
      </c>
      <c r="C182" s="41" t="inlineStr">
        <is>
          <t>N</t>
        </is>
      </c>
      <c r="D182" s="41" t="inlineStr">
        <is>
          <t>N</t>
        </is>
      </c>
      <c r="E182" s="41" t="inlineStr">
        <is>
          <t>N</t>
        </is>
      </c>
      <c r="F182" s="41" t="n">
        <v>21.1</v>
      </c>
      <c r="G182" s="41" t="inlineStr">
        <is>
          <t>N</t>
        </is>
      </c>
    </row>
    <row r="183" ht="24" customHeight="1" s="74">
      <c r="A183" s="38" t="inlineStr">
        <is>
          <t>Swimming pool</t>
        </is>
      </c>
      <c r="B183" s="39" t="n"/>
      <c r="C183" s="39" t="n"/>
      <c r="D183" s="39" t="n"/>
      <c r="E183" s="39" t="n"/>
      <c r="F183" s="39" t="n"/>
      <c r="G183" s="39" t="n"/>
    </row>
    <row r="184" ht="14.25" customHeight="1" s="74">
      <c r="A184" s="42" t="inlineStr">
        <is>
          <t>Yes</t>
        </is>
      </c>
      <c r="B184" s="41" t="n">
        <v>8.300000000000001</v>
      </c>
      <c r="C184" s="41" t="n">
        <v>8.1</v>
      </c>
      <c r="D184" s="41" t="inlineStr">
        <is>
          <t>Q</t>
        </is>
      </c>
      <c r="E184" s="41" t="inlineStr">
        <is>
          <t>N</t>
        </is>
      </c>
      <c r="F184" s="41" t="inlineStr">
        <is>
          <t>N</t>
        </is>
      </c>
      <c r="G184" s="41" t="inlineStr">
        <is>
          <t>Q</t>
        </is>
      </c>
    </row>
    <row r="185" ht="14.25" customHeight="1" s="74">
      <c r="A185" s="40" t="inlineStr">
        <is>
          <t>No</t>
        </is>
      </c>
      <c r="B185" s="41" t="n">
        <v>79.3</v>
      </c>
      <c r="C185" s="41" t="n">
        <v>65.8</v>
      </c>
      <c r="D185" s="41" t="n">
        <v>6.9</v>
      </c>
      <c r="E185" s="41" t="inlineStr">
        <is>
          <t>N</t>
        </is>
      </c>
      <c r="F185" s="41" t="inlineStr">
        <is>
          <t>N</t>
        </is>
      </c>
      <c r="G185" s="41" t="n">
        <v>6.7</v>
      </c>
    </row>
    <row r="186" ht="14.25" customHeight="1" s="74">
      <c r="A186" s="40" t="inlineStr">
        <is>
          <t>Not asked (apartments)</t>
        </is>
      </c>
      <c r="B186" s="41" t="n">
        <v>30.5</v>
      </c>
      <c r="C186" s="41" t="inlineStr">
        <is>
          <t>N</t>
        </is>
      </c>
      <c r="D186" s="41" t="inlineStr">
        <is>
          <t>N</t>
        </is>
      </c>
      <c r="E186" s="41" t="n">
        <v>9.4</v>
      </c>
      <c r="F186" s="41" t="n">
        <v>21.1</v>
      </c>
      <c r="G186" s="41" t="inlineStr">
        <is>
          <t>N</t>
        </is>
      </c>
    </row>
    <row r="187" ht="24" customHeight="1" s="74">
      <c r="A187" s="44" t="inlineStr">
        <is>
          <t>Months swimming pool is used</t>
        </is>
      </c>
      <c r="B187" s="39" t="n"/>
      <c r="C187" s="39" t="n"/>
      <c r="D187" s="39" t="n"/>
      <c r="E187" s="39" t="n"/>
      <c r="F187" s="39" t="n"/>
      <c r="G187" s="39" t="n"/>
    </row>
    <row r="188" ht="14.25" customHeight="1" s="74">
      <c r="A188" s="42" t="inlineStr">
        <is>
          <t>0 to 3</t>
        </is>
      </c>
      <c r="B188" s="41" t="n">
        <v>2.7</v>
      </c>
      <c r="C188" s="41" t="n">
        <v>2.6</v>
      </c>
      <c r="D188" s="41" t="inlineStr">
        <is>
          <t>Q</t>
        </is>
      </c>
      <c r="E188" s="41" t="inlineStr">
        <is>
          <t>N</t>
        </is>
      </c>
      <c r="F188" s="41" t="inlineStr">
        <is>
          <t>N</t>
        </is>
      </c>
      <c r="G188" s="41" t="inlineStr">
        <is>
          <t>Q</t>
        </is>
      </c>
    </row>
    <row r="189" ht="14.25" customHeight="1" s="74">
      <c r="A189" s="42" t="inlineStr">
        <is>
          <t>4 to 7</t>
        </is>
      </c>
      <c r="B189" s="41" t="n">
        <v>4.7</v>
      </c>
      <c r="C189" s="41" t="n">
        <v>4.7</v>
      </c>
      <c r="D189" s="41" t="inlineStr">
        <is>
          <t>Q</t>
        </is>
      </c>
      <c r="E189" s="41" t="inlineStr">
        <is>
          <t>N</t>
        </is>
      </c>
      <c r="F189" s="41" t="inlineStr">
        <is>
          <t>N</t>
        </is>
      </c>
      <c r="G189" s="41" t="inlineStr">
        <is>
          <t>Q</t>
        </is>
      </c>
    </row>
    <row r="190" ht="14.25" customHeight="1" s="74">
      <c r="A190" s="42" t="inlineStr">
        <is>
          <t>8 to 12</t>
        </is>
      </c>
      <c r="B190" s="41" t="n">
        <v>0.8</v>
      </c>
      <c r="C190" s="41" t="n">
        <v>0.8</v>
      </c>
      <c r="D190" s="41" t="inlineStr">
        <is>
          <t>Q</t>
        </is>
      </c>
      <c r="E190" s="41" t="inlineStr">
        <is>
          <t>N</t>
        </is>
      </c>
      <c r="F190" s="41" t="inlineStr">
        <is>
          <t>N</t>
        </is>
      </c>
      <c r="G190" s="41" t="inlineStr">
        <is>
          <t>N</t>
        </is>
      </c>
    </row>
    <row r="191" ht="14.25" customHeight="1" s="74">
      <c r="A191" s="42" t="inlineStr">
        <is>
          <t>No swimming pool</t>
        </is>
      </c>
      <c r="B191" s="41" t="n">
        <v>79.3</v>
      </c>
      <c r="C191" s="41" t="n">
        <v>65.8</v>
      </c>
      <c r="D191" s="41" t="n">
        <v>6.9</v>
      </c>
      <c r="E191" s="41" t="inlineStr">
        <is>
          <t>N</t>
        </is>
      </c>
      <c r="F191" s="41" t="inlineStr">
        <is>
          <t>N</t>
        </is>
      </c>
      <c r="G191" s="41" t="n">
        <v>6.7</v>
      </c>
    </row>
    <row r="192" ht="14.25" customHeight="1" s="74">
      <c r="A192" s="42" t="inlineStr">
        <is>
          <t>Not asked (apartments)</t>
        </is>
      </c>
      <c r="B192" s="41" t="n">
        <v>30.5</v>
      </c>
      <c r="C192" s="41" t="inlineStr">
        <is>
          <t>N</t>
        </is>
      </c>
      <c r="D192" s="41" t="inlineStr">
        <is>
          <t>N</t>
        </is>
      </c>
      <c r="E192" s="41" t="n">
        <v>9.4</v>
      </c>
      <c r="F192" s="41" t="n">
        <v>21.1</v>
      </c>
      <c r="G192" s="41" t="inlineStr">
        <is>
          <t>N</t>
        </is>
      </c>
    </row>
    <row r="193" ht="24" customHeight="1" s="74">
      <c r="A193" s="44" t="inlineStr">
        <is>
          <t>Heated swimming pool and fuel</t>
        </is>
      </c>
      <c r="B193" s="39" t="n"/>
      <c r="C193" s="39" t="n"/>
      <c r="D193" s="39" t="n"/>
      <c r="E193" s="39" t="n"/>
      <c r="F193" s="39" t="n"/>
      <c r="G193" s="39" t="n"/>
    </row>
    <row r="194" ht="14.25" customHeight="1" s="74">
      <c r="A194" s="42" t="inlineStr">
        <is>
          <t>Heated swimming pool</t>
        </is>
      </c>
      <c r="B194" s="41" t="n">
        <v>2.5</v>
      </c>
      <c r="C194" s="41" t="n">
        <v>2.5</v>
      </c>
      <c r="D194" s="41" t="inlineStr">
        <is>
          <t>Q</t>
        </is>
      </c>
      <c r="E194" s="41" t="inlineStr">
        <is>
          <t>N</t>
        </is>
      </c>
      <c r="F194" s="41" t="inlineStr">
        <is>
          <t>N</t>
        </is>
      </c>
      <c r="G194" s="41" t="inlineStr">
        <is>
          <t>N</t>
        </is>
      </c>
    </row>
    <row r="195" ht="14.25" customHeight="1" s="74">
      <c r="A195" s="42" t="inlineStr">
        <is>
          <t>Electricity</t>
        </is>
      </c>
      <c r="B195" s="41" t="n">
        <v>0.7</v>
      </c>
      <c r="C195" s="41" t="n">
        <v>0.7</v>
      </c>
      <c r="D195" s="41" t="inlineStr">
        <is>
          <t>Q</t>
        </is>
      </c>
      <c r="E195" s="41" t="inlineStr">
        <is>
          <t>N</t>
        </is>
      </c>
      <c r="F195" s="41" t="inlineStr">
        <is>
          <t>N</t>
        </is>
      </c>
      <c r="G195" s="41" t="inlineStr">
        <is>
          <t>N</t>
        </is>
      </c>
    </row>
    <row r="196" ht="14.25" customHeight="1" s="74">
      <c r="A196" s="42" t="inlineStr">
        <is>
          <t>Natural gas</t>
        </is>
      </c>
      <c r="B196" s="41" t="n">
        <v>1.1</v>
      </c>
      <c r="C196" s="41" t="n">
        <v>1.1</v>
      </c>
      <c r="D196" s="41" t="inlineStr">
        <is>
          <t>Q</t>
        </is>
      </c>
      <c r="E196" s="41" t="inlineStr">
        <is>
          <t>N</t>
        </is>
      </c>
      <c r="F196" s="41" t="inlineStr">
        <is>
          <t>N</t>
        </is>
      </c>
      <c r="G196" s="41" t="inlineStr">
        <is>
          <t>N</t>
        </is>
      </c>
    </row>
    <row r="197" ht="14.25" customHeight="1" s="74">
      <c r="A197" s="42" t="inlineStr">
        <is>
          <t>Propane</t>
        </is>
      </c>
      <c r="B197" s="41" t="n">
        <v>0.3</v>
      </c>
      <c r="C197" s="41" t="n">
        <v>0.3</v>
      </c>
      <c r="D197" s="41" t="inlineStr">
        <is>
          <t>N</t>
        </is>
      </c>
      <c r="E197" s="41" t="inlineStr">
        <is>
          <t>N</t>
        </is>
      </c>
      <c r="F197" s="41" t="inlineStr">
        <is>
          <t>N</t>
        </is>
      </c>
      <c r="G197" s="41" t="inlineStr">
        <is>
          <t>N</t>
        </is>
      </c>
    </row>
    <row r="198" ht="14.25" customHeight="1" s="74">
      <c r="A198" s="42" t="inlineStr">
        <is>
          <t>Solar</t>
        </is>
      </c>
      <c r="B198" s="41" t="n">
        <v>0.3</v>
      </c>
      <c r="C198" s="41" t="n">
        <v>0.3</v>
      </c>
      <c r="D198" s="41" t="inlineStr">
        <is>
          <t>N</t>
        </is>
      </c>
      <c r="E198" s="41" t="inlineStr">
        <is>
          <t>N</t>
        </is>
      </c>
      <c r="F198" s="41" t="inlineStr">
        <is>
          <t>N</t>
        </is>
      </c>
      <c r="G198" s="41" t="inlineStr">
        <is>
          <t>N</t>
        </is>
      </c>
    </row>
    <row r="199" ht="14.25" customHeight="1" s="74">
      <c r="A199" s="42" t="inlineStr">
        <is>
          <t>Some other fuel</t>
        </is>
      </c>
      <c r="B199" s="41" t="inlineStr">
        <is>
          <t>Q</t>
        </is>
      </c>
      <c r="C199" s="41" t="inlineStr">
        <is>
          <t>Q</t>
        </is>
      </c>
      <c r="D199" s="41" t="inlineStr">
        <is>
          <t>N</t>
        </is>
      </c>
      <c r="E199" s="41" t="inlineStr">
        <is>
          <t>N</t>
        </is>
      </c>
      <c r="F199" s="41" t="inlineStr">
        <is>
          <t>N</t>
        </is>
      </c>
      <c r="G199" s="41" t="inlineStr">
        <is>
          <t>N</t>
        </is>
      </c>
    </row>
    <row r="200" ht="14.25" customHeight="1" s="74">
      <c r="A200" s="42" t="inlineStr">
        <is>
          <t>Unheated swimming pool</t>
        </is>
      </c>
      <c r="B200" s="41" t="n">
        <v>5.4</v>
      </c>
      <c r="C200" s="41" t="n">
        <v>5.3</v>
      </c>
      <c r="D200" s="41" t="inlineStr">
        <is>
          <t>Q</t>
        </is>
      </c>
      <c r="E200" s="41" t="inlineStr">
        <is>
          <t>N</t>
        </is>
      </c>
      <c r="F200" s="41" t="inlineStr">
        <is>
          <t>N</t>
        </is>
      </c>
      <c r="G200" s="41" t="inlineStr">
        <is>
          <t>Q</t>
        </is>
      </c>
    </row>
    <row r="201" ht="14.25" customHeight="1" s="74">
      <c r="A201" s="42" t="inlineStr">
        <is>
          <t>No swimming pool</t>
        </is>
      </c>
      <c r="B201" s="41" t="n">
        <v>79.3</v>
      </c>
      <c r="C201" s="41" t="n">
        <v>65.8</v>
      </c>
      <c r="D201" s="41" t="n">
        <v>6.9</v>
      </c>
      <c r="E201" s="41" t="inlineStr">
        <is>
          <t>N</t>
        </is>
      </c>
      <c r="F201" s="41" t="inlineStr">
        <is>
          <t>N</t>
        </is>
      </c>
      <c r="G201" s="41" t="n">
        <v>6.7</v>
      </c>
    </row>
    <row r="202" ht="14.25" customHeight="1" s="74">
      <c r="A202" s="42" t="inlineStr">
        <is>
          <t>Not asked (apartments)</t>
        </is>
      </c>
      <c r="B202" s="41" t="n">
        <v>30.5</v>
      </c>
      <c r="C202" s="41" t="inlineStr">
        <is>
          <t>N</t>
        </is>
      </c>
      <c r="D202" s="41" t="inlineStr">
        <is>
          <t>N</t>
        </is>
      </c>
      <c r="E202" s="41" t="n">
        <v>9.4</v>
      </c>
      <c r="F202" s="41" t="n">
        <v>21.1</v>
      </c>
      <c r="G202" s="41" t="inlineStr">
        <is>
          <t>N</t>
        </is>
      </c>
    </row>
    <row r="203" ht="24" customHeight="1" s="74">
      <c r="A203" s="38" t="inlineStr">
        <is>
          <t>Hot tub</t>
        </is>
      </c>
      <c r="B203" s="39" t="n"/>
      <c r="C203" s="39" t="n"/>
      <c r="D203" s="39" t="n"/>
      <c r="E203" s="39" t="n"/>
      <c r="F203" s="39" t="n"/>
      <c r="G203" s="39" t="n"/>
    </row>
    <row r="204" ht="14.25" customHeight="1" s="74">
      <c r="A204" s="40" t="inlineStr">
        <is>
          <t>Yes</t>
        </is>
      </c>
      <c r="B204" s="41" t="n">
        <v>8.4</v>
      </c>
      <c r="C204" s="41" t="n">
        <v>7.3</v>
      </c>
      <c r="D204" s="41" t="n">
        <v>0.3</v>
      </c>
      <c r="E204" s="41" t="inlineStr">
        <is>
          <t>Q</t>
        </is>
      </c>
      <c r="F204" s="41" t="n">
        <v>0.3</v>
      </c>
      <c r="G204" s="41" t="n">
        <v>0.3</v>
      </c>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4.25" customHeight="1" s="74">
      <c r="A205" s="40" t="inlineStr">
        <is>
          <t>No</t>
        </is>
      </c>
      <c r="B205" s="41" t="n">
        <v>109.8</v>
      </c>
      <c r="C205" s="41" t="n">
        <v>66.59999999999999</v>
      </c>
      <c r="D205" s="41" t="n">
        <v>6.8</v>
      </c>
      <c r="E205" s="41" t="n">
        <v>9.1</v>
      </c>
      <c r="F205" s="41" t="n">
        <v>20.8</v>
      </c>
      <c r="G205" s="41" t="n">
        <v>6.5</v>
      </c>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24" customHeight="1" s="74">
      <c r="A206" s="44" t="inlineStr">
        <is>
          <t>Months hot tub is used</t>
        </is>
      </c>
      <c r="B206" s="39" t="n"/>
      <c r="C206" s="39" t="n"/>
      <c r="D206" s="39" t="n"/>
      <c r="E206" s="39" t="n"/>
      <c r="F206" s="39" t="n"/>
      <c r="G206" s="39"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4.25" customHeight="1" s="74">
      <c r="A207" s="42" t="inlineStr">
        <is>
          <t>0 to 3</t>
        </is>
      </c>
      <c r="B207" s="41" t="n">
        <v>4</v>
      </c>
      <c r="C207" s="41" t="n">
        <v>3.3</v>
      </c>
      <c r="D207" s="41" t="inlineStr">
        <is>
          <t>Q</t>
        </is>
      </c>
      <c r="E207" s="41" t="inlineStr">
        <is>
          <t>Q</t>
        </is>
      </c>
      <c r="F207" s="41" t="inlineStr">
        <is>
          <t>Q</t>
        </is>
      </c>
      <c r="G207" s="41" t="inlineStr">
        <is>
          <t>Q</t>
        </is>
      </c>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4.25" customHeight="1" s="74">
      <c r="A208" s="42" t="inlineStr">
        <is>
          <t>4 to 7</t>
        </is>
      </c>
      <c r="B208" s="41" t="n">
        <v>1.6</v>
      </c>
      <c r="C208" s="41" t="n">
        <v>1.5</v>
      </c>
      <c r="D208" s="41" t="inlineStr">
        <is>
          <t>Q</t>
        </is>
      </c>
      <c r="E208" s="41" t="inlineStr">
        <is>
          <t>N</t>
        </is>
      </c>
      <c r="F208" s="41" t="inlineStr">
        <is>
          <t>Q</t>
        </is>
      </c>
      <c r="G208" s="41" t="inlineStr">
        <is>
          <t>Q</t>
        </is>
      </c>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4.25" customHeight="1" s="74">
      <c r="A209" s="42" t="inlineStr">
        <is>
          <t>8 to 12</t>
        </is>
      </c>
      <c r="B209" s="41" t="n">
        <v>2.9</v>
      </c>
      <c r="C209" s="41" t="n">
        <v>2.5</v>
      </c>
      <c r="D209" s="41" t="inlineStr">
        <is>
          <t>Q</t>
        </is>
      </c>
      <c r="E209" s="41" t="inlineStr">
        <is>
          <t>Q</t>
        </is>
      </c>
      <c r="F209" s="41" t="inlineStr">
        <is>
          <t>Q</t>
        </is>
      </c>
      <c r="G209" s="41" t="inlineStr">
        <is>
          <t>Q</t>
        </is>
      </c>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4.25" customHeight="1" s="74">
      <c r="A210" s="42" t="inlineStr">
        <is>
          <t>No hot tub</t>
        </is>
      </c>
      <c r="B210" s="41" t="n">
        <v>109.8</v>
      </c>
      <c r="C210" s="41" t="n">
        <v>66.59999999999999</v>
      </c>
      <c r="D210" s="41" t="n">
        <v>6.8</v>
      </c>
      <c r="E210" s="41" t="n">
        <v>9.1</v>
      </c>
      <c r="F210" s="41" t="n">
        <v>20.8</v>
      </c>
      <c r="G210" s="41" t="n">
        <v>6.5</v>
      </c>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24" customHeight="1" s="74">
      <c r="A211" s="44" t="inlineStr">
        <is>
          <t>Hot tub heating fuel</t>
        </is>
      </c>
      <c r="B211" s="39" t="n"/>
      <c r="C211" s="39" t="n"/>
      <c r="D211" s="39" t="n"/>
      <c r="E211" s="39" t="n"/>
      <c r="F211" s="39" t="n"/>
      <c r="G211" s="39" t="n"/>
    </row>
    <row r="212" ht="14.25" customHeight="1" s="74">
      <c r="A212" s="42" t="inlineStr">
        <is>
          <t>Electricity</t>
        </is>
      </c>
      <c r="B212" s="41" t="n">
        <v>4</v>
      </c>
      <c r="C212" s="41" t="n">
        <v>3.6</v>
      </c>
      <c r="D212" s="41" t="inlineStr">
        <is>
          <t>Q</t>
        </is>
      </c>
      <c r="E212" s="41" t="inlineStr">
        <is>
          <t>Q</t>
        </is>
      </c>
      <c r="F212" s="41" t="inlineStr">
        <is>
          <t>Q</t>
        </is>
      </c>
      <c r="G212" s="41" t="inlineStr">
        <is>
          <t>Q</t>
        </is>
      </c>
    </row>
    <row r="213" ht="14.25" customHeight="1" s="74">
      <c r="A213" s="42" t="inlineStr">
        <is>
          <t>Natural gas</t>
        </is>
      </c>
      <c r="B213" s="41" t="n">
        <v>1.6</v>
      </c>
      <c r="C213" s="41" t="n">
        <v>1.4</v>
      </c>
      <c r="D213" s="41" t="inlineStr">
        <is>
          <t>Q</t>
        </is>
      </c>
      <c r="E213" s="41" t="inlineStr">
        <is>
          <t>Q</t>
        </is>
      </c>
      <c r="F213" s="41" t="inlineStr">
        <is>
          <t>Q</t>
        </is>
      </c>
      <c r="G213" s="41" t="inlineStr">
        <is>
          <t>Q</t>
        </is>
      </c>
    </row>
    <row r="214" ht="14.25" customHeight="1" s="74">
      <c r="A214" s="42" t="inlineStr">
        <is>
          <t>Some other fuel</t>
        </is>
      </c>
      <c r="B214" s="41" t="n">
        <v>0.3</v>
      </c>
      <c r="C214" s="41" t="n">
        <v>0.3</v>
      </c>
      <c r="D214" s="41" t="inlineStr">
        <is>
          <t>N</t>
        </is>
      </c>
      <c r="E214" s="41" t="inlineStr">
        <is>
          <t>N</t>
        </is>
      </c>
      <c r="F214" s="41" t="inlineStr">
        <is>
          <t>N</t>
        </is>
      </c>
      <c r="G214" s="41" t="inlineStr">
        <is>
          <t>N</t>
        </is>
      </c>
    </row>
    <row r="215" ht="14.25" customHeight="1" s="74">
      <c r="A215" s="42" t="inlineStr">
        <is>
          <t>Hot tub used 0 months</t>
        </is>
      </c>
      <c r="B215" s="41" t="n">
        <v>2.5</v>
      </c>
      <c r="C215" s="41" t="n">
        <v>2</v>
      </c>
      <c r="D215" s="41" t="inlineStr">
        <is>
          <t>Q</t>
        </is>
      </c>
      <c r="E215" s="41" t="inlineStr">
        <is>
          <t>Q</t>
        </is>
      </c>
      <c r="F215" s="41" t="inlineStr">
        <is>
          <t>Q</t>
        </is>
      </c>
      <c r="G215" s="41" t="inlineStr">
        <is>
          <t>Q</t>
        </is>
      </c>
    </row>
    <row r="216" ht="14.25" customHeight="1" s="74">
      <c r="A216" s="42" t="inlineStr">
        <is>
          <t>No hot tub</t>
        </is>
      </c>
      <c r="B216" s="41" t="n">
        <v>109.8</v>
      </c>
      <c r="C216" s="41" t="n">
        <v>66.59999999999999</v>
      </c>
      <c r="D216" s="41" t="n">
        <v>6.8</v>
      </c>
      <c r="E216" s="41" t="n">
        <v>9.1</v>
      </c>
      <c r="F216" s="41" t="n">
        <v>20.8</v>
      </c>
      <c r="G216" s="41" t="n">
        <v>6.5</v>
      </c>
    </row>
    <row r="217" ht="43.5" customHeight="1" s="74">
      <c r="A217" s="38" t="inlineStr">
        <is>
          <t>Energy-related benefits received by homeowners (more than one may apply)</t>
        </is>
      </c>
      <c r="B217" s="39" t="n"/>
      <c r="C217" s="39" t="n"/>
      <c r="D217" s="39" t="n"/>
      <c r="E217" s="39" t="n"/>
      <c r="F217" s="39" t="n"/>
      <c r="G217" s="39" t="n"/>
    </row>
    <row r="218" ht="26.25" customHeight="1" s="74">
      <c r="A218" s="40" t="inlineStr">
        <is>
          <t>Free or subsidized energy-efficient light bulbs</t>
        </is>
      </c>
      <c r="B218" s="41" t="n">
        <v>5.6</v>
      </c>
      <c r="C218" s="41" t="n">
        <v>4.8</v>
      </c>
      <c r="D218" s="41" t="n">
        <v>0.3</v>
      </c>
      <c r="E218" s="41" t="inlineStr">
        <is>
          <t>Q</t>
        </is>
      </c>
      <c r="F218" s="41" t="inlineStr">
        <is>
          <t>Q</t>
        </is>
      </c>
      <c r="G218" s="41" t="n">
        <v>0.3</v>
      </c>
    </row>
    <row r="219" ht="14.25" customHeight="1" s="74">
      <c r="A219" s="40" t="inlineStr">
        <is>
          <t>Free or subsidized home energy audit</t>
        </is>
      </c>
      <c r="B219" s="41" t="n">
        <v>2.4</v>
      </c>
      <c r="C219" s="41" t="n">
        <v>2.2</v>
      </c>
      <c r="D219" s="41" t="inlineStr">
        <is>
          <t>Q</t>
        </is>
      </c>
      <c r="E219" s="41" t="inlineStr">
        <is>
          <t>Q</t>
        </is>
      </c>
      <c r="F219" s="41" t="inlineStr">
        <is>
          <t>N</t>
        </is>
      </c>
      <c r="G219" s="41" t="inlineStr">
        <is>
          <t>Q</t>
        </is>
      </c>
    </row>
    <row r="220" ht="26.25" customHeight="1" s="74">
      <c r="A220" s="40" t="inlineStr">
        <is>
          <t>Utility or energy supplier rebate for new appliance or equipment</t>
        </is>
      </c>
      <c r="B220" s="41" t="n">
        <v>4.2</v>
      </c>
      <c r="C220" s="41" t="n">
        <v>3.8</v>
      </c>
      <c r="D220" s="41" t="n">
        <v>0.1</v>
      </c>
      <c r="E220" s="41" t="inlineStr">
        <is>
          <t>Q</t>
        </is>
      </c>
      <c r="F220" s="41" t="inlineStr">
        <is>
          <t>Q</t>
        </is>
      </c>
      <c r="G220" s="41" t="inlineStr">
        <is>
          <t>Q</t>
        </is>
      </c>
    </row>
    <row r="221" ht="24" customHeight="1" s="74">
      <c r="A221" s="40" t="inlineStr">
        <is>
          <t>Recycling old appliance or equipment</t>
        </is>
      </c>
      <c r="B221" s="41" t="n">
        <v>6.5</v>
      </c>
      <c r="C221" s="41" t="n">
        <v>5.6</v>
      </c>
      <c r="D221" s="41" t="n">
        <v>0.4</v>
      </c>
      <c r="E221" s="41" t="inlineStr">
        <is>
          <t>Q</t>
        </is>
      </c>
      <c r="F221" s="41" t="inlineStr">
        <is>
          <t>Q</t>
        </is>
      </c>
      <c r="G221" s="41" t="inlineStr">
        <is>
          <t>Q</t>
        </is>
      </c>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26.25" customHeight="1" s="74">
      <c r="A222" s="40" t="inlineStr">
        <is>
          <t>Tax credit for new appliance or equipment</t>
        </is>
      </c>
      <c r="B222" s="41" t="n">
        <v>6.6</v>
      </c>
      <c r="C222" s="41" t="n">
        <v>6.1</v>
      </c>
      <c r="D222" s="41" t="n">
        <v>0.3</v>
      </c>
      <c r="E222" s="41" t="inlineStr">
        <is>
          <t>Q</t>
        </is>
      </c>
      <c r="F222" s="41" t="inlineStr">
        <is>
          <t>Q</t>
        </is>
      </c>
      <c r="G222" s="41" t="inlineStr">
        <is>
          <t>Q</t>
        </is>
      </c>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 customHeight="1" s="74">
      <c r="A223" s="40" t="inlineStr">
        <is>
          <t>Some other benefit5</t>
        </is>
      </c>
      <c r="B223" s="41" t="n">
        <v>2.6</v>
      </c>
      <c r="C223" s="41" t="n">
        <v>2.3</v>
      </c>
      <c r="D223" s="41" t="inlineStr">
        <is>
          <t>Q</t>
        </is>
      </c>
      <c r="E223" s="41" t="inlineStr">
        <is>
          <t>Q</t>
        </is>
      </c>
      <c r="F223" s="41" t="inlineStr">
        <is>
          <t>Q</t>
        </is>
      </c>
      <c r="G223" s="41" t="inlineStr">
        <is>
          <t>Q</t>
        </is>
      </c>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4.25" customHeight="1" s="74">
      <c r="A224" s="42" t="n"/>
      <c r="B224" s="45" t="n"/>
      <c r="C224" s="45" t="n"/>
      <c r="D224" s="45" t="n"/>
      <c r="E224" s="45" t="n"/>
      <c r="F224" s="45" t="n"/>
      <c r="G224" s="45"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206.25" customHeight="1" s="74">
      <c r="A225" s="71" t="inlineStr">
        <is>
          <t xml:space="preserve">     1Housing characteristics data were collected between August 2015 and April 2016.
     2Total U.S. includes all primary occupied housing units in the 50 states and the District of Columbia. Vacant housing units, seasonal units, second homes, military houses, and group quarters are excluded.
     3Housing units are classified using criteria created by the U.S. Census Bureau based on 2010 Census data. Urbanized areas are densely settled groupings of blocks or tracts with 50,000 or more people, while urban clusters have at least 2,500 but less than 50,000 people. All other areas are rural.
     4These climate regions were created by the Building America program, sponsored by the U.S. Department of Energy’s Office of Energy Efficiency and Renewable Energy (EERE).
     5Some other benefits includes free or subsidized programmable thermostats, subsidized loans for new appliances or equipment, tax credits for new window or insulation, and any other reported benefits.
     Q = Data withheld because either the Relative Standard Error (RSE) was greater than 50% or fewer than 10 cases responded.
     N = No cases responded.
     Notes:  Because of rounding, data may not sum to totals.  See RECS Terminology for definition of terms used in these tables.
     Source: U.S. Energy Information Administration, Office of Energy Consumption and Efficiency Statistics, Forms EIA-457A and EIA-457C of the 2015 Residential Energy Consumption Survey.</t>
        </is>
      </c>
      <c r="B225" s="72" t="n"/>
      <c r="C225" s="72" t="n"/>
      <c r="D225" s="72" t="n"/>
      <c r="E225" s="72" t="n"/>
      <c r="F225" s="72" t="n"/>
      <c r="G225" s="72"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4.25" customHeight="1" s="74">
      <c r="A226" s="4" t="n"/>
      <c r="B226" s="4" t="n"/>
      <c r="C226" s="4" t="n"/>
      <c r="D226" s="4" t="n"/>
      <c r="E226" s="4" t="n"/>
      <c r="F226" s="4" t="n"/>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43.5" customHeight="1" s="74">
      <c r="A227" s="2" t="n"/>
      <c r="B227" s="2" t="n"/>
      <c r="C227" s="2" t="n"/>
      <c r="D227" s="2" t="n"/>
      <c r="E227" s="2" t="n"/>
      <c r="F227" s="2" t="n"/>
      <c r="G227" s="2" t="n"/>
    </row>
    <row r="228" ht="14.25" customHeight="1" s="74">
      <c r="A228" s="2" t="n"/>
      <c r="B228" s="2" t="n"/>
      <c r="C228" s="2" t="n"/>
      <c r="D228" s="2" t="n"/>
      <c r="E228" s="2" t="n"/>
      <c r="F228" s="2" t="n"/>
      <c r="G228" s="2" t="n"/>
    </row>
    <row r="229" ht="14.25" customHeight="1" s="74">
      <c r="A229" s="46" t="n"/>
      <c r="B229" s="2" t="n"/>
      <c r="C229" s="2" t="n"/>
      <c r="D229" s="2" t="n"/>
      <c r="E229" s="2" t="n"/>
      <c r="F229" s="2" t="n"/>
      <c r="G229" s="2" t="n"/>
    </row>
    <row r="230" ht="14.25" customHeight="1" s="74">
      <c r="A230" s="46" t="n"/>
      <c r="B230" s="2" t="n"/>
      <c r="C230" s="2" t="n"/>
      <c r="D230" s="2" t="n"/>
      <c r="E230" s="2" t="n"/>
      <c r="F230" s="2" t="n"/>
      <c r="G230" s="2" t="n"/>
    </row>
    <row r="231" ht="14.25" customHeight="1" s="74">
      <c r="A231" s="46" t="n"/>
      <c r="B231" s="2" t="n"/>
      <c r="C231" s="2" t="n"/>
      <c r="D231" s="2" t="n"/>
      <c r="E231" s="2" t="n"/>
      <c r="F231" s="2" t="n"/>
      <c r="G231" s="2" t="n"/>
    </row>
    <row r="232" ht="14.25" customHeight="1" s="74">
      <c r="A232" s="2" t="n"/>
      <c r="B232" s="2" t="n"/>
      <c r="C232" s="2" t="n"/>
      <c r="D232" s="2" t="n"/>
      <c r="E232" s="2" t="n"/>
      <c r="F232" s="2" t="n"/>
      <c r="G232" s="2" t="n"/>
    </row>
    <row r="233" ht="14.25" customHeight="1" s="74">
      <c r="A233" s="2" t="n"/>
      <c r="B233" s="2" t="n"/>
      <c r="C233" s="2" t="n"/>
      <c r="D233" s="2" t="n"/>
      <c r="E233" s="2" t="n"/>
      <c r="F233" s="2" t="n"/>
      <c r="G233" s="2" t="n"/>
    </row>
    <row r="234" ht="14.25" customHeight="1" s="74">
      <c r="A234" s="2" t="n"/>
      <c r="B234" s="2" t="n"/>
      <c r="C234" s="2" t="n"/>
      <c r="D234" s="2" t="n"/>
      <c r="E234" s="2" t="n"/>
      <c r="F234" s="2" t="n"/>
      <c r="G234" s="2" t="n"/>
    </row>
    <row r="235" ht="208.5" customHeight="1" s="74">
      <c r="A235" s="2" t="n"/>
      <c r="B235" s="2" t="n"/>
      <c r="C235" s="2" t="n"/>
      <c r="D235" s="2" t="n"/>
      <c r="E235" s="2" t="n"/>
      <c r="F235" s="2" t="n"/>
      <c r="G235" s="2" t="n"/>
    </row>
    <row r="236" ht="14.25" customHeight="1" s="74">
      <c r="A236" s="2" t="n"/>
      <c r="B236" s="2" t="n"/>
      <c r="C236" s="2" t="n"/>
      <c r="D236" s="2" t="n"/>
      <c r="E236" s="2" t="n"/>
      <c r="F236" s="2" t="n"/>
      <c r="G236" s="2" t="n"/>
    </row>
    <row r="237" ht="14.25" customHeight="1" s="74">
      <c r="A237" s="2" t="n"/>
      <c r="B237" s="2" t="n"/>
      <c r="C237" s="2" t="n"/>
      <c r="D237" s="2" t="n"/>
      <c r="E237" s="2" t="n"/>
      <c r="F237" s="2" t="n"/>
      <c r="G237" s="2" t="n"/>
    </row>
    <row r="238" ht="14.25" customHeight="1" s="74">
      <c r="A238" s="2" t="n"/>
      <c r="B238" s="2" t="n"/>
      <c r="C238" s="2" t="n"/>
      <c r="D238" s="2" t="n"/>
      <c r="E238" s="2" t="n"/>
      <c r="F238" s="2" t="n"/>
      <c r="G238" s="2" t="n"/>
    </row>
    <row r="239" ht="14.25" customHeight="1" s="74">
      <c r="A239" s="2" t="n"/>
      <c r="B239" s="2" t="n"/>
      <c r="C239" s="2" t="n"/>
      <c r="D239" s="2" t="n"/>
      <c r="E239" s="2" t="n"/>
      <c r="F239" s="2" t="n"/>
      <c r="G239" s="2" t="n"/>
    </row>
    <row r="240" ht="14.25" customHeight="1" s="74">
      <c r="A240" s="2" t="n"/>
      <c r="B240" s="2" t="n"/>
      <c r="C240" s="2" t="n"/>
      <c r="D240" s="2" t="n"/>
      <c r="E240" s="2" t="n"/>
      <c r="F240" s="2" t="n"/>
      <c r="G240" s="2" t="n"/>
    </row>
    <row r="241" ht="14.25" customHeight="1" s="74">
      <c r="A241" s="2" t="n"/>
      <c r="B241" s="2" t="n"/>
      <c r="C241" s="2" t="n"/>
      <c r="D241" s="2" t="n"/>
      <c r="E241" s="2" t="n"/>
      <c r="F241" s="2" t="n"/>
      <c r="G241" s="2" t="n"/>
    </row>
    <row r="242" ht="14.25" customHeight="1" s="74">
      <c r="A242" s="2" t="n"/>
      <c r="B242" s="2" t="n"/>
      <c r="C242" s="2" t="n"/>
      <c r="D242" s="2" t="n"/>
      <c r="E242" s="2" t="n"/>
      <c r="F242" s="2" t="n"/>
      <c r="G242" s="2" t="n"/>
    </row>
    <row r="243" ht="14.25" customHeight="1" s="74">
      <c r="A243" s="2" t="n"/>
      <c r="B243" s="2" t="n"/>
      <c r="C243" s="2" t="n"/>
      <c r="D243" s="2" t="n"/>
      <c r="E243" s="2" t="n"/>
      <c r="F243" s="2" t="n"/>
      <c r="G243" s="2" t="n"/>
    </row>
    <row r="244" ht="14.25" customHeight="1" s="74">
      <c r="A244" s="2" t="n"/>
      <c r="B244" s="2" t="n"/>
      <c r="C244" s="2" t="n"/>
      <c r="D244" s="2" t="n"/>
      <c r="E244" s="2" t="n"/>
      <c r="F244" s="2" t="n"/>
      <c r="G244" s="2" t="n"/>
    </row>
    <row r="245" ht="14.25" customHeight="1" s="74">
      <c r="A245" s="2" t="n"/>
      <c r="B245" s="2" t="n"/>
      <c r="C245" s="2" t="n"/>
      <c r="D245" s="2" t="n"/>
      <c r="E245" s="2" t="n"/>
      <c r="F245" s="2" t="n"/>
      <c r="G245" s="2" t="n"/>
    </row>
    <row r="246" ht="14.25" customHeight="1" s="74">
      <c r="A246" s="2" t="n"/>
      <c r="B246" s="2" t="n"/>
      <c r="C246" s="2" t="n"/>
      <c r="D246" s="2" t="n"/>
      <c r="E246" s="2" t="n"/>
      <c r="F246" s="2" t="n"/>
      <c r="G246" s="2" t="n"/>
    </row>
    <row r="247" ht="14.25" customHeight="1" s="74">
      <c r="A247" s="2" t="n"/>
      <c r="B247" s="2" t="n"/>
      <c r="C247" s="2" t="n"/>
      <c r="D247" s="2" t="n"/>
      <c r="E247" s="2" t="n"/>
      <c r="F247" s="2" t="n"/>
      <c r="G247" s="2" t="n"/>
    </row>
    <row r="248" ht="14.25" customHeight="1" s="74">
      <c r="A248" s="2" t="n"/>
      <c r="B248" s="2" t="n"/>
      <c r="C248" s="2" t="n"/>
      <c r="D248" s="2" t="n"/>
      <c r="E248" s="2" t="n"/>
      <c r="F248" s="2" t="n"/>
      <c r="G248" s="2" t="n"/>
    </row>
    <row r="249" ht="14.25" customHeight="1" s="74">
      <c r="A249" s="2" t="n"/>
      <c r="B249" s="2" t="n"/>
      <c r="C249" s="2" t="n"/>
      <c r="D249" s="2" t="n"/>
      <c r="E249" s="2" t="n"/>
      <c r="F249" s="2" t="n"/>
      <c r="G249" s="2" t="n"/>
    </row>
    <row r="250" ht="14.25" customHeight="1" s="74">
      <c r="A250" s="2" t="n"/>
      <c r="B250" s="2" t="n"/>
      <c r="C250" s="2" t="n"/>
      <c r="D250" s="2" t="n"/>
      <c r="E250" s="2" t="n"/>
      <c r="F250" s="2" t="n"/>
      <c r="G250" s="2" t="n"/>
    </row>
    <row r="251" ht="14.25" customHeight="1" s="74">
      <c r="A251" s="2" t="n"/>
      <c r="B251" s="2" t="n"/>
      <c r="C251" s="2" t="n"/>
      <c r="D251" s="2" t="n"/>
      <c r="E251" s="2" t="n"/>
      <c r="F251" s="2" t="n"/>
      <c r="G251" s="2" t="n"/>
    </row>
    <row r="252" ht="14.25" customHeight="1" s="74">
      <c r="A252" s="2" t="n"/>
      <c r="B252" s="2" t="n"/>
      <c r="C252" s="2" t="n"/>
      <c r="D252" s="2" t="n"/>
      <c r="E252" s="2" t="n"/>
      <c r="F252" s="2" t="n"/>
      <c r="G252" s="2" t="n"/>
    </row>
    <row r="253" ht="14.25" customHeight="1" s="74">
      <c r="A253" s="2" t="n"/>
      <c r="B253" s="2" t="n"/>
      <c r="C253" s="2" t="n"/>
      <c r="D253" s="2" t="n"/>
      <c r="E253" s="2" t="n"/>
      <c r="F253" s="2" t="n"/>
      <c r="G253" s="2" t="n"/>
    </row>
    <row r="254" ht="14.25" customHeight="1" s="74">
      <c r="A254" s="2" t="n"/>
      <c r="B254" s="2" t="n"/>
      <c r="C254" s="2" t="n"/>
      <c r="D254" s="2" t="n"/>
      <c r="E254" s="2" t="n"/>
      <c r="F254" s="2" t="n"/>
      <c r="G254" s="2" t="n"/>
    </row>
    <row r="255" ht="14.25" customHeight="1" s="74">
      <c r="A255" s="2" t="n"/>
      <c r="B255" s="2" t="n"/>
      <c r="C255" s="2" t="n"/>
      <c r="D255" s="2" t="n"/>
      <c r="E255" s="2" t="n"/>
      <c r="F255" s="2" t="n"/>
      <c r="G255" s="2" t="n"/>
    </row>
    <row r="256" ht="14.25" customHeight="1" s="74">
      <c r="A256" s="2" t="n"/>
      <c r="B256" s="2" t="n"/>
      <c r="C256" s="2" t="n"/>
      <c r="D256" s="2" t="n"/>
      <c r="E256" s="2" t="n"/>
      <c r="F256" s="2" t="n"/>
      <c r="G256" s="2" t="n"/>
    </row>
    <row r="257" ht="14.25" customHeight="1" s="74">
      <c r="A257" s="2" t="n"/>
      <c r="B257" s="2" t="n"/>
      <c r="C257" s="2" t="n"/>
      <c r="D257" s="2" t="n"/>
      <c r="E257" s="2" t="n"/>
      <c r="F257" s="2" t="n"/>
      <c r="G257" s="2" t="n"/>
    </row>
    <row r="258" ht="14.25" customHeight="1" s="74">
      <c r="A258" s="2" t="n"/>
      <c r="B258" s="2" t="n"/>
      <c r="C258" s="2" t="n"/>
      <c r="D258" s="2" t="n"/>
      <c r="E258" s="2" t="n"/>
      <c r="F258" s="2" t="n"/>
      <c r="G258" s="2" t="n"/>
    </row>
    <row r="259" ht="14.25" customHeight="1" s="74">
      <c r="A259" s="2" t="n"/>
      <c r="B259" s="2" t="n"/>
      <c r="C259" s="2" t="n"/>
      <c r="D259" s="2" t="n"/>
      <c r="E259" s="2" t="n"/>
      <c r="F259" s="2" t="n"/>
      <c r="G259" s="2" t="n"/>
    </row>
    <row r="260" ht="14.25" customHeight="1" s="74">
      <c r="A260" s="2" t="n"/>
      <c r="B260" s="2" t="n"/>
      <c r="C260" s="2" t="n"/>
      <c r="D260" s="2" t="n"/>
      <c r="E260" s="2" t="n"/>
      <c r="F260" s="2" t="n"/>
      <c r="G260" s="2" t="n"/>
    </row>
    <row r="261" ht="14.25" customHeight="1" s="74">
      <c r="A261" s="2" t="n"/>
      <c r="B261" s="2" t="n"/>
      <c r="C261" s="2" t="n"/>
      <c r="D261" s="2" t="n"/>
      <c r="E261" s="2" t="n"/>
      <c r="F261" s="2" t="n"/>
      <c r="G261" s="2" t="n"/>
    </row>
    <row r="262" ht="14.25" customHeight="1" s="74">
      <c r="A262" s="2" t="n"/>
      <c r="B262" s="2" t="n"/>
      <c r="C262" s="2" t="n"/>
      <c r="D262" s="2" t="n"/>
      <c r="E262" s="2" t="n"/>
      <c r="F262" s="2" t="n"/>
      <c r="G262" s="2" t="n"/>
    </row>
    <row r="263" ht="14.25" customHeight="1" s="74">
      <c r="A263" s="2" t="n"/>
      <c r="B263" s="2" t="n"/>
      <c r="C263" s="2" t="n"/>
      <c r="D263" s="2" t="n"/>
      <c r="E263" s="2" t="n"/>
      <c r="F263" s="2" t="n"/>
      <c r="G263" s="2" t="n"/>
    </row>
    <row r="264" ht="14.25" customHeight="1" s="74">
      <c r="A264" s="2" t="n"/>
      <c r="B264" s="2" t="n"/>
      <c r="C264" s="2" t="n"/>
      <c r="D264" s="2" t="n"/>
      <c r="E264" s="2" t="n"/>
      <c r="F264" s="2" t="n"/>
      <c r="G264" s="2" t="n"/>
    </row>
    <row r="265" ht="14.25" customHeight="1" s="74">
      <c r="A265" s="2" t="n"/>
      <c r="B265" s="2" t="n"/>
      <c r="C265" s="2" t="n"/>
      <c r="D265" s="2" t="n"/>
      <c r="E265" s="2" t="n"/>
      <c r="F265" s="2" t="n"/>
      <c r="G265" s="2" t="n"/>
    </row>
    <row r="266" ht="14.25" customHeight="1" s="74">
      <c r="A266" s="2" t="n"/>
      <c r="B266" s="2" t="n"/>
      <c r="C266" s="2" t="n"/>
      <c r="D266" s="2" t="n"/>
      <c r="E266" s="2" t="n"/>
      <c r="F266" s="2" t="n"/>
      <c r="G266" s="2" t="n"/>
    </row>
    <row r="267" ht="14.25" customHeight="1" s="74">
      <c r="A267" s="2" t="n"/>
      <c r="B267" s="2" t="n"/>
      <c r="C267" s="2" t="n"/>
      <c r="D267" s="2" t="n"/>
      <c r="E267" s="2" t="n"/>
      <c r="F267" s="2" t="n"/>
      <c r="G267" s="2" t="n"/>
    </row>
    <row r="268" ht="14.25" customHeight="1" s="74">
      <c r="A268" s="2" t="n"/>
      <c r="B268" s="2" t="n"/>
      <c r="C268" s="2" t="n"/>
      <c r="D268" s="2" t="n"/>
      <c r="E268" s="2" t="n"/>
      <c r="F268" s="2" t="n"/>
      <c r="G268" s="2" t="n"/>
    </row>
    <row r="269" ht="14.25" customHeight="1" s="74">
      <c r="A269" s="2" t="n"/>
      <c r="B269" s="2" t="n"/>
      <c r="C269" s="2" t="n"/>
      <c r="D269" s="2" t="n"/>
      <c r="E269" s="2" t="n"/>
      <c r="F269" s="2" t="n"/>
      <c r="G269" s="2" t="n"/>
    </row>
    <row r="270" ht="14.25" customHeight="1" s="74">
      <c r="A270" s="2" t="n"/>
      <c r="B270" s="2" t="n"/>
      <c r="C270" s="2" t="n"/>
      <c r="D270" s="2" t="n"/>
      <c r="E270" s="2" t="n"/>
      <c r="F270" s="2" t="n"/>
      <c r="G270" s="2" t="n"/>
    </row>
    <row r="271" ht="14.25" customHeight="1" s="74">
      <c r="A271" s="2" t="n"/>
      <c r="B271" s="2" t="n"/>
      <c r="C271" s="2" t="n"/>
      <c r="D271" s="2" t="n"/>
      <c r="E271" s="2" t="n"/>
      <c r="F271" s="2" t="n"/>
      <c r="G271" s="2" t="n"/>
    </row>
    <row r="272" ht="14.25" customHeight="1" s="74">
      <c r="A272" s="2" t="n"/>
      <c r="B272" s="2" t="n"/>
      <c r="C272" s="2" t="n"/>
      <c r="D272" s="2" t="n"/>
      <c r="E272" s="2" t="n"/>
      <c r="F272" s="2" t="n"/>
      <c r="G272" s="2" t="n"/>
    </row>
    <row r="273" ht="14.25" customHeight="1" s="74">
      <c r="A273" s="2" t="n"/>
      <c r="B273" s="2" t="n"/>
      <c r="C273" s="2" t="n"/>
      <c r="D273" s="2" t="n"/>
      <c r="E273" s="2" t="n"/>
      <c r="F273" s="2" t="n"/>
      <c r="G273" s="2" t="n"/>
    </row>
    <row r="274" ht="14.25" customHeight="1" s="74">
      <c r="A274" s="2" t="n"/>
      <c r="B274" s="2" t="n"/>
      <c r="C274" s="2" t="n"/>
      <c r="D274" s="2" t="n"/>
      <c r="E274" s="2" t="n"/>
      <c r="F274" s="2" t="n"/>
      <c r="G274" s="2" t="n"/>
    </row>
    <row r="275" ht="14.25" customHeight="1" s="74">
      <c r="A275" s="2" t="n"/>
      <c r="B275" s="2" t="n"/>
      <c r="C275" s="2" t="n"/>
      <c r="D275" s="2" t="n"/>
      <c r="E275" s="2" t="n"/>
      <c r="F275" s="2" t="n"/>
      <c r="G275" s="2" t="n"/>
    </row>
    <row r="276" ht="14.25" customHeight="1" s="74">
      <c r="A276" s="2" t="n"/>
      <c r="B276" s="2" t="n"/>
      <c r="C276" s="2" t="n"/>
      <c r="D276" s="2" t="n"/>
      <c r="E276" s="2" t="n"/>
      <c r="F276" s="2" t="n"/>
      <c r="G276" s="2" t="n"/>
    </row>
    <row r="277" ht="14.25" customHeight="1" s="74">
      <c r="A277" s="2" t="n"/>
      <c r="B277" s="2" t="n"/>
      <c r="C277" s="2" t="n"/>
      <c r="D277" s="2" t="n"/>
      <c r="E277" s="2" t="n"/>
      <c r="F277" s="2" t="n"/>
      <c r="G277" s="2" t="n"/>
    </row>
    <row r="278" ht="14.25" customHeight="1" s="74">
      <c r="A278" s="2" t="n"/>
      <c r="B278" s="2" t="n"/>
      <c r="C278" s="2" t="n"/>
      <c r="D278" s="2" t="n"/>
      <c r="E278" s="2" t="n"/>
      <c r="F278" s="2" t="n"/>
      <c r="G278" s="2" t="n"/>
    </row>
    <row r="279" ht="14.25" customHeight="1" s="74">
      <c r="A279" s="2" t="n"/>
      <c r="B279" s="2" t="n"/>
      <c r="C279" s="2" t="n"/>
      <c r="D279" s="2" t="n"/>
      <c r="E279" s="2" t="n"/>
      <c r="F279" s="2" t="n"/>
      <c r="G279" s="2" t="n"/>
    </row>
    <row r="280" ht="14.25" customHeight="1" s="74">
      <c r="A280" s="2" t="n"/>
      <c r="B280" s="2" t="n"/>
      <c r="C280" s="2" t="n"/>
      <c r="D280" s="2" t="n"/>
      <c r="E280" s="2" t="n"/>
      <c r="F280" s="2" t="n"/>
      <c r="G280" s="2" t="n"/>
    </row>
    <row r="281" ht="14.25" customHeight="1" s="74">
      <c r="A281" s="2" t="n"/>
      <c r="B281" s="2" t="n"/>
      <c r="C281" s="2" t="n"/>
      <c r="D281" s="2" t="n"/>
      <c r="E281" s="2" t="n"/>
      <c r="F281" s="2" t="n"/>
      <c r="G281" s="2" t="n"/>
    </row>
    <row r="282" ht="14.25" customHeight="1" s="74">
      <c r="A282" s="2" t="n"/>
      <c r="B282" s="2" t="n"/>
      <c r="C282" s="2" t="n"/>
      <c r="D282" s="2" t="n"/>
      <c r="E282" s="2" t="n"/>
      <c r="F282" s="2" t="n"/>
      <c r="G282" s="2" t="n"/>
    </row>
    <row r="283" ht="14.25" customHeight="1" s="74">
      <c r="A283" s="2" t="n"/>
      <c r="B283" s="2" t="n"/>
      <c r="C283" s="2" t="n"/>
      <c r="D283" s="2" t="n"/>
      <c r="E283" s="2" t="n"/>
      <c r="F283" s="2" t="n"/>
      <c r="G283" s="2" t="n"/>
    </row>
    <row r="284" ht="14.25" customHeight="1" s="74">
      <c r="A284" s="2" t="n"/>
      <c r="B284" s="2" t="n"/>
      <c r="C284" s="2" t="n"/>
      <c r="D284" s="2" t="n"/>
      <c r="E284" s="2" t="n"/>
      <c r="F284" s="2" t="n"/>
      <c r="G284" s="2" t="n"/>
    </row>
    <row r="285" ht="14.25" customHeight="1" s="74">
      <c r="A285" s="2" t="n"/>
      <c r="B285" s="2" t="n"/>
      <c r="C285" s="2" t="n"/>
      <c r="D285" s="2" t="n"/>
      <c r="E285" s="2" t="n"/>
      <c r="F285" s="2" t="n"/>
      <c r="G285" s="2" t="n"/>
    </row>
    <row r="286" ht="14.25" customHeight="1" s="74">
      <c r="A286" s="2" t="n"/>
      <c r="B286" s="2" t="n"/>
      <c r="C286" s="2" t="n"/>
      <c r="D286" s="2" t="n"/>
      <c r="E286" s="2" t="n"/>
      <c r="F286" s="2" t="n"/>
      <c r="G286" s="2" t="n"/>
    </row>
    <row r="287" ht="14.25" customHeight="1" s="74">
      <c r="A287" s="2" t="n"/>
      <c r="B287" s="2" t="n"/>
      <c r="C287" s="2" t="n"/>
      <c r="D287" s="2" t="n"/>
      <c r="E287" s="2" t="n"/>
      <c r="F287" s="2" t="n"/>
      <c r="G287" s="2" t="n"/>
    </row>
    <row r="288" ht="14.25" customHeight="1" s="74">
      <c r="A288" s="2" t="n"/>
      <c r="B288" s="2" t="n"/>
      <c r="C288" s="2" t="n"/>
      <c r="D288" s="2" t="n"/>
      <c r="E288" s="2" t="n"/>
      <c r="F288" s="2" t="n"/>
      <c r="G288" s="2" t="n"/>
    </row>
    <row r="289" ht="14.25" customHeight="1" s="74">
      <c r="A289" s="2" t="n"/>
      <c r="B289" s="2" t="n"/>
      <c r="C289" s="2" t="n"/>
      <c r="D289" s="2" t="n"/>
      <c r="E289" s="2" t="n"/>
      <c r="F289" s="2" t="n"/>
      <c r="G289" s="2" t="n"/>
    </row>
    <row r="290" ht="14.25" customHeight="1" s="74">
      <c r="A290" s="2" t="n"/>
      <c r="B290" s="2" t="n"/>
      <c r="C290" s="2" t="n"/>
      <c r="D290" s="2" t="n"/>
      <c r="E290" s="2" t="n"/>
      <c r="F290" s="2" t="n"/>
      <c r="G290" s="2" t="n"/>
    </row>
    <row r="291" ht="14.25" customHeight="1" s="74">
      <c r="A291" s="2" t="n"/>
      <c r="B291" s="2" t="n"/>
      <c r="C291" s="2" t="n"/>
      <c r="D291" s="2" t="n"/>
      <c r="E291" s="2" t="n"/>
      <c r="F291" s="2" t="n"/>
      <c r="G291" s="2" t="n"/>
    </row>
    <row r="292" ht="14.25" customHeight="1" s="74">
      <c r="A292" s="2" t="n"/>
      <c r="B292" s="2" t="n"/>
      <c r="C292" s="2" t="n"/>
      <c r="D292" s="2" t="n"/>
      <c r="E292" s="2" t="n"/>
      <c r="F292" s="2" t="n"/>
      <c r="G292" s="2" t="n"/>
    </row>
    <row r="293" ht="14.25" customHeight="1" s="74">
      <c r="A293" s="2" t="n"/>
      <c r="B293" s="2" t="n"/>
      <c r="C293" s="2" t="n"/>
      <c r="D293" s="2" t="n"/>
      <c r="E293" s="2" t="n"/>
      <c r="F293" s="2" t="n"/>
      <c r="G293" s="2" t="n"/>
    </row>
    <row r="294" ht="14.25" customHeight="1" s="74">
      <c r="A294" s="2" t="n"/>
      <c r="B294" s="2" t="n"/>
      <c r="C294" s="2" t="n"/>
      <c r="D294" s="2" t="n"/>
      <c r="E294" s="2" t="n"/>
      <c r="F294" s="2" t="n"/>
      <c r="G294" s="2" t="n"/>
    </row>
    <row r="295" ht="14.25" customHeight="1" s="74">
      <c r="A295" s="2" t="n"/>
      <c r="B295" s="2" t="n"/>
      <c r="C295" s="2" t="n"/>
      <c r="D295" s="2" t="n"/>
      <c r="E295" s="2" t="n"/>
      <c r="F295" s="2" t="n"/>
      <c r="G295" s="2" t="n"/>
    </row>
    <row r="296" ht="14.25" customHeight="1" s="74">
      <c r="A296" s="2" t="n"/>
      <c r="B296" s="2" t="n"/>
      <c r="C296" s="2" t="n"/>
      <c r="D296" s="2" t="n"/>
      <c r="E296" s="2" t="n"/>
      <c r="F296" s="2" t="n"/>
      <c r="G296" s="2" t="n"/>
    </row>
    <row r="297" ht="14.25" customHeight="1" s="74">
      <c r="A297" s="2" t="n"/>
      <c r="B297" s="2" t="n"/>
      <c r="C297" s="2" t="n"/>
      <c r="D297" s="2" t="n"/>
      <c r="E297" s="2" t="n"/>
      <c r="F297" s="2" t="n"/>
      <c r="G297" s="2" t="n"/>
    </row>
    <row r="298" ht="14.25" customHeight="1" s="74">
      <c r="A298" s="2" t="n"/>
      <c r="B298" s="2" t="n"/>
      <c r="C298" s="2" t="n"/>
      <c r="D298" s="2" t="n"/>
      <c r="E298" s="2" t="n"/>
      <c r="F298" s="2" t="n"/>
      <c r="G298" s="2" t="n"/>
    </row>
    <row r="299" ht="14.25" customHeight="1" s="74">
      <c r="A299" s="2" t="n"/>
      <c r="B299" s="2" t="n"/>
      <c r="C299" s="2" t="n"/>
      <c r="D299" s="2" t="n"/>
      <c r="E299" s="2" t="n"/>
      <c r="F299" s="2" t="n"/>
      <c r="G299" s="2" t="n"/>
    </row>
    <row r="300" ht="14.25" customHeight="1" s="74">
      <c r="A300" s="2" t="n"/>
      <c r="B300" s="2" t="n"/>
      <c r="C300" s="2" t="n"/>
      <c r="D300" s="2" t="n"/>
      <c r="E300" s="2" t="n"/>
      <c r="F300" s="2" t="n"/>
      <c r="G300" s="2" t="n"/>
    </row>
    <row r="301" ht="14.25" customHeight="1" s="74">
      <c r="A301" s="2" t="n"/>
      <c r="B301" s="2" t="n"/>
      <c r="C301" s="2" t="n"/>
      <c r="D301" s="2" t="n"/>
      <c r="E301" s="2" t="n"/>
      <c r="F301" s="2" t="n"/>
      <c r="G301" s="2" t="n"/>
    </row>
    <row r="302" ht="14.25" customHeight="1" s="74">
      <c r="A302" s="2" t="n"/>
      <c r="B302" s="2" t="n"/>
      <c r="C302" s="2" t="n"/>
      <c r="D302" s="2" t="n"/>
      <c r="E302" s="2" t="n"/>
      <c r="F302" s="2" t="n"/>
      <c r="G302" s="2" t="n"/>
    </row>
    <row r="303" ht="14.25" customHeight="1" s="74">
      <c r="A303" s="2" t="n"/>
      <c r="B303" s="2" t="n"/>
      <c r="C303" s="2" t="n"/>
      <c r="D303" s="2" t="n"/>
      <c r="E303" s="2" t="n"/>
      <c r="F303" s="2" t="n"/>
      <c r="G303" s="2" t="n"/>
    </row>
    <row r="304" ht="14.25" customHeight="1" s="74">
      <c r="A304" s="2" t="n"/>
      <c r="B304" s="2" t="n"/>
      <c r="C304" s="2" t="n"/>
      <c r="D304" s="2" t="n"/>
      <c r="E304" s="2" t="n"/>
      <c r="F304" s="2" t="n"/>
      <c r="G304" s="2" t="n"/>
    </row>
    <row r="305" ht="14.25" customHeight="1" s="74">
      <c r="A305" s="2" t="n"/>
      <c r="B305" s="2" t="n"/>
      <c r="C305" s="2" t="n"/>
      <c r="D305" s="2" t="n"/>
      <c r="E305" s="2" t="n"/>
      <c r="F305" s="2" t="n"/>
      <c r="G305" s="2" t="n"/>
    </row>
    <row r="306" ht="14.25" customHeight="1" s="74">
      <c r="A306" s="2" t="n"/>
      <c r="B306" s="2" t="n"/>
      <c r="C306" s="2" t="n"/>
      <c r="D306" s="2" t="n"/>
      <c r="E306" s="2" t="n"/>
      <c r="F306" s="2" t="n"/>
      <c r="G306" s="2" t="n"/>
    </row>
    <row r="307" ht="14.25" customHeight="1" s="74">
      <c r="A307" s="2" t="n"/>
      <c r="B307" s="2" t="n"/>
      <c r="C307" s="2" t="n"/>
      <c r="D307" s="2" t="n"/>
      <c r="E307" s="2" t="n"/>
      <c r="F307" s="2" t="n"/>
      <c r="G307" s="2" t="n"/>
    </row>
    <row r="308" ht="14.25" customHeight="1" s="74">
      <c r="A308" s="2" t="n"/>
      <c r="B308" s="2" t="n"/>
      <c r="C308" s="2" t="n"/>
      <c r="D308" s="2" t="n"/>
      <c r="E308" s="2" t="n"/>
      <c r="F308" s="2" t="n"/>
      <c r="G308" s="2" t="n"/>
    </row>
    <row r="309" ht="14.25" customHeight="1" s="74">
      <c r="A309" s="2" t="n"/>
      <c r="B309" s="2" t="n"/>
      <c r="C309" s="2" t="n"/>
      <c r="D309" s="2" t="n"/>
      <c r="E309" s="2" t="n"/>
      <c r="F309" s="2" t="n"/>
      <c r="G309" s="2" t="n"/>
    </row>
    <row r="310" ht="14.25" customHeight="1" s="74">
      <c r="A310" s="2" t="n"/>
      <c r="B310" s="2" t="n"/>
      <c r="C310" s="2" t="n"/>
      <c r="D310" s="2" t="n"/>
      <c r="E310" s="2" t="n"/>
      <c r="F310" s="2" t="n"/>
      <c r="G310" s="2" t="n"/>
    </row>
    <row r="311" ht="14.25" customHeight="1" s="74">
      <c r="A311" s="2" t="n"/>
      <c r="B311" s="2" t="n"/>
      <c r="C311" s="2" t="n"/>
      <c r="D311" s="2" t="n"/>
      <c r="E311" s="2" t="n"/>
      <c r="F311" s="2" t="n"/>
      <c r="G311" s="2" t="n"/>
    </row>
    <row r="312" ht="14.25" customHeight="1" s="74">
      <c r="A312" s="2" t="n"/>
      <c r="B312" s="2" t="n"/>
      <c r="C312" s="2" t="n"/>
      <c r="D312" s="2" t="n"/>
      <c r="E312" s="2" t="n"/>
      <c r="F312" s="2" t="n"/>
      <c r="G312" s="2" t="n"/>
    </row>
    <row r="313" ht="14.25" customHeight="1" s="74">
      <c r="A313" s="2" t="n"/>
      <c r="B313" s="2" t="n"/>
      <c r="C313" s="2" t="n"/>
      <c r="D313" s="2" t="n"/>
      <c r="E313" s="2" t="n"/>
      <c r="F313" s="2" t="n"/>
      <c r="G313" s="2" t="n"/>
    </row>
    <row r="314" ht="14.25" customHeight="1" s="74">
      <c r="A314" s="2" t="n"/>
      <c r="B314" s="2" t="n"/>
      <c r="C314" s="2" t="n"/>
      <c r="D314" s="2" t="n"/>
      <c r="E314" s="2" t="n"/>
      <c r="F314" s="2" t="n"/>
      <c r="G314" s="2" t="n"/>
    </row>
    <row r="315" ht="14.25" customHeight="1" s="74">
      <c r="A315" s="2" t="n"/>
      <c r="B315" s="2" t="n"/>
      <c r="C315" s="2" t="n"/>
      <c r="D315" s="2" t="n"/>
      <c r="E315" s="2" t="n"/>
      <c r="F315" s="2" t="n"/>
      <c r="G315" s="2" t="n"/>
    </row>
    <row r="316" ht="14.25" customHeight="1" s="74">
      <c r="A316" s="2" t="n"/>
      <c r="B316" s="2" t="n"/>
      <c r="C316" s="2" t="n"/>
      <c r="D316" s="2" t="n"/>
      <c r="E316" s="2" t="n"/>
      <c r="F316" s="2" t="n"/>
      <c r="G316" s="2" t="n"/>
    </row>
    <row r="317" ht="14.25" customHeight="1" s="74">
      <c r="A317" s="2" t="n"/>
      <c r="B317" s="2" t="n"/>
      <c r="C317" s="2" t="n"/>
      <c r="D317" s="2" t="n"/>
      <c r="E317" s="2" t="n"/>
      <c r="F317" s="2" t="n"/>
      <c r="G317" s="2" t="n"/>
    </row>
    <row r="318" ht="14.25" customHeight="1" s="74">
      <c r="A318" s="2" t="n"/>
      <c r="B318" s="2" t="n"/>
      <c r="C318" s="2" t="n"/>
      <c r="D318" s="2" t="n"/>
      <c r="E318" s="2" t="n"/>
      <c r="F318" s="2" t="n"/>
      <c r="G318" s="2" t="n"/>
    </row>
    <row r="319" ht="14.25" customHeight="1" s="74">
      <c r="A319" s="2" t="n"/>
      <c r="B319" s="2" t="n"/>
      <c r="C319" s="2" t="n"/>
      <c r="D319" s="2" t="n"/>
      <c r="E319" s="2" t="n"/>
      <c r="F319" s="2" t="n"/>
      <c r="G319" s="2" t="n"/>
    </row>
    <row r="320" ht="14.25" customHeight="1" s="74">
      <c r="A320" s="2" t="n"/>
      <c r="B320" s="2" t="n"/>
      <c r="C320" s="2" t="n"/>
      <c r="D320" s="2" t="n"/>
      <c r="E320" s="2" t="n"/>
      <c r="F320" s="2" t="n"/>
      <c r="G320" s="2" t="n"/>
    </row>
    <row r="321" ht="14.25" customHeight="1" s="74">
      <c r="A321" s="2" t="n"/>
      <c r="B321" s="2" t="n"/>
      <c r="C321" s="2" t="n"/>
      <c r="D321" s="2" t="n"/>
      <c r="E321" s="2" t="n"/>
      <c r="F321" s="2" t="n"/>
      <c r="G321" s="2" t="n"/>
    </row>
    <row r="322" ht="14.25" customHeight="1" s="74">
      <c r="A322" s="2" t="n"/>
      <c r="B322" s="2" t="n"/>
      <c r="C322" s="2" t="n"/>
      <c r="D322" s="2" t="n"/>
      <c r="E322" s="2" t="n"/>
      <c r="F322" s="2" t="n"/>
      <c r="G322" s="2" t="n"/>
    </row>
    <row r="323" ht="14.25" customHeight="1" s="74">
      <c r="A323" s="2" t="n"/>
      <c r="B323" s="2" t="n"/>
      <c r="C323" s="2" t="n"/>
      <c r="D323" s="2" t="n"/>
      <c r="E323" s="2" t="n"/>
      <c r="F323" s="2" t="n"/>
      <c r="G323" s="2" t="n"/>
    </row>
    <row r="324" ht="14.25" customHeight="1" s="74">
      <c r="A324" s="2" t="n"/>
      <c r="B324" s="2" t="n"/>
      <c r="C324" s="2" t="n"/>
      <c r="D324" s="2" t="n"/>
      <c r="E324" s="2" t="n"/>
      <c r="F324" s="2" t="n"/>
      <c r="G324" s="2" t="n"/>
    </row>
    <row r="325" ht="14.25" customHeight="1" s="74">
      <c r="A325" s="2" t="n"/>
      <c r="B325" s="2" t="n"/>
      <c r="C325" s="2" t="n"/>
      <c r="D325" s="2" t="n"/>
      <c r="E325" s="2" t="n"/>
      <c r="F325" s="2" t="n"/>
      <c r="G325" s="2" t="n"/>
    </row>
    <row r="326" ht="14.25" customHeight="1" s="74">
      <c r="A326" s="2" t="n"/>
      <c r="B326" s="2" t="n"/>
      <c r="C326" s="2" t="n"/>
      <c r="D326" s="2" t="n"/>
      <c r="E326" s="2" t="n"/>
      <c r="F326" s="2" t="n"/>
      <c r="G326" s="2" t="n"/>
    </row>
    <row r="327" ht="14.25" customHeight="1" s="74">
      <c r="A327" s="2" t="n"/>
      <c r="B327" s="2" t="n"/>
      <c r="C327" s="2" t="n"/>
      <c r="D327" s="2" t="n"/>
      <c r="E327" s="2" t="n"/>
      <c r="F327" s="2" t="n"/>
      <c r="G327" s="2" t="n"/>
    </row>
    <row r="328" ht="14.25" customHeight="1" s="74">
      <c r="A328" s="2" t="n"/>
      <c r="B328" s="2" t="n"/>
      <c r="C328" s="2" t="n"/>
      <c r="D328" s="2" t="n"/>
      <c r="E328" s="2" t="n"/>
      <c r="F328" s="2" t="n"/>
      <c r="G328" s="2" t="n"/>
    </row>
    <row r="329" ht="14.25" customHeight="1" s="74">
      <c r="A329" s="2" t="n"/>
      <c r="B329" s="2" t="n"/>
      <c r="C329" s="2" t="n"/>
      <c r="D329" s="2" t="n"/>
      <c r="E329" s="2" t="n"/>
      <c r="F329" s="2" t="n"/>
      <c r="G329" s="2" t="n"/>
    </row>
    <row r="330" ht="14.25" customHeight="1" s="74">
      <c r="A330" s="2" t="n"/>
      <c r="B330" s="2" t="n"/>
      <c r="C330" s="2" t="n"/>
      <c r="D330" s="2" t="n"/>
      <c r="E330" s="2" t="n"/>
      <c r="F330" s="2" t="n"/>
      <c r="G330" s="2" t="n"/>
    </row>
    <row r="331" ht="14.25" customHeight="1" s="74">
      <c r="A331" s="2" t="n"/>
      <c r="B331" s="2" t="n"/>
      <c r="C331" s="2" t="n"/>
      <c r="D331" s="2" t="n"/>
      <c r="E331" s="2" t="n"/>
      <c r="F331" s="2" t="n"/>
      <c r="G331" s="2" t="n"/>
    </row>
    <row r="332" ht="14.25" customHeight="1" s="74">
      <c r="A332" s="2" t="n"/>
      <c r="B332" s="2" t="n"/>
      <c r="C332" s="2" t="n"/>
      <c r="D332" s="2" t="n"/>
      <c r="E332" s="2" t="n"/>
      <c r="F332" s="2" t="n"/>
      <c r="G332" s="2" t="n"/>
    </row>
    <row r="333" ht="14.25" customHeight="1" s="74">
      <c r="A333" s="2" t="n"/>
      <c r="B333" s="2" t="n"/>
      <c r="C333" s="2" t="n"/>
      <c r="D333" s="2" t="n"/>
      <c r="E333" s="2" t="n"/>
      <c r="F333" s="2" t="n"/>
      <c r="G333" s="2" t="n"/>
    </row>
    <row r="334" ht="14.25" customHeight="1" s="74">
      <c r="A334" s="2" t="n"/>
      <c r="B334" s="2" t="n"/>
      <c r="C334" s="2" t="n"/>
      <c r="D334" s="2" t="n"/>
      <c r="E334" s="2" t="n"/>
      <c r="F334" s="2" t="n"/>
      <c r="G334" s="2" t="n"/>
    </row>
    <row r="335" ht="14.25" customHeight="1" s="74">
      <c r="A335" s="2" t="n"/>
      <c r="B335" s="2" t="n"/>
      <c r="C335" s="2" t="n"/>
      <c r="D335" s="2" t="n"/>
      <c r="E335" s="2" t="n"/>
      <c r="F335" s="2" t="n"/>
      <c r="G335" s="2" t="n"/>
    </row>
    <row r="336" ht="14.25" customHeight="1" s="74">
      <c r="A336" s="2" t="n"/>
      <c r="B336" s="2" t="n"/>
      <c r="C336" s="2" t="n"/>
      <c r="D336" s="2" t="n"/>
      <c r="E336" s="2" t="n"/>
      <c r="F336" s="2" t="n"/>
      <c r="G336" s="2" t="n"/>
    </row>
    <row r="337" ht="14.25" customHeight="1" s="74">
      <c r="A337" s="2" t="n"/>
      <c r="B337" s="2" t="n"/>
      <c r="C337" s="2" t="n"/>
      <c r="D337" s="2" t="n"/>
      <c r="E337" s="2" t="n"/>
      <c r="F337" s="2" t="n"/>
      <c r="G337" s="2" t="n"/>
    </row>
    <row r="338" ht="14.25" customHeight="1" s="74">
      <c r="A338" s="2" t="n"/>
      <c r="B338" s="2" t="n"/>
      <c r="C338" s="2" t="n"/>
      <c r="D338" s="2" t="n"/>
      <c r="E338" s="2" t="n"/>
      <c r="F338" s="2" t="n"/>
      <c r="G338" s="2" t="n"/>
    </row>
    <row r="339" ht="14.25" customHeight="1" s="74">
      <c r="A339" s="2" t="n"/>
      <c r="B339" s="2" t="n"/>
      <c r="C339" s="2" t="n"/>
      <c r="D339" s="2" t="n"/>
      <c r="E339" s="2" t="n"/>
      <c r="F339" s="2" t="n"/>
      <c r="G339" s="2" t="n"/>
    </row>
    <row r="340" ht="14.25" customHeight="1" s="74">
      <c r="A340" s="2" t="n"/>
      <c r="B340" s="2" t="n"/>
      <c r="C340" s="2" t="n"/>
      <c r="D340" s="2" t="n"/>
      <c r="E340" s="2" t="n"/>
      <c r="F340" s="2" t="n"/>
      <c r="G340" s="2" t="n"/>
    </row>
    <row r="341" ht="14.25" customHeight="1" s="74">
      <c r="A341" s="2" t="n"/>
      <c r="B341" s="2" t="n"/>
      <c r="C341" s="2" t="n"/>
      <c r="D341" s="2" t="n"/>
      <c r="E341" s="2" t="n"/>
      <c r="F341" s="2" t="n"/>
      <c r="G341" s="2" t="n"/>
    </row>
    <row r="342" ht="14.25" customHeight="1" s="74">
      <c r="A342" s="2" t="n"/>
      <c r="B342" s="2" t="n"/>
      <c r="C342" s="2" t="n"/>
      <c r="D342" s="2" t="n"/>
      <c r="E342" s="2" t="n"/>
      <c r="F342" s="2" t="n"/>
      <c r="G342" s="2" t="n"/>
    </row>
    <row r="343" ht="14.25" customHeight="1" s="74">
      <c r="A343" s="2" t="n"/>
      <c r="B343" s="2" t="n"/>
      <c r="C343" s="2" t="n"/>
      <c r="D343" s="2" t="n"/>
      <c r="E343" s="2" t="n"/>
      <c r="F343" s="2" t="n"/>
      <c r="G343" s="2" t="n"/>
    </row>
    <row r="344" ht="14.25" customHeight="1" s="74">
      <c r="A344" s="2" t="n"/>
      <c r="B344" s="2" t="n"/>
      <c r="C344" s="2" t="n"/>
      <c r="D344" s="2" t="n"/>
      <c r="E344" s="2" t="n"/>
      <c r="F344" s="2" t="n"/>
      <c r="G344" s="2" t="n"/>
    </row>
    <row r="345" ht="14.25" customHeight="1" s="74">
      <c r="A345" s="2" t="n"/>
      <c r="B345" s="2" t="n"/>
      <c r="C345" s="2" t="n"/>
      <c r="D345" s="2" t="n"/>
      <c r="E345" s="2" t="n"/>
      <c r="F345" s="2" t="n"/>
      <c r="G345" s="2" t="n"/>
    </row>
    <row r="346" ht="14.25" customHeight="1" s="74">
      <c r="A346" s="2" t="n"/>
      <c r="B346" s="2" t="n"/>
      <c r="C346" s="2" t="n"/>
      <c r="D346" s="2" t="n"/>
      <c r="E346" s="2" t="n"/>
      <c r="F346" s="2" t="n"/>
      <c r="G346" s="2" t="n"/>
    </row>
    <row r="347" ht="14.25" customHeight="1" s="74">
      <c r="A347" s="2" t="n"/>
      <c r="B347" s="2" t="n"/>
      <c r="C347" s="2" t="n"/>
      <c r="D347" s="2" t="n"/>
      <c r="E347" s="2" t="n"/>
      <c r="F347" s="2" t="n"/>
      <c r="G347" s="2" t="n"/>
    </row>
    <row r="348" ht="14.25" customHeight="1" s="74">
      <c r="A348" s="2" t="n"/>
      <c r="B348" s="2" t="n"/>
      <c r="C348" s="2" t="n"/>
      <c r="D348" s="2" t="n"/>
      <c r="E348" s="2" t="n"/>
      <c r="F348" s="2" t="n"/>
      <c r="G348" s="2" t="n"/>
    </row>
    <row r="349" ht="14.25" customHeight="1" s="74">
      <c r="A349" s="2" t="n"/>
      <c r="B349" s="2" t="n"/>
      <c r="C349" s="2" t="n"/>
      <c r="D349" s="2" t="n"/>
      <c r="E349" s="2" t="n"/>
      <c r="F349" s="2" t="n"/>
      <c r="G349" s="2" t="n"/>
    </row>
    <row r="350" ht="14.25" customHeight="1" s="74">
      <c r="A350" s="2" t="n"/>
      <c r="B350" s="2" t="n"/>
      <c r="C350" s="2" t="n"/>
      <c r="D350" s="2" t="n"/>
      <c r="E350" s="2" t="n"/>
      <c r="F350" s="2" t="n"/>
      <c r="G350" s="2" t="n"/>
    </row>
    <row r="351" ht="14.25" customHeight="1" s="74">
      <c r="A351" s="2" t="n"/>
      <c r="B351" s="2" t="n"/>
      <c r="C351" s="2" t="n"/>
      <c r="D351" s="2" t="n"/>
      <c r="E351" s="2" t="n"/>
      <c r="F351" s="2" t="n"/>
      <c r="G351" s="2" t="n"/>
    </row>
    <row r="352" ht="14.25" customHeight="1" s="74">
      <c r="A352" s="2" t="n"/>
      <c r="B352" s="2" t="n"/>
      <c r="C352" s="2" t="n"/>
      <c r="D352" s="2" t="n"/>
      <c r="E352" s="2" t="n"/>
      <c r="F352" s="2" t="n"/>
      <c r="G352" s="2" t="n"/>
    </row>
    <row r="353" ht="14.25" customHeight="1" s="74">
      <c r="A353" s="2" t="n"/>
      <c r="B353" s="2" t="n"/>
      <c r="C353" s="2" t="n"/>
      <c r="D353" s="2" t="n"/>
      <c r="E353" s="2" t="n"/>
      <c r="F353" s="2" t="n"/>
      <c r="G353" s="2" t="n"/>
    </row>
    <row r="354" ht="14.25" customHeight="1" s="74">
      <c r="A354" s="2" t="n"/>
      <c r="B354" s="2" t="n"/>
      <c r="C354" s="2" t="n"/>
      <c r="D354" s="2" t="n"/>
      <c r="E354" s="2" t="n"/>
      <c r="F354" s="2" t="n"/>
      <c r="G354" s="2" t="n"/>
    </row>
    <row r="355" ht="14.25" customHeight="1" s="74">
      <c r="A355" s="2" t="n"/>
      <c r="B355" s="2" t="n"/>
      <c r="C355" s="2" t="n"/>
      <c r="D355" s="2" t="n"/>
      <c r="E355" s="2" t="n"/>
      <c r="F355" s="2" t="n"/>
      <c r="G355" s="2" t="n"/>
    </row>
    <row r="356" ht="14.25" customHeight="1" s="74">
      <c r="A356" s="2" t="n"/>
      <c r="B356" s="2" t="n"/>
      <c r="C356" s="2" t="n"/>
      <c r="D356" s="2" t="n"/>
      <c r="E356" s="2" t="n"/>
      <c r="F356" s="2" t="n"/>
      <c r="G356" s="2" t="n"/>
    </row>
    <row r="357" ht="14.25" customHeight="1" s="74">
      <c r="A357" s="2" t="n"/>
      <c r="B357" s="2" t="n"/>
      <c r="C357" s="2" t="n"/>
      <c r="D357" s="2" t="n"/>
      <c r="E357" s="2" t="n"/>
      <c r="F357" s="2" t="n"/>
      <c r="G357" s="2" t="n"/>
    </row>
    <row r="358" ht="14.25" customHeight="1" s="74">
      <c r="A358" s="2" t="n"/>
      <c r="B358" s="2" t="n"/>
      <c r="C358" s="2" t="n"/>
      <c r="D358" s="2" t="n"/>
      <c r="E358" s="2" t="n"/>
      <c r="F358" s="2" t="n"/>
      <c r="G358" s="2" t="n"/>
    </row>
    <row r="359" ht="14.25" customHeight="1" s="74">
      <c r="A359" s="2" t="n"/>
      <c r="B359" s="2" t="n"/>
      <c r="C359" s="2" t="n"/>
      <c r="D359" s="2" t="n"/>
      <c r="E359" s="2" t="n"/>
      <c r="F359" s="2" t="n"/>
      <c r="G359" s="2" t="n"/>
    </row>
    <row r="360" ht="14.25" customHeight="1" s="74">
      <c r="A360" s="2" t="n"/>
      <c r="B360" s="2" t="n"/>
      <c r="C360" s="2" t="n"/>
      <c r="D360" s="2" t="n"/>
      <c r="E360" s="2" t="n"/>
      <c r="F360" s="2" t="n"/>
      <c r="G360" s="2" t="n"/>
    </row>
    <row r="361" ht="14.25" customHeight="1" s="74">
      <c r="A361" s="2" t="n"/>
      <c r="B361" s="2" t="n"/>
      <c r="C361" s="2" t="n"/>
      <c r="D361" s="2" t="n"/>
      <c r="E361" s="2" t="n"/>
      <c r="F361" s="2" t="n"/>
      <c r="G361" s="2" t="n"/>
    </row>
    <row r="362" ht="14.25" customHeight="1" s="74">
      <c r="A362" s="2" t="n"/>
      <c r="B362" s="2" t="n"/>
      <c r="C362" s="2" t="n"/>
      <c r="D362" s="2" t="n"/>
      <c r="E362" s="2" t="n"/>
      <c r="F362" s="2" t="n"/>
      <c r="G362" s="2" t="n"/>
    </row>
    <row r="363" ht="14.25" customHeight="1" s="74">
      <c r="A363" s="2" t="n"/>
      <c r="B363" s="2" t="n"/>
      <c r="C363" s="2" t="n"/>
      <c r="D363" s="2" t="n"/>
      <c r="E363" s="2" t="n"/>
      <c r="F363" s="2" t="n"/>
      <c r="G363" s="2" t="n"/>
    </row>
    <row r="364" ht="14.25" customHeight="1" s="74">
      <c r="A364" s="2" t="n"/>
      <c r="B364" s="2" t="n"/>
      <c r="C364" s="2" t="n"/>
      <c r="D364" s="2" t="n"/>
      <c r="E364" s="2" t="n"/>
      <c r="F364" s="2" t="n"/>
      <c r="G364" s="2" t="n"/>
    </row>
    <row r="365" ht="14.25" customHeight="1" s="74">
      <c r="A365" s="2" t="n"/>
      <c r="B365" s="2" t="n"/>
      <c r="C365" s="2" t="n"/>
      <c r="D365" s="2" t="n"/>
      <c r="E365" s="2" t="n"/>
      <c r="F365" s="2" t="n"/>
      <c r="G365" s="2" t="n"/>
    </row>
    <row r="366" ht="14.25" customHeight="1" s="74">
      <c r="A366" s="2" t="n"/>
      <c r="B366" s="2" t="n"/>
      <c r="C366" s="2" t="n"/>
      <c r="D366" s="2" t="n"/>
      <c r="E366" s="2" t="n"/>
      <c r="F366" s="2" t="n"/>
      <c r="G366" s="2" t="n"/>
    </row>
    <row r="367" ht="14.25" customHeight="1" s="74">
      <c r="A367" s="2" t="n"/>
      <c r="B367" s="2" t="n"/>
      <c r="C367" s="2" t="n"/>
      <c r="D367" s="2" t="n"/>
      <c r="E367" s="2" t="n"/>
      <c r="F367" s="2" t="n"/>
      <c r="G367" s="2" t="n"/>
    </row>
    <row r="368" ht="14.25" customHeight="1" s="74">
      <c r="A368" s="2" t="n"/>
      <c r="B368" s="2" t="n"/>
      <c r="C368" s="2" t="n"/>
      <c r="D368" s="2" t="n"/>
      <c r="E368" s="2" t="n"/>
      <c r="F368" s="2" t="n"/>
      <c r="G368" s="2" t="n"/>
    </row>
    <row r="369" ht="14.25" customHeight="1" s="74">
      <c r="A369" s="2" t="n"/>
      <c r="B369" s="2" t="n"/>
      <c r="C369" s="2" t="n"/>
      <c r="D369" s="2" t="n"/>
      <c r="E369" s="2" t="n"/>
      <c r="F369" s="2" t="n"/>
      <c r="G369" s="2" t="n"/>
    </row>
    <row r="370" ht="14.25" customHeight="1" s="74">
      <c r="A370" s="2" t="n"/>
      <c r="B370" s="2" t="n"/>
      <c r="C370" s="2" t="n"/>
      <c r="D370" s="2" t="n"/>
      <c r="E370" s="2" t="n"/>
      <c r="F370" s="2" t="n"/>
      <c r="G370" s="2" t="n"/>
    </row>
    <row r="371" ht="14.25" customHeight="1" s="74">
      <c r="A371" s="2" t="n"/>
      <c r="B371" s="2" t="n"/>
      <c r="C371" s="2" t="n"/>
      <c r="D371" s="2" t="n"/>
      <c r="E371" s="2" t="n"/>
      <c r="F371" s="2" t="n"/>
      <c r="G371" s="2" t="n"/>
    </row>
    <row r="372" ht="14.25" customHeight="1" s="74">
      <c r="A372" s="2" t="n"/>
      <c r="B372" s="2" t="n"/>
      <c r="C372" s="2" t="n"/>
      <c r="D372" s="2" t="n"/>
      <c r="E372" s="2" t="n"/>
      <c r="F372" s="2" t="n"/>
      <c r="G372" s="2" t="n"/>
    </row>
    <row r="373" ht="14.25" customHeight="1" s="74">
      <c r="A373" s="2" t="n"/>
      <c r="B373" s="2" t="n"/>
      <c r="C373" s="2" t="n"/>
      <c r="D373" s="2" t="n"/>
      <c r="E373" s="2" t="n"/>
      <c r="F373" s="2" t="n"/>
      <c r="G373" s="2" t="n"/>
    </row>
    <row r="374" ht="14.25" customHeight="1" s="74">
      <c r="A374" s="2" t="n"/>
      <c r="B374" s="2" t="n"/>
      <c r="C374" s="2" t="n"/>
      <c r="D374" s="2" t="n"/>
      <c r="E374" s="2" t="n"/>
      <c r="F374" s="2" t="n"/>
      <c r="G374" s="2" t="n"/>
    </row>
    <row r="375" ht="14.25" customHeight="1" s="74">
      <c r="A375" s="2" t="n"/>
      <c r="B375" s="2" t="n"/>
      <c r="C375" s="2" t="n"/>
      <c r="D375" s="2" t="n"/>
      <c r="E375" s="2" t="n"/>
      <c r="F375" s="2" t="n"/>
      <c r="G375" s="2" t="n"/>
    </row>
    <row r="376" ht="14.25" customHeight="1" s="74">
      <c r="A376" s="2" t="n"/>
      <c r="B376" s="2" t="n"/>
      <c r="C376" s="2" t="n"/>
      <c r="D376" s="2" t="n"/>
      <c r="E376" s="2" t="n"/>
      <c r="F376" s="2" t="n"/>
      <c r="G376" s="2" t="n"/>
    </row>
    <row r="377" ht="14.25" customHeight="1" s="74">
      <c r="A377" s="2" t="n"/>
      <c r="B377" s="2" t="n"/>
      <c r="C377" s="2" t="n"/>
      <c r="D377" s="2" t="n"/>
      <c r="E377" s="2" t="n"/>
      <c r="F377" s="2" t="n"/>
      <c r="G377" s="2" t="n"/>
    </row>
    <row r="378" ht="14.25" customHeight="1" s="74">
      <c r="A378" s="2" t="n"/>
      <c r="B378" s="2" t="n"/>
      <c r="C378" s="2" t="n"/>
      <c r="D378" s="2" t="n"/>
      <c r="E378" s="2" t="n"/>
      <c r="F378" s="2" t="n"/>
      <c r="G378" s="2" t="n"/>
    </row>
    <row r="379" ht="14.25" customHeight="1" s="74">
      <c r="A379" s="2" t="n"/>
      <c r="B379" s="2" t="n"/>
      <c r="C379" s="2" t="n"/>
      <c r="D379" s="2" t="n"/>
      <c r="E379" s="2" t="n"/>
      <c r="F379" s="2" t="n"/>
      <c r="G379" s="2" t="n"/>
    </row>
    <row r="380" ht="14.25" customHeight="1" s="74">
      <c r="A380" s="2" t="n"/>
      <c r="B380" s="2" t="n"/>
      <c r="C380" s="2" t="n"/>
      <c r="D380" s="2" t="n"/>
      <c r="E380" s="2" t="n"/>
      <c r="F380" s="2" t="n"/>
      <c r="G380" s="2" t="n"/>
    </row>
    <row r="381" ht="14.25" customHeight="1" s="74">
      <c r="A381" s="2" t="n"/>
      <c r="B381" s="2" t="n"/>
      <c r="C381" s="2" t="n"/>
      <c r="D381" s="2" t="n"/>
      <c r="E381" s="2" t="n"/>
      <c r="F381" s="2" t="n"/>
      <c r="G381" s="2" t="n"/>
    </row>
    <row r="382" ht="14.25" customHeight="1" s="74">
      <c r="A382" s="2" t="n"/>
      <c r="B382" s="2" t="n"/>
      <c r="C382" s="2" t="n"/>
      <c r="D382" s="2" t="n"/>
      <c r="E382" s="2" t="n"/>
      <c r="F382" s="2" t="n"/>
      <c r="G382" s="2" t="n"/>
    </row>
    <row r="383" ht="14.25" customHeight="1" s="74">
      <c r="A383" s="2" t="n"/>
      <c r="B383" s="2" t="n"/>
      <c r="C383" s="2" t="n"/>
      <c r="D383" s="2" t="n"/>
      <c r="E383" s="2" t="n"/>
      <c r="F383" s="2" t="n"/>
      <c r="G383" s="2" t="n"/>
    </row>
    <row r="384" ht="14.25" customHeight="1" s="74">
      <c r="A384" s="2" t="n"/>
      <c r="B384" s="2" t="n"/>
      <c r="C384" s="2" t="n"/>
      <c r="D384" s="2" t="n"/>
      <c r="E384" s="2" t="n"/>
      <c r="F384" s="2" t="n"/>
      <c r="G384" s="2" t="n"/>
    </row>
    <row r="385" ht="14.25" customHeight="1" s="74">
      <c r="A385" s="2" t="n"/>
      <c r="B385" s="2" t="n"/>
      <c r="C385" s="2" t="n"/>
      <c r="D385" s="2" t="n"/>
      <c r="E385" s="2" t="n"/>
      <c r="F385" s="2" t="n"/>
      <c r="G385" s="2" t="n"/>
    </row>
    <row r="386" ht="14.25" customHeight="1" s="74">
      <c r="A386" s="2" t="n"/>
      <c r="B386" s="2" t="n"/>
      <c r="C386" s="2" t="n"/>
      <c r="D386" s="2" t="n"/>
      <c r="E386" s="2" t="n"/>
      <c r="F386" s="2" t="n"/>
      <c r="G386" s="2" t="n"/>
    </row>
    <row r="387" ht="14.25" customHeight="1" s="74">
      <c r="A387" s="2" t="n"/>
      <c r="B387" s="2" t="n"/>
      <c r="C387" s="2" t="n"/>
      <c r="D387" s="2" t="n"/>
      <c r="E387" s="2" t="n"/>
      <c r="F387" s="2" t="n"/>
      <c r="G387" s="2" t="n"/>
    </row>
    <row r="388" ht="14.25" customHeight="1" s="74">
      <c r="A388" s="2" t="n"/>
      <c r="B388" s="2" t="n"/>
      <c r="C388" s="2" t="n"/>
      <c r="D388" s="2" t="n"/>
      <c r="E388" s="2" t="n"/>
      <c r="F388" s="2" t="n"/>
      <c r="G388" s="2" t="n"/>
    </row>
    <row r="389" ht="14.25" customHeight="1" s="74">
      <c r="A389" s="2" t="n"/>
      <c r="B389" s="2" t="n"/>
      <c r="C389" s="2" t="n"/>
      <c r="D389" s="2" t="n"/>
      <c r="E389" s="2" t="n"/>
      <c r="F389" s="2" t="n"/>
      <c r="G389" s="2" t="n"/>
    </row>
    <row r="390" ht="14.25" customHeight="1" s="74">
      <c r="A390" s="2" t="n"/>
      <c r="B390" s="2" t="n"/>
      <c r="C390" s="2" t="n"/>
      <c r="D390" s="2" t="n"/>
      <c r="E390" s="2" t="n"/>
      <c r="F390" s="2" t="n"/>
      <c r="G390" s="2" t="n"/>
    </row>
    <row r="391" ht="14.25" customHeight="1" s="74">
      <c r="A391" s="2" t="n"/>
      <c r="B391" s="2" t="n"/>
      <c r="C391" s="2" t="n"/>
      <c r="D391" s="2" t="n"/>
      <c r="E391" s="2" t="n"/>
      <c r="F391" s="2" t="n"/>
      <c r="G391" s="2" t="n"/>
    </row>
    <row r="392" ht="14.25" customHeight="1" s="74">
      <c r="A392" s="2" t="n"/>
      <c r="B392" s="2" t="n"/>
      <c r="C392" s="2" t="n"/>
      <c r="D392" s="2" t="n"/>
      <c r="E392" s="2" t="n"/>
      <c r="F392" s="2" t="n"/>
      <c r="G392" s="2" t="n"/>
    </row>
    <row r="393" ht="14.25" customHeight="1" s="74">
      <c r="A393" s="2" t="n"/>
      <c r="B393" s="2" t="n"/>
      <c r="C393" s="2" t="n"/>
      <c r="D393" s="2" t="n"/>
      <c r="E393" s="2" t="n"/>
      <c r="F393" s="2" t="n"/>
      <c r="G393" s="2" t="n"/>
    </row>
    <row r="394" ht="14.25" customHeight="1" s="74">
      <c r="A394" s="2" t="n"/>
      <c r="B394" s="2" t="n"/>
      <c r="C394" s="2" t="n"/>
      <c r="D394" s="2" t="n"/>
      <c r="E394" s="2" t="n"/>
      <c r="F394" s="2" t="n"/>
      <c r="G394" s="2" t="n"/>
    </row>
    <row r="395" ht="14.25" customHeight="1" s="74">
      <c r="A395" s="2" t="n"/>
      <c r="B395" s="2" t="n"/>
      <c r="C395" s="2" t="n"/>
      <c r="D395" s="2" t="n"/>
      <c r="E395" s="2" t="n"/>
      <c r="F395" s="2" t="n"/>
      <c r="G395" s="2" t="n"/>
    </row>
    <row r="396" ht="14.25" customHeight="1" s="74">
      <c r="A396" s="2" t="n"/>
      <c r="B396" s="2" t="n"/>
      <c r="C396" s="2" t="n"/>
      <c r="D396" s="2" t="n"/>
      <c r="E396" s="2" t="n"/>
      <c r="F396" s="2" t="n"/>
      <c r="G396" s="2" t="n"/>
    </row>
    <row r="397" ht="14.25" customHeight="1" s="74">
      <c r="A397" s="2" t="n"/>
      <c r="B397" s="2" t="n"/>
      <c r="C397" s="2" t="n"/>
      <c r="D397" s="2" t="n"/>
      <c r="E397" s="2" t="n"/>
      <c r="F397" s="2" t="n"/>
      <c r="G397" s="2" t="n"/>
    </row>
    <row r="398" ht="14.25" customHeight="1" s="74">
      <c r="A398" s="2" t="n"/>
      <c r="B398" s="2" t="n"/>
      <c r="C398" s="2" t="n"/>
      <c r="D398" s="2" t="n"/>
      <c r="E398" s="2" t="n"/>
      <c r="F398" s="2" t="n"/>
      <c r="G398" s="2" t="n"/>
    </row>
    <row r="399" ht="14.25" customHeight="1" s="74">
      <c r="A399" s="2" t="n"/>
      <c r="B399" s="2" t="n"/>
      <c r="C399" s="2" t="n"/>
      <c r="D399" s="2" t="n"/>
      <c r="E399" s="2" t="n"/>
      <c r="F399" s="2" t="n"/>
      <c r="G399" s="2" t="n"/>
    </row>
    <row r="400" ht="14.25" customHeight="1" s="74">
      <c r="A400" s="2" t="n"/>
      <c r="B400" s="2" t="n"/>
      <c r="C400" s="2" t="n"/>
      <c r="D400" s="2" t="n"/>
      <c r="E400" s="2" t="n"/>
      <c r="F400" s="2" t="n"/>
      <c r="G400" s="2" t="n"/>
    </row>
    <row r="401" ht="14.25" customHeight="1" s="74">
      <c r="A401" s="2" t="n"/>
      <c r="B401" s="2" t="n"/>
      <c r="C401" s="2" t="n"/>
      <c r="D401" s="2" t="n"/>
      <c r="E401" s="2" t="n"/>
      <c r="F401" s="2" t="n"/>
      <c r="G401" s="2" t="n"/>
    </row>
    <row r="402" ht="14.25" customHeight="1" s="74">
      <c r="A402" s="2" t="n"/>
      <c r="B402" s="2" t="n"/>
      <c r="C402" s="2" t="n"/>
      <c r="D402" s="2" t="n"/>
      <c r="E402" s="2" t="n"/>
      <c r="F402" s="2" t="n"/>
      <c r="G402" s="2" t="n"/>
    </row>
    <row r="403" ht="14.25" customHeight="1" s="74">
      <c r="A403" s="2" t="n"/>
      <c r="B403" s="2" t="n"/>
      <c r="C403" s="2" t="n"/>
      <c r="D403" s="2" t="n"/>
      <c r="E403" s="2" t="n"/>
      <c r="F403" s="2" t="n"/>
      <c r="G403" s="2" t="n"/>
    </row>
    <row r="404" ht="14.25" customHeight="1" s="74">
      <c r="A404" s="2" t="n"/>
      <c r="B404" s="2" t="n"/>
      <c r="C404" s="2" t="n"/>
      <c r="D404" s="2" t="n"/>
      <c r="E404" s="2" t="n"/>
      <c r="F404" s="2" t="n"/>
      <c r="G404" s="2" t="n"/>
    </row>
    <row r="405" ht="14.25" customHeight="1" s="74">
      <c r="A405" s="2" t="n"/>
      <c r="B405" s="2" t="n"/>
      <c r="C405" s="2" t="n"/>
      <c r="D405" s="2" t="n"/>
      <c r="E405" s="2" t="n"/>
      <c r="F405" s="2" t="n"/>
      <c r="G405" s="2" t="n"/>
    </row>
    <row r="406" ht="14.25" customHeight="1" s="74">
      <c r="A406" s="2" t="n"/>
      <c r="B406" s="2" t="n"/>
      <c r="C406" s="2" t="n"/>
      <c r="D406" s="2" t="n"/>
      <c r="E406" s="2" t="n"/>
      <c r="F406" s="2" t="n"/>
      <c r="G406" s="2" t="n"/>
    </row>
    <row r="407" ht="14.25" customHeight="1" s="74">
      <c r="A407" s="2" t="n"/>
      <c r="B407" s="2" t="n"/>
      <c r="C407" s="2" t="n"/>
      <c r="D407" s="2" t="n"/>
      <c r="E407" s="2" t="n"/>
      <c r="F407" s="2" t="n"/>
      <c r="G407" s="2" t="n"/>
    </row>
    <row r="408" ht="14.25" customHeight="1" s="74">
      <c r="A408" s="2" t="n"/>
      <c r="B408" s="2" t="n"/>
      <c r="C408" s="2" t="n"/>
      <c r="D408" s="2" t="n"/>
      <c r="E408" s="2" t="n"/>
      <c r="F408" s="2" t="n"/>
      <c r="G408" s="2" t="n"/>
    </row>
    <row r="409" ht="14.25" customHeight="1" s="74">
      <c r="A409" s="2" t="n"/>
      <c r="B409" s="2" t="n"/>
      <c r="C409" s="2" t="n"/>
      <c r="D409" s="2" t="n"/>
      <c r="E409" s="2" t="n"/>
      <c r="F409" s="2" t="n"/>
      <c r="G409" s="2" t="n"/>
    </row>
    <row r="410" ht="14.25" customHeight="1" s="74">
      <c r="A410" s="2" t="n"/>
      <c r="B410" s="2" t="n"/>
      <c r="C410" s="2" t="n"/>
      <c r="D410" s="2" t="n"/>
      <c r="E410" s="2" t="n"/>
      <c r="F410" s="2" t="n"/>
      <c r="G410" s="2" t="n"/>
    </row>
    <row r="411" ht="14.25" customHeight="1" s="74">
      <c r="A411" s="2" t="n"/>
      <c r="B411" s="2" t="n"/>
      <c r="C411" s="2" t="n"/>
      <c r="D411" s="2" t="n"/>
      <c r="E411" s="2" t="n"/>
      <c r="F411" s="2" t="n"/>
      <c r="G411" s="2" t="n"/>
    </row>
    <row r="412" ht="14.25" customHeight="1" s="74">
      <c r="A412" s="2" t="n"/>
      <c r="B412" s="2" t="n"/>
      <c r="C412" s="2" t="n"/>
      <c r="D412" s="2" t="n"/>
      <c r="E412" s="2" t="n"/>
      <c r="F412" s="2" t="n"/>
      <c r="G412" s="2" t="n"/>
    </row>
    <row r="413" ht="14.25" customHeight="1" s="74">
      <c r="A413" s="2" t="n"/>
      <c r="B413" s="2" t="n"/>
      <c r="C413" s="2" t="n"/>
      <c r="D413" s="2" t="n"/>
      <c r="E413" s="2" t="n"/>
      <c r="F413" s="2" t="n"/>
      <c r="G413" s="2" t="n"/>
    </row>
    <row r="414" ht="14.25" customHeight="1" s="74">
      <c r="A414" s="2" t="n"/>
      <c r="B414" s="2" t="n"/>
      <c r="C414" s="2" t="n"/>
      <c r="D414" s="2" t="n"/>
      <c r="E414" s="2" t="n"/>
      <c r="F414" s="2" t="n"/>
      <c r="G414" s="2" t="n"/>
    </row>
    <row r="415" ht="14.25" customHeight="1" s="74">
      <c r="A415" s="2" t="n"/>
      <c r="B415" s="2" t="n"/>
      <c r="C415" s="2" t="n"/>
      <c r="D415" s="2" t="n"/>
      <c r="E415" s="2" t="n"/>
      <c r="F415" s="2" t="n"/>
      <c r="G415" s="2" t="n"/>
    </row>
    <row r="416" ht="14.25" customHeight="1" s="74">
      <c r="A416" s="2" t="n"/>
      <c r="B416" s="2" t="n"/>
      <c r="C416" s="2" t="n"/>
      <c r="D416" s="2" t="n"/>
      <c r="E416" s="2" t="n"/>
      <c r="F416" s="2" t="n"/>
      <c r="G416" s="2" t="n"/>
    </row>
    <row r="417" ht="14.25" customHeight="1" s="74">
      <c r="A417" s="2" t="n"/>
      <c r="B417" s="2" t="n"/>
      <c r="C417" s="2" t="n"/>
      <c r="D417" s="2" t="n"/>
      <c r="E417" s="2" t="n"/>
      <c r="F417" s="2" t="n"/>
      <c r="G417" s="2" t="n"/>
    </row>
    <row r="418" ht="14.25" customHeight="1" s="74">
      <c r="A418" s="2" t="n"/>
      <c r="B418" s="2" t="n"/>
      <c r="C418" s="2" t="n"/>
      <c r="D418" s="2" t="n"/>
      <c r="E418" s="2" t="n"/>
      <c r="F418" s="2" t="n"/>
      <c r="G418" s="2" t="n"/>
    </row>
    <row r="419" ht="14.25" customHeight="1" s="74">
      <c r="A419" s="2" t="n"/>
      <c r="B419" s="2" t="n"/>
      <c r="C419" s="2" t="n"/>
      <c r="D419" s="2" t="n"/>
      <c r="E419" s="2" t="n"/>
      <c r="F419" s="2" t="n"/>
      <c r="G419" s="2" t="n"/>
    </row>
    <row r="420" ht="14.25" customHeight="1" s="74">
      <c r="A420" s="2" t="n"/>
      <c r="B420" s="2" t="n"/>
      <c r="C420" s="2" t="n"/>
      <c r="D420" s="2" t="n"/>
      <c r="E420" s="2" t="n"/>
      <c r="F420" s="2" t="n"/>
      <c r="G420" s="2" t="n"/>
    </row>
    <row r="421" ht="14.25" customHeight="1" s="74">
      <c r="A421" s="2" t="n"/>
      <c r="B421" s="2" t="n"/>
      <c r="C421" s="2" t="n"/>
      <c r="D421" s="2" t="n"/>
      <c r="E421" s="2" t="n"/>
      <c r="F421" s="2" t="n"/>
      <c r="G421" s="2" t="n"/>
    </row>
    <row r="422" ht="14.25" customHeight="1" s="74">
      <c r="A422" s="2" t="n"/>
      <c r="B422" s="2" t="n"/>
      <c r="C422" s="2" t="n"/>
      <c r="D422" s="2" t="n"/>
      <c r="E422" s="2" t="n"/>
      <c r="F422" s="2" t="n"/>
      <c r="G422" s="2" t="n"/>
    </row>
    <row r="423" ht="14.25" customHeight="1" s="74">
      <c r="A423" s="2" t="n"/>
      <c r="B423" s="2" t="n"/>
      <c r="C423" s="2" t="n"/>
      <c r="D423" s="2" t="n"/>
      <c r="E423" s="2" t="n"/>
      <c r="F423" s="2" t="n"/>
      <c r="G423" s="2" t="n"/>
    </row>
    <row r="424" ht="14.25" customHeight="1" s="74">
      <c r="A424" s="2" t="n"/>
      <c r="B424" s="2" t="n"/>
      <c r="C424" s="2" t="n"/>
      <c r="D424" s="2" t="n"/>
      <c r="E424" s="2" t="n"/>
      <c r="F424" s="2" t="n"/>
      <c r="G424" s="2" t="n"/>
    </row>
    <row r="425" ht="14.25" customHeight="1" s="74">
      <c r="A425" s="2" t="n"/>
      <c r="B425" s="2" t="n"/>
      <c r="C425" s="2" t="n"/>
      <c r="D425" s="2" t="n"/>
      <c r="E425" s="2" t="n"/>
      <c r="F425" s="2" t="n"/>
      <c r="G425" s="2" t="n"/>
    </row>
    <row r="426" ht="14.25" customHeight="1" s="74">
      <c r="A426" s="2" t="n"/>
      <c r="B426" s="2" t="n"/>
      <c r="C426" s="2" t="n"/>
      <c r="D426" s="2" t="n"/>
      <c r="E426" s="2" t="n"/>
      <c r="F426" s="2" t="n"/>
      <c r="G426" s="2" t="n"/>
    </row>
    <row r="427" ht="14.25" customHeight="1" s="74">
      <c r="A427" s="2" t="n"/>
      <c r="B427" s="2" t="n"/>
      <c r="C427" s="2" t="n"/>
      <c r="D427" s="2" t="n"/>
      <c r="E427" s="2" t="n"/>
      <c r="F427" s="2" t="n"/>
      <c r="G427" s="2" t="n"/>
    </row>
    <row r="428" ht="14.25" customHeight="1" s="74">
      <c r="A428" s="2" t="n"/>
      <c r="B428" s="2" t="n"/>
      <c r="C428" s="2" t="n"/>
      <c r="D428" s="2" t="n"/>
      <c r="E428" s="2" t="n"/>
      <c r="F428" s="2" t="n"/>
      <c r="G428" s="2" t="n"/>
    </row>
    <row r="429" ht="14.25" customHeight="1" s="74">
      <c r="A429" s="2" t="n"/>
      <c r="B429" s="2" t="n"/>
      <c r="C429" s="2" t="n"/>
      <c r="D429" s="2" t="n"/>
      <c r="E429" s="2" t="n"/>
      <c r="F429" s="2" t="n"/>
      <c r="G429" s="2" t="n"/>
    </row>
    <row r="430" ht="14.25" customHeight="1" s="74">
      <c r="A430" s="2" t="n"/>
      <c r="B430" s="2" t="n"/>
      <c r="C430" s="2" t="n"/>
      <c r="D430" s="2" t="n"/>
      <c r="E430" s="2" t="n"/>
      <c r="F430" s="2" t="n"/>
      <c r="G430" s="2" t="n"/>
    </row>
    <row r="431" ht="14.25" customHeight="1" s="74">
      <c r="A431" s="2" t="n"/>
      <c r="B431" s="2" t="n"/>
      <c r="C431" s="2" t="n"/>
      <c r="D431" s="2" t="n"/>
      <c r="E431" s="2" t="n"/>
      <c r="F431" s="2" t="n"/>
      <c r="G431" s="2" t="n"/>
    </row>
    <row r="432" ht="14.25" customHeight="1" s="74">
      <c r="A432" s="2" t="n"/>
      <c r="B432" s="2" t="n"/>
      <c r="C432" s="2" t="n"/>
      <c r="D432" s="2" t="n"/>
      <c r="E432" s="2" t="n"/>
      <c r="F432" s="2" t="n"/>
      <c r="G432" s="2" t="n"/>
    </row>
    <row r="433" ht="14.25" customHeight="1" s="74">
      <c r="A433" s="2" t="n"/>
      <c r="B433" s="2" t="n"/>
      <c r="C433" s="2" t="n"/>
      <c r="D433" s="2" t="n"/>
      <c r="E433" s="2" t="n"/>
      <c r="F433" s="2" t="n"/>
      <c r="G433" s="2" t="n"/>
    </row>
    <row r="434" ht="14.25" customHeight="1" s="74">
      <c r="A434" s="2" t="n"/>
      <c r="B434" s="2" t="n"/>
      <c r="C434" s="2" t="n"/>
      <c r="D434" s="2" t="n"/>
      <c r="E434" s="2" t="n"/>
      <c r="F434" s="2" t="n"/>
      <c r="G434" s="2" t="n"/>
    </row>
    <row r="435" ht="14.25" customHeight="1" s="74">
      <c r="A435" s="2" t="n"/>
      <c r="B435" s="2" t="n"/>
      <c r="C435" s="2" t="n"/>
      <c r="D435" s="2" t="n"/>
      <c r="E435" s="2" t="n"/>
      <c r="F435" s="2" t="n"/>
      <c r="G435" s="2" t="n"/>
    </row>
    <row r="436" ht="14.25" customHeight="1" s="74">
      <c r="A436" s="2" t="n"/>
      <c r="B436" s="2" t="n"/>
      <c r="C436" s="2" t="n"/>
      <c r="D436" s="2" t="n"/>
      <c r="E436" s="2" t="n"/>
      <c r="F436" s="2" t="n"/>
      <c r="G436" s="2" t="n"/>
    </row>
    <row r="437" ht="14.25" customHeight="1" s="74">
      <c r="A437" s="2" t="n"/>
      <c r="B437" s="2" t="n"/>
      <c r="C437" s="2" t="n"/>
      <c r="D437" s="2" t="n"/>
      <c r="E437" s="2" t="n"/>
      <c r="F437" s="2" t="n"/>
      <c r="G437" s="2" t="n"/>
    </row>
    <row r="438" ht="14.25" customHeight="1" s="74">
      <c r="A438" s="2" t="n"/>
      <c r="B438" s="2" t="n"/>
      <c r="C438" s="2" t="n"/>
      <c r="D438" s="2" t="n"/>
      <c r="E438" s="2" t="n"/>
      <c r="F438" s="2" t="n"/>
      <c r="G438" s="2" t="n"/>
    </row>
    <row r="439" ht="14.25" customHeight="1" s="74">
      <c r="A439" s="2" t="n"/>
      <c r="B439" s="2" t="n"/>
      <c r="C439" s="2" t="n"/>
      <c r="D439" s="2" t="n"/>
      <c r="E439" s="2" t="n"/>
      <c r="F439" s="2" t="n"/>
      <c r="G439" s="2" t="n"/>
    </row>
    <row r="440" ht="14.25" customHeight="1" s="74">
      <c r="A440" s="2" t="n"/>
      <c r="B440" s="2" t="n"/>
      <c r="C440" s="2" t="n"/>
      <c r="D440" s="2" t="n"/>
      <c r="E440" s="2" t="n"/>
      <c r="F440" s="2" t="n"/>
      <c r="G440" s="2" t="n"/>
    </row>
    <row r="441" ht="14.25" customHeight="1" s="74">
      <c r="A441" s="2" t="n"/>
      <c r="B441" s="2" t="n"/>
      <c r="C441" s="2" t="n"/>
      <c r="D441" s="2" t="n"/>
      <c r="E441" s="2" t="n"/>
      <c r="F441" s="2" t="n"/>
      <c r="G441" s="2" t="n"/>
    </row>
    <row r="442" ht="14.25" customHeight="1" s="74">
      <c r="A442" s="2" t="n"/>
      <c r="B442" s="2" t="n"/>
      <c r="C442" s="2" t="n"/>
      <c r="D442" s="2" t="n"/>
      <c r="E442" s="2" t="n"/>
      <c r="F442" s="2" t="n"/>
      <c r="G442" s="2" t="n"/>
    </row>
    <row r="443" ht="14.25" customHeight="1" s="74">
      <c r="A443" s="2" t="n"/>
      <c r="B443" s="2" t="n"/>
      <c r="C443" s="2" t="n"/>
      <c r="D443" s="2" t="n"/>
      <c r="E443" s="2" t="n"/>
      <c r="F443" s="2" t="n"/>
      <c r="G443" s="2" t="n"/>
    </row>
    <row r="444" ht="14.25" customHeight="1" s="74">
      <c r="A444" s="2" t="n"/>
      <c r="B444" s="2" t="n"/>
      <c r="C444" s="2" t="n"/>
      <c r="D444" s="2" t="n"/>
      <c r="E444" s="2" t="n"/>
      <c r="F444" s="2" t="n"/>
      <c r="G444" s="2" t="n"/>
    </row>
    <row r="445" ht="14.25" customHeight="1" s="74">
      <c r="A445" s="2" t="n"/>
      <c r="B445" s="2" t="n"/>
      <c r="C445" s="2" t="n"/>
      <c r="D445" s="2" t="n"/>
      <c r="E445" s="2" t="n"/>
      <c r="F445" s="2" t="n"/>
      <c r="G445" s="2" t="n"/>
    </row>
    <row r="446" ht="14.25" customHeight="1" s="74">
      <c r="A446" s="2" t="n"/>
      <c r="B446" s="2" t="n"/>
      <c r="C446" s="2" t="n"/>
      <c r="D446" s="2" t="n"/>
      <c r="E446" s="2" t="n"/>
      <c r="F446" s="2" t="n"/>
      <c r="G446" s="2" t="n"/>
    </row>
    <row r="447" ht="14.25" customHeight="1" s="74">
      <c r="A447" s="2" t="n"/>
      <c r="B447" s="2" t="n"/>
      <c r="C447" s="2" t="n"/>
      <c r="D447" s="2" t="n"/>
      <c r="E447" s="2" t="n"/>
      <c r="F447" s="2" t="n"/>
      <c r="G447" s="2" t="n"/>
    </row>
    <row r="448" ht="14.25" customHeight="1" s="74">
      <c r="A448" s="2" t="n"/>
      <c r="B448" s="2" t="n"/>
      <c r="C448" s="2" t="n"/>
      <c r="D448" s="2" t="n"/>
      <c r="E448" s="2" t="n"/>
      <c r="F448" s="2" t="n"/>
      <c r="G448" s="2" t="n"/>
    </row>
    <row r="449" ht="14.25" customHeight="1" s="74">
      <c r="A449" s="2" t="n"/>
      <c r="B449" s="2" t="n"/>
      <c r="C449" s="2" t="n"/>
      <c r="D449" s="2" t="n"/>
      <c r="E449" s="2" t="n"/>
      <c r="F449" s="2" t="n"/>
      <c r="G449" s="2" t="n"/>
    </row>
    <row r="450" ht="14.25" customHeight="1" s="74">
      <c r="A450" s="2" t="n"/>
      <c r="B450" s="2" t="n"/>
      <c r="C450" s="2" t="n"/>
      <c r="D450" s="2" t="n"/>
      <c r="E450" s="2" t="n"/>
      <c r="F450" s="2" t="n"/>
      <c r="G450" s="2" t="n"/>
    </row>
    <row r="451" ht="14.25" customHeight="1" s="74">
      <c r="A451" s="2" t="n"/>
      <c r="B451" s="2" t="n"/>
      <c r="C451" s="2" t="n"/>
      <c r="D451" s="2" t="n"/>
      <c r="E451" s="2" t="n"/>
      <c r="F451" s="2" t="n"/>
      <c r="G451" s="2" t="n"/>
    </row>
    <row r="452" ht="14.25" customHeight="1" s="74">
      <c r="A452" s="2" t="n"/>
      <c r="B452" s="2" t="n"/>
      <c r="C452" s="2" t="n"/>
      <c r="D452" s="2" t="n"/>
      <c r="E452" s="2" t="n"/>
      <c r="F452" s="2" t="n"/>
      <c r="G452" s="2" t="n"/>
    </row>
    <row r="453" ht="14.25" customHeight="1" s="74">
      <c r="A453" s="2" t="n"/>
      <c r="B453" s="2" t="n"/>
      <c r="C453" s="2" t="n"/>
      <c r="D453" s="2" t="n"/>
      <c r="E453" s="2" t="n"/>
      <c r="F453" s="2" t="n"/>
      <c r="G453" s="2" t="n"/>
    </row>
    <row r="454" ht="14.25" customHeight="1" s="74">
      <c r="A454" s="2" t="n"/>
      <c r="B454" s="2" t="n"/>
      <c r="C454" s="2" t="n"/>
      <c r="D454" s="2" t="n"/>
      <c r="E454" s="2" t="n"/>
      <c r="F454" s="2" t="n"/>
      <c r="G454" s="2" t="n"/>
    </row>
    <row r="455" ht="14.25" customHeight="1" s="74">
      <c r="A455" s="2" t="n"/>
      <c r="B455" s="2" t="n"/>
      <c r="C455" s="2" t="n"/>
      <c r="D455" s="2" t="n"/>
      <c r="E455" s="2" t="n"/>
      <c r="F455" s="2" t="n"/>
      <c r="G455" s="2" t="n"/>
    </row>
    <row r="456" ht="14.25" customHeight="1" s="74">
      <c r="A456" s="2" t="n"/>
      <c r="B456" s="2" t="n"/>
      <c r="C456" s="2" t="n"/>
      <c r="D456" s="2" t="n"/>
      <c r="E456" s="2" t="n"/>
      <c r="F456" s="2" t="n"/>
      <c r="G456" s="2" t="n"/>
    </row>
    <row r="457" ht="14.25" customHeight="1" s="74">
      <c r="A457" s="2" t="n"/>
      <c r="B457" s="2" t="n"/>
      <c r="C457" s="2" t="n"/>
      <c r="D457" s="2" t="n"/>
      <c r="E457" s="2" t="n"/>
      <c r="F457" s="2" t="n"/>
      <c r="G457" s="2" t="n"/>
    </row>
    <row r="458" ht="14.25" customHeight="1" s="74">
      <c r="A458" s="2" t="n"/>
      <c r="B458" s="2" t="n"/>
      <c r="C458" s="2" t="n"/>
      <c r="D458" s="2" t="n"/>
      <c r="E458" s="2" t="n"/>
      <c r="F458" s="2" t="n"/>
      <c r="G458" s="2" t="n"/>
    </row>
    <row r="459" ht="14.25" customHeight="1" s="74">
      <c r="A459" s="2" t="n"/>
      <c r="B459" s="2" t="n"/>
      <c r="C459" s="2" t="n"/>
      <c r="D459" s="2" t="n"/>
      <c r="E459" s="2" t="n"/>
      <c r="F459" s="2" t="n"/>
      <c r="G459" s="2" t="n"/>
    </row>
    <row r="460" ht="14.25" customHeight="1" s="74">
      <c r="A460" s="2" t="n"/>
      <c r="B460" s="2" t="n"/>
      <c r="C460" s="2" t="n"/>
      <c r="D460" s="2" t="n"/>
      <c r="E460" s="2" t="n"/>
      <c r="F460" s="2" t="n"/>
      <c r="G460" s="2" t="n"/>
    </row>
    <row r="461" ht="14.25" customHeight="1" s="74">
      <c r="A461" s="2" t="n"/>
      <c r="B461" s="2" t="n"/>
      <c r="C461" s="2" t="n"/>
      <c r="D461" s="2" t="n"/>
      <c r="E461" s="2" t="n"/>
      <c r="F461" s="2" t="n"/>
      <c r="G461" s="2" t="n"/>
    </row>
    <row r="462" ht="14.25" customHeight="1" s="74">
      <c r="A462" s="2" t="n"/>
      <c r="B462" s="2" t="n"/>
      <c r="C462" s="2" t="n"/>
      <c r="D462" s="2" t="n"/>
      <c r="E462" s="2" t="n"/>
      <c r="F462" s="2" t="n"/>
      <c r="G462" s="2" t="n"/>
    </row>
    <row r="463" ht="14.25" customHeight="1" s="74">
      <c r="A463" s="2" t="n"/>
      <c r="B463" s="2" t="n"/>
      <c r="C463" s="2" t="n"/>
      <c r="D463" s="2" t="n"/>
      <c r="E463" s="2" t="n"/>
      <c r="F463" s="2" t="n"/>
      <c r="G463" s="2" t="n"/>
    </row>
    <row r="464" ht="14.25" customHeight="1" s="74">
      <c r="A464" s="2" t="n"/>
      <c r="B464" s="2" t="n"/>
      <c r="C464" s="2" t="n"/>
      <c r="D464" s="2" t="n"/>
      <c r="E464" s="2" t="n"/>
      <c r="F464" s="2" t="n"/>
      <c r="G464" s="2" t="n"/>
    </row>
    <row r="465" ht="14.25" customHeight="1" s="74">
      <c r="A465" s="2" t="n"/>
      <c r="B465" s="2" t="n"/>
      <c r="C465" s="2" t="n"/>
      <c r="D465" s="2" t="n"/>
      <c r="E465" s="2" t="n"/>
      <c r="F465" s="2" t="n"/>
      <c r="G465" s="2" t="n"/>
    </row>
    <row r="466" ht="14.25" customHeight="1" s="74">
      <c r="A466" s="2" t="n"/>
      <c r="B466" s="2" t="n"/>
      <c r="C466" s="2" t="n"/>
      <c r="D466" s="2" t="n"/>
      <c r="E466" s="2" t="n"/>
      <c r="F466" s="2" t="n"/>
      <c r="G466" s="2" t="n"/>
    </row>
    <row r="467" ht="14.25" customHeight="1" s="74">
      <c r="A467" s="2" t="n"/>
      <c r="B467" s="2" t="n"/>
      <c r="C467" s="2" t="n"/>
      <c r="D467" s="2" t="n"/>
      <c r="E467" s="2" t="n"/>
      <c r="F467" s="2" t="n"/>
      <c r="G467" s="2" t="n"/>
    </row>
    <row r="468" ht="14.25" customHeight="1" s="74">
      <c r="A468" s="2" t="n"/>
      <c r="B468" s="2" t="n"/>
      <c r="C468" s="2" t="n"/>
      <c r="D468" s="2" t="n"/>
      <c r="E468" s="2" t="n"/>
      <c r="F468" s="2" t="n"/>
      <c r="G468" s="2" t="n"/>
    </row>
    <row r="469" ht="14.25" customHeight="1" s="74">
      <c r="A469" s="2" t="n"/>
      <c r="B469" s="2" t="n"/>
      <c r="C469" s="2" t="n"/>
      <c r="D469" s="2" t="n"/>
      <c r="E469" s="2" t="n"/>
      <c r="F469" s="2" t="n"/>
      <c r="G469" s="2" t="n"/>
    </row>
    <row r="470" ht="14.25" customHeight="1" s="74">
      <c r="A470" s="2" t="n"/>
      <c r="B470" s="2" t="n"/>
      <c r="C470" s="2" t="n"/>
      <c r="D470" s="2" t="n"/>
      <c r="E470" s="2" t="n"/>
      <c r="F470" s="2" t="n"/>
      <c r="G470" s="2" t="n"/>
    </row>
    <row r="471" ht="14.25" customHeight="1" s="74">
      <c r="A471" s="2" t="n"/>
      <c r="B471" s="2" t="n"/>
      <c r="C471" s="2" t="n"/>
      <c r="D471" s="2" t="n"/>
      <c r="E471" s="2" t="n"/>
      <c r="F471" s="2" t="n"/>
      <c r="G471" s="2" t="n"/>
    </row>
    <row r="472" ht="14.25" customHeight="1" s="74">
      <c r="A472" s="2" t="n"/>
      <c r="B472" s="2" t="n"/>
      <c r="C472" s="2" t="n"/>
      <c r="D472" s="2" t="n"/>
      <c r="E472" s="2" t="n"/>
      <c r="F472" s="2" t="n"/>
      <c r="G472" s="2" t="n"/>
    </row>
    <row r="473" ht="14.25" customHeight="1" s="74">
      <c r="A473" s="2" t="n"/>
      <c r="B473" s="2" t="n"/>
      <c r="C473" s="2" t="n"/>
      <c r="D473" s="2" t="n"/>
      <c r="E473" s="2" t="n"/>
      <c r="F473" s="2" t="n"/>
      <c r="G473" s="2" t="n"/>
    </row>
    <row r="474" ht="14.25" customHeight="1" s="74">
      <c r="A474" s="2" t="n"/>
      <c r="B474" s="2" t="n"/>
      <c r="C474" s="2" t="n"/>
      <c r="D474" s="2" t="n"/>
      <c r="E474" s="2" t="n"/>
      <c r="F474" s="2" t="n"/>
      <c r="G474" s="2" t="n"/>
    </row>
    <row r="475" ht="14.25" customHeight="1" s="74">
      <c r="A475" s="2" t="n"/>
      <c r="B475" s="2" t="n"/>
      <c r="C475" s="2" t="n"/>
      <c r="D475" s="2" t="n"/>
      <c r="E475" s="2" t="n"/>
      <c r="F475" s="2" t="n"/>
      <c r="G475" s="2" t="n"/>
    </row>
    <row r="476" ht="14.25" customHeight="1" s="74">
      <c r="A476" s="2" t="n"/>
      <c r="B476" s="2" t="n"/>
      <c r="C476" s="2" t="n"/>
      <c r="D476" s="2" t="n"/>
      <c r="E476" s="2" t="n"/>
      <c r="F476" s="2" t="n"/>
      <c r="G476" s="2" t="n"/>
    </row>
    <row r="477" ht="14.25" customHeight="1" s="74">
      <c r="A477" s="2" t="n"/>
      <c r="B477" s="2" t="n"/>
      <c r="C477" s="2" t="n"/>
      <c r="D477" s="2" t="n"/>
      <c r="E477" s="2" t="n"/>
      <c r="F477" s="2" t="n"/>
      <c r="G477" s="2" t="n"/>
    </row>
    <row r="478" ht="14.25" customHeight="1" s="74">
      <c r="A478" s="2" t="n"/>
      <c r="B478" s="2" t="n"/>
      <c r="C478" s="2" t="n"/>
      <c r="D478" s="2" t="n"/>
      <c r="E478" s="2" t="n"/>
      <c r="F478" s="2" t="n"/>
      <c r="G478" s="2" t="n"/>
    </row>
    <row r="479" ht="14.25" customHeight="1" s="74">
      <c r="A479" s="2" t="n"/>
      <c r="B479" s="2" t="n"/>
      <c r="C479" s="2" t="n"/>
      <c r="D479" s="2" t="n"/>
      <c r="E479" s="2" t="n"/>
      <c r="F479" s="2" t="n"/>
      <c r="G479" s="2" t="n"/>
    </row>
    <row r="480" ht="14.25" customHeight="1" s="74">
      <c r="A480" s="2" t="n"/>
      <c r="B480" s="2" t="n"/>
      <c r="C480" s="2" t="n"/>
      <c r="D480" s="2" t="n"/>
      <c r="E480" s="2" t="n"/>
      <c r="F480" s="2" t="n"/>
      <c r="G480" s="2" t="n"/>
    </row>
    <row r="481" ht="14.25" customHeight="1" s="74">
      <c r="A481" s="2" t="n"/>
      <c r="B481" s="2" t="n"/>
      <c r="C481" s="2" t="n"/>
      <c r="D481" s="2" t="n"/>
      <c r="E481" s="2" t="n"/>
      <c r="F481" s="2" t="n"/>
      <c r="G481" s="2" t="n"/>
    </row>
    <row r="482" ht="14.25" customHeight="1" s="74">
      <c r="A482" s="2" t="n"/>
      <c r="B482" s="2" t="n"/>
      <c r="C482" s="2" t="n"/>
      <c r="D482" s="2" t="n"/>
      <c r="E482" s="2" t="n"/>
      <c r="F482" s="2" t="n"/>
      <c r="G482" s="2" t="n"/>
    </row>
    <row r="483" ht="14.25" customHeight="1" s="74">
      <c r="A483" s="2" t="n"/>
      <c r="B483" s="2" t="n"/>
      <c r="C483" s="2" t="n"/>
      <c r="D483" s="2" t="n"/>
      <c r="E483" s="2" t="n"/>
      <c r="F483" s="2" t="n"/>
      <c r="G483" s="2" t="n"/>
    </row>
    <row r="484" ht="14.25" customHeight="1" s="74">
      <c r="A484" s="2" t="n"/>
      <c r="B484" s="2" t="n"/>
      <c r="C484" s="2" t="n"/>
      <c r="D484" s="2" t="n"/>
      <c r="E484" s="2" t="n"/>
      <c r="F484" s="2" t="n"/>
      <c r="G484" s="2" t="n"/>
    </row>
    <row r="485" ht="14.25" customHeight="1" s="74">
      <c r="A485" s="2" t="n"/>
      <c r="B485" s="2" t="n"/>
      <c r="C485" s="2" t="n"/>
      <c r="D485" s="2" t="n"/>
      <c r="E485" s="2" t="n"/>
      <c r="F485" s="2" t="n"/>
      <c r="G485" s="2" t="n"/>
    </row>
    <row r="486" ht="14.25" customHeight="1" s="74">
      <c r="A486" s="2" t="n"/>
      <c r="B486" s="2" t="n"/>
      <c r="C486" s="2" t="n"/>
      <c r="D486" s="2" t="n"/>
      <c r="E486" s="2" t="n"/>
      <c r="F486" s="2" t="n"/>
      <c r="G486" s="2" t="n"/>
    </row>
    <row r="487" ht="14.25" customHeight="1" s="74">
      <c r="A487" s="2" t="n"/>
      <c r="B487" s="2" t="n"/>
      <c r="C487" s="2" t="n"/>
      <c r="D487" s="2" t="n"/>
      <c r="E487" s="2" t="n"/>
      <c r="F487" s="2" t="n"/>
      <c r="G487" s="2" t="n"/>
    </row>
    <row r="488" ht="14.25" customHeight="1" s="74">
      <c r="A488" s="2" t="n"/>
      <c r="B488" s="2" t="n"/>
      <c r="C488" s="2" t="n"/>
      <c r="D488" s="2" t="n"/>
      <c r="E488" s="2" t="n"/>
      <c r="F488" s="2" t="n"/>
      <c r="G488" s="2" t="n"/>
    </row>
    <row r="489" ht="14.25" customHeight="1" s="74">
      <c r="A489" s="2" t="n"/>
      <c r="B489" s="2" t="n"/>
      <c r="C489" s="2" t="n"/>
      <c r="D489" s="2" t="n"/>
      <c r="E489" s="2" t="n"/>
      <c r="F489" s="2" t="n"/>
      <c r="G489" s="2" t="n"/>
    </row>
    <row r="490" ht="14.25" customHeight="1" s="74">
      <c r="A490" s="2" t="n"/>
      <c r="B490" s="2" t="n"/>
      <c r="C490" s="2" t="n"/>
      <c r="D490" s="2" t="n"/>
      <c r="E490" s="2" t="n"/>
      <c r="F490" s="2" t="n"/>
      <c r="G490" s="2" t="n"/>
    </row>
    <row r="491" ht="14.25" customHeight="1" s="74">
      <c r="A491" s="2" t="n"/>
      <c r="B491" s="2" t="n"/>
      <c r="C491" s="2" t="n"/>
      <c r="D491" s="2" t="n"/>
      <c r="E491" s="2" t="n"/>
      <c r="F491" s="2" t="n"/>
      <c r="G491" s="2" t="n"/>
    </row>
    <row r="492" ht="14.25" customHeight="1" s="74">
      <c r="A492" s="2" t="n"/>
      <c r="B492" s="2" t="n"/>
      <c r="C492" s="2" t="n"/>
      <c r="D492" s="2" t="n"/>
      <c r="E492" s="2" t="n"/>
      <c r="F492" s="2" t="n"/>
      <c r="G492" s="2" t="n"/>
    </row>
    <row r="493" ht="14.25" customHeight="1" s="74">
      <c r="A493" s="2" t="n"/>
      <c r="B493" s="2" t="n"/>
      <c r="C493" s="2" t="n"/>
      <c r="D493" s="2" t="n"/>
      <c r="E493" s="2" t="n"/>
      <c r="F493" s="2" t="n"/>
      <c r="G493" s="2" t="n"/>
    </row>
    <row r="494" ht="14.25" customHeight="1" s="74">
      <c r="A494" s="2" t="n"/>
      <c r="B494" s="2" t="n"/>
      <c r="C494" s="2" t="n"/>
      <c r="D494" s="2" t="n"/>
      <c r="E494" s="2" t="n"/>
      <c r="F494" s="2" t="n"/>
      <c r="G494" s="2" t="n"/>
    </row>
    <row r="495" ht="14.25" customHeight="1" s="74">
      <c r="A495" s="2" t="n"/>
      <c r="B495" s="2" t="n"/>
      <c r="C495" s="2" t="n"/>
      <c r="D495" s="2" t="n"/>
      <c r="E495" s="2" t="n"/>
      <c r="F495" s="2" t="n"/>
      <c r="G495" s="2" t="n"/>
    </row>
    <row r="496" ht="14.25" customHeight="1" s="74">
      <c r="A496" s="2" t="n"/>
      <c r="B496" s="2" t="n"/>
      <c r="C496" s="2" t="n"/>
      <c r="D496" s="2" t="n"/>
      <c r="E496" s="2" t="n"/>
      <c r="F496" s="2" t="n"/>
      <c r="G496" s="2" t="n"/>
    </row>
    <row r="497" ht="14.25" customHeight="1" s="74">
      <c r="A497" s="2" t="n"/>
      <c r="B497" s="2" t="n"/>
      <c r="C497" s="2" t="n"/>
      <c r="D497" s="2" t="n"/>
      <c r="E497" s="2" t="n"/>
      <c r="F497" s="2" t="n"/>
      <c r="G497" s="2" t="n"/>
    </row>
    <row r="498" ht="14.25" customHeight="1" s="74">
      <c r="A498" s="2" t="n"/>
      <c r="B498" s="2" t="n"/>
      <c r="C498" s="2" t="n"/>
      <c r="D498" s="2" t="n"/>
      <c r="E498" s="2" t="n"/>
      <c r="F498" s="2" t="n"/>
      <c r="G498" s="2" t="n"/>
    </row>
    <row r="499" ht="14.25" customHeight="1" s="74">
      <c r="A499" s="2" t="n"/>
      <c r="B499" s="2" t="n"/>
      <c r="C499" s="2" t="n"/>
      <c r="D499" s="2" t="n"/>
      <c r="E499" s="2" t="n"/>
      <c r="F499" s="2" t="n"/>
      <c r="G499" s="2" t="n"/>
    </row>
    <row r="500" ht="14.25" customHeight="1" s="74">
      <c r="A500" s="2" t="n"/>
      <c r="B500" s="2" t="n"/>
      <c r="C500" s="2" t="n"/>
      <c r="D500" s="2" t="n"/>
      <c r="E500" s="2" t="n"/>
      <c r="F500" s="2" t="n"/>
      <c r="G500" s="2" t="n"/>
    </row>
    <row r="501" ht="14.25" customHeight="1" s="74">
      <c r="A501" s="2" t="n"/>
      <c r="B501" s="2" t="n"/>
      <c r="C501" s="2" t="n"/>
      <c r="D501" s="2" t="n"/>
      <c r="E501" s="2" t="n"/>
      <c r="F501" s="2" t="n"/>
      <c r="G501" s="2" t="n"/>
    </row>
    <row r="502" ht="14.25" customHeight="1" s="74">
      <c r="A502" s="2" t="n"/>
      <c r="B502" s="2" t="n"/>
      <c r="C502" s="2" t="n"/>
      <c r="D502" s="2" t="n"/>
      <c r="E502" s="2" t="n"/>
      <c r="F502" s="2" t="n"/>
      <c r="G502" s="2" t="n"/>
    </row>
    <row r="503" ht="14.25" customHeight="1" s="74">
      <c r="A503" s="2" t="n"/>
      <c r="B503" s="2" t="n"/>
      <c r="C503" s="2" t="n"/>
      <c r="D503" s="2" t="n"/>
      <c r="E503" s="2" t="n"/>
      <c r="F503" s="2" t="n"/>
      <c r="G503" s="2" t="n"/>
    </row>
    <row r="504" ht="14.25" customHeight="1" s="74">
      <c r="A504" s="2" t="n"/>
      <c r="B504" s="2" t="n"/>
      <c r="C504" s="2" t="n"/>
      <c r="D504" s="2" t="n"/>
      <c r="E504" s="2" t="n"/>
      <c r="F504" s="2" t="n"/>
      <c r="G504" s="2" t="n"/>
    </row>
    <row r="505" ht="14.25" customHeight="1" s="74">
      <c r="A505" s="2" t="n"/>
      <c r="B505" s="2" t="n"/>
      <c r="C505" s="2" t="n"/>
      <c r="D505" s="2" t="n"/>
      <c r="E505" s="2" t="n"/>
      <c r="F505" s="2" t="n"/>
      <c r="G505" s="2" t="n"/>
    </row>
    <row r="506" ht="14.25" customHeight="1" s="74">
      <c r="A506" s="2" t="n"/>
      <c r="B506" s="2" t="n"/>
      <c r="C506" s="2" t="n"/>
      <c r="D506" s="2" t="n"/>
      <c r="E506" s="2" t="n"/>
      <c r="F506" s="2" t="n"/>
      <c r="G506" s="2" t="n"/>
    </row>
    <row r="507" ht="14.25" customHeight="1" s="74">
      <c r="A507" s="2" t="n"/>
      <c r="B507" s="2" t="n"/>
      <c r="C507" s="2" t="n"/>
      <c r="D507" s="2" t="n"/>
      <c r="E507" s="2" t="n"/>
      <c r="F507" s="2" t="n"/>
      <c r="G507" s="2" t="n"/>
    </row>
    <row r="508" ht="14.25" customHeight="1" s="74">
      <c r="A508" s="2" t="n"/>
      <c r="B508" s="2" t="n"/>
      <c r="C508" s="2" t="n"/>
      <c r="D508" s="2" t="n"/>
      <c r="E508" s="2" t="n"/>
      <c r="F508" s="2" t="n"/>
      <c r="G508" s="2" t="n"/>
    </row>
    <row r="509" ht="14.25" customHeight="1" s="74">
      <c r="A509" s="2" t="n"/>
      <c r="B509" s="2" t="n"/>
      <c r="C509" s="2" t="n"/>
      <c r="D509" s="2" t="n"/>
      <c r="E509" s="2" t="n"/>
      <c r="F509" s="2" t="n"/>
      <c r="G509" s="2" t="n"/>
    </row>
    <row r="510" ht="14.25" customHeight="1" s="74">
      <c r="A510" s="2" t="n"/>
      <c r="B510" s="2" t="n"/>
      <c r="C510" s="2" t="n"/>
      <c r="D510" s="2" t="n"/>
      <c r="E510" s="2" t="n"/>
      <c r="F510" s="2" t="n"/>
      <c r="G510" s="2" t="n"/>
    </row>
    <row r="511" ht="14.25" customHeight="1" s="74">
      <c r="A511" s="2" t="n"/>
      <c r="B511" s="2" t="n"/>
      <c r="C511" s="2" t="n"/>
      <c r="D511" s="2" t="n"/>
      <c r="E511" s="2" t="n"/>
      <c r="F511" s="2" t="n"/>
      <c r="G511" s="2" t="n"/>
    </row>
    <row r="512" ht="14.25" customHeight="1" s="74">
      <c r="A512" s="2" t="n"/>
      <c r="B512" s="2" t="n"/>
      <c r="C512" s="2" t="n"/>
      <c r="D512" s="2" t="n"/>
      <c r="E512" s="2" t="n"/>
      <c r="F512" s="2" t="n"/>
      <c r="G512" s="2" t="n"/>
    </row>
    <row r="513" ht="14.25" customHeight="1" s="74">
      <c r="A513" s="2" t="n"/>
      <c r="B513" s="2" t="n"/>
      <c r="C513" s="2" t="n"/>
      <c r="D513" s="2" t="n"/>
      <c r="E513" s="2" t="n"/>
      <c r="F513" s="2" t="n"/>
      <c r="G513" s="2" t="n"/>
    </row>
    <row r="514" ht="14.25" customHeight="1" s="74">
      <c r="A514" s="2" t="n"/>
      <c r="B514" s="2" t="n"/>
      <c r="C514" s="2" t="n"/>
      <c r="D514" s="2" t="n"/>
      <c r="E514" s="2" t="n"/>
      <c r="F514" s="2" t="n"/>
      <c r="G514" s="2" t="n"/>
    </row>
    <row r="515" ht="14.25" customHeight="1" s="74">
      <c r="A515" s="2" t="n"/>
      <c r="B515" s="2" t="n"/>
      <c r="C515" s="2" t="n"/>
      <c r="D515" s="2" t="n"/>
      <c r="E515" s="2" t="n"/>
      <c r="F515" s="2" t="n"/>
      <c r="G515" s="2" t="n"/>
    </row>
    <row r="516" ht="14.25" customHeight="1" s="74">
      <c r="A516" s="2" t="n"/>
      <c r="B516" s="2" t="n"/>
      <c r="C516" s="2" t="n"/>
      <c r="D516" s="2" t="n"/>
      <c r="E516" s="2" t="n"/>
      <c r="F516" s="2" t="n"/>
      <c r="G516" s="2" t="n"/>
    </row>
    <row r="517" ht="14.25" customHeight="1" s="74">
      <c r="A517" s="2" t="n"/>
      <c r="B517" s="2" t="n"/>
      <c r="C517" s="2" t="n"/>
      <c r="D517" s="2" t="n"/>
      <c r="E517" s="2" t="n"/>
      <c r="F517" s="2" t="n"/>
      <c r="G517" s="2" t="n"/>
    </row>
    <row r="518" ht="14.25" customHeight="1" s="74">
      <c r="A518" s="2" t="n"/>
      <c r="B518" s="2" t="n"/>
      <c r="C518" s="2" t="n"/>
      <c r="D518" s="2" t="n"/>
      <c r="E518" s="2" t="n"/>
      <c r="F518" s="2" t="n"/>
      <c r="G518" s="2" t="n"/>
    </row>
    <row r="519" ht="14.25" customHeight="1" s="74">
      <c r="A519" s="2" t="n"/>
      <c r="B519" s="2" t="n"/>
      <c r="C519" s="2" t="n"/>
      <c r="D519" s="2" t="n"/>
      <c r="E519" s="2" t="n"/>
      <c r="F519" s="2" t="n"/>
      <c r="G519" s="2" t="n"/>
    </row>
    <row r="520" ht="14.25" customHeight="1" s="74">
      <c r="A520" s="2" t="n"/>
      <c r="B520" s="2" t="n"/>
      <c r="C520" s="2" t="n"/>
      <c r="D520" s="2" t="n"/>
      <c r="E520" s="2" t="n"/>
      <c r="F520" s="2" t="n"/>
      <c r="G520" s="2" t="n"/>
    </row>
    <row r="521" ht="14.25" customHeight="1" s="74">
      <c r="A521" s="2" t="n"/>
      <c r="B521" s="2" t="n"/>
      <c r="C521" s="2" t="n"/>
      <c r="D521" s="2" t="n"/>
      <c r="E521" s="2" t="n"/>
      <c r="F521" s="2" t="n"/>
      <c r="G521" s="2" t="n"/>
    </row>
    <row r="522" ht="14.25" customHeight="1" s="74">
      <c r="A522" s="2" t="n"/>
      <c r="B522" s="2" t="n"/>
      <c r="C522" s="2" t="n"/>
      <c r="D522" s="2" t="n"/>
      <c r="E522" s="2" t="n"/>
      <c r="F522" s="2" t="n"/>
      <c r="G522" s="2" t="n"/>
    </row>
    <row r="523" ht="14.25" customHeight="1" s="74">
      <c r="A523" s="2" t="n"/>
      <c r="B523" s="2" t="n"/>
      <c r="C523" s="2" t="n"/>
      <c r="D523" s="2" t="n"/>
      <c r="E523" s="2" t="n"/>
      <c r="F523" s="2" t="n"/>
      <c r="G523" s="2" t="n"/>
    </row>
    <row r="524" ht="14.25" customHeight="1" s="74">
      <c r="A524" s="2" t="n"/>
      <c r="B524" s="2" t="n"/>
      <c r="C524" s="2" t="n"/>
      <c r="D524" s="2" t="n"/>
      <c r="E524" s="2" t="n"/>
      <c r="F524" s="2" t="n"/>
      <c r="G524" s="2" t="n"/>
    </row>
    <row r="525" ht="14.25" customHeight="1" s="74">
      <c r="A525" s="2" t="n"/>
      <c r="B525" s="2" t="n"/>
      <c r="C525" s="2" t="n"/>
      <c r="D525" s="2" t="n"/>
      <c r="E525" s="2" t="n"/>
      <c r="F525" s="2" t="n"/>
      <c r="G525" s="2" t="n"/>
    </row>
    <row r="526" ht="14.25" customHeight="1" s="74">
      <c r="A526" s="2" t="n"/>
      <c r="B526" s="2" t="n"/>
      <c r="C526" s="2" t="n"/>
      <c r="D526" s="2" t="n"/>
      <c r="E526" s="2" t="n"/>
      <c r="F526" s="2" t="n"/>
      <c r="G526" s="2" t="n"/>
    </row>
    <row r="527" ht="14.25" customHeight="1" s="74">
      <c r="A527" s="2" t="n"/>
      <c r="B527" s="2" t="n"/>
      <c r="C527" s="2" t="n"/>
      <c r="D527" s="2" t="n"/>
      <c r="E527" s="2" t="n"/>
      <c r="F527" s="2" t="n"/>
      <c r="G527" s="2" t="n"/>
    </row>
    <row r="528" ht="14.25" customHeight="1" s="74">
      <c r="A528" s="2" t="n"/>
      <c r="B528" s="2" t="n"/>
      <c r="C528" s="2" t="n"/>
      <c r="D528" s="2" t="n"/>
      <c r="E528" s="2" t="n"/>
      <c r="F528" s="2" t="n"/>
      <c r="G528" s="2" t="n"/>
    </row>
    <row r="529" ht="14.25" customHeight="1" s="74">
      <c r="A529" s="2" t="n"/>
      <c r="B529" s="2" t="n"/>
      <c r="C529" s="2" t="n"/>
      <c r="D529" s="2" t="n"/>
      <c r="E529" s="2" t="n"/>
      <c r="F529" s="2" t="n"/>
      <c r="G529" s="2" t="n"/>
    </row>
    <row r="530" ht="14.25" customHeight="1" s="74">
      <c r="A530" s="2" t="n"/>
      <c r="B530" s="2" t="n"/>
      <c r="C530" s="2" t="n"/>
      <c r="D530" s="2" t="n"/>
      <c r="E530" s="2" t="n"/>
      <c r="F530" s="2" t="n"/>
      <c r="G530" s="2" t="n"/>
    </row>
    <row r="531" ht="14.25" customHeight="1" s="74">
      <c r="A531" s="2" t="n"/>
      <c r="B531" s="2" t="n"/>
      <c r="C531" s="2" t="n"/>
      <c r="D531" s="2" t="n"/>
      <c r="E531" s="2" t="n"/>
      <c r="F531" s="2" t="n"/>
      <c r="G531" s="2" t="n"/>
    </row>
    <row r="532" ht="14.25" customHeight="1" s="74">
      <c r="A532" s="2" t="n"/>
      <c r="B532" s="2" t="n"/>
      <c r="C532" s="2" t="n"/>
      <c r="D532" s="2" t="n"/>
      <c r="E532" s="2" t="n"/>
      <c r="F532" s="2" t="n"/>
      <c r="G532" s="2" t="n"/>
    </row>
    <row r="533" ht="14.25" customHeight="1" s="74">
      <c r="A533" s="2" t="n"/>
      <c r="B533" s="2" t="n"/>
      <c r="C533" s="2" t="n"/>
      <c r="D533" s="2" t="n"/>
      <c r="E533" s="2" t="n"/>
      <c r="F533" s="2" t="n"/>
      <c r="G533" s="2" t="n"/>
    </row>
    <row r="534" ht="14.25" customHeight="1" s="74">
      <c r="A534" s="2" t="n"/>
      <c r="B534" s="2" t="n"/>
      <c r="C534" s="2" t="n"/>
      <c r="D534" s="2" t="n"/>
      <c r="E534" s="2" t="n"/>
      <c r="F534" s="2" t="n"/>
      <c r="G534" s="2" t="n"/>
    </row>
    <row r="535" ht="14.25" customHeight="1" s="74">
      <c r="A535" s="2" t="n"/>
      <c r="B535" s="2" t="n"/>
      <c r="C535" s="2" t="n"/>
      <c r="D535" s="2" t="n"/>
      <c r="E535" s="2" t="n"/>
      <c r="F535" s="2" t="n"/>
      <c r="G535" s="2" t="n"/>
    </row>
    <row r="536" ht="14.25" customHeight="1" s="74">
      <c r="A536" s="2" t="n"/>
      <c r="B536" s="2" t="n"/>
      <c r="C536" s="2" t="n"/>
      <c r="D536" s="2" t="n"/>
      <c r="E536" s="2" t="n"/>
      <c r="F536" s="2" t="n"/>
      <c r="G536" s="2" t="n"/>
    </row>
    <row r="537" ht="14.25" customHeight="1" s="74">
      <c r="A537" s="2" t="n"/>
      <c r="B537" s="2" t="n"/>
      <c r="C537" s="2" t="n"/>
      <c r="D537" s="2" t="n"/>
      <c r="E537" s="2" t="n"/>
      <c r="F537" s="2" t="n"/>
      <c r="G537" s="2" t="n"/>
    </row>
    <row r="538" ht="14.25" customHeight="1" s="74">
      <c r="A538" s="2" t="n"/>
      <c r="B538" s="2" t="n"/>
      <c r="C538" s="2" t="n"/>
      <c r="D538" s="2" t="n"/>
      <c r="E538" s="2" t="n"/>
      <c r="F538" s="2" t="n"/>
      <c r="G538" s="2" t="n"/>
    </row>
    <row r="539" ht="14.25" customHeight="1" s="74">
      <c r="A539" s="2" t="n"/>
      <c r="B539" s="2" t="n"/>
      <c r="C539" s="2" t="n"/>
      <c r="D539" s="2" t="n"/>
      <c r="E539" s="2" t="n"/>
      <c r="F539" s="2" t="n"/>
      <c r="G539" s="2" t="n"/>
    </row>
    <row r="540" ht="14.25" customHeight="1" s="74">
      <c r="A540" s="2" t="n"/>
      <c r="B540" s="2" t="n"/>
      <c r="C540" s="2" t="n"/>
      <c r="D540" s="2" t="n"/>
      <c r="E540" s="2" t="n"/>
      <c r="F540" s="2" t="n"/>
      <c r="G540" s="2" t="n"/>
    </row>
    <row r="541" ht="14.25" customHeight="1" s="74">
      <c r="A541" s="2" t="n"/>
      <c r="B541" s="2" t="n"/>
      <c r="C541" s="2" t="n"/>
      <c r="D541" s="2" t="n"/>
      <c r="E541" s="2" t="n"/>
      <c r="F541" s="2" t="n"/>
      <c r="G541" s="2" t="n"/>
    </row>
    <row r="542" ht="14.25" customHeight="1" s="74">
      <c r="A542" s="2" t="n"/>
      <c r="B542" s="2" t="n"/>
      <c r="C542" s="2" t="n"/>
      <c r="D542" s="2" t="n"/>
      <c r="E542" s="2" t="n"/>
      <c r="F542" s="2" t="n"/>
      <c r="G542" s="2" t="n"/>
    </row>
    <row r="543" ht="14.25" customHeight="1" s="74">
      <c r="A543" s="2" t="n"/>
      <c r="B543" s="2" t="n"/>
      <c r="C543" s="2" t="n"/>
      <c r="D543" s="2" t="n"/>
      <c r="E543" s="2" t="n"/>
      <c r="F543" s="2" t="n"/>
      <c r="G543" s="2" t="n"/>
    </row>
    <row r="544" ht="14.25" customHeight="1" s="74">
      <c r="A544" s="2" t="n"/>
      <c r="B544" s="2" t="n"/>
      <c r="C544" s="2" t="n"/>
      <c r="D544" s="2" t="n"/>
      <c r="E544" s="2" t="n"/>
      <c r="F544" s="2" t="n"/>
      <c r="G544" s="2" t="n"/>
    </row>
    <row r="545" ht="14.25" customHeight="1" s="74">
      <c r="A545" s="2" t="n"/>
      <c r="B545" s="2" t="n"/>
      <c r="C545" s="2" t="n"/>
      <c r="D545" s="2" t="n"/>
      <c r="E545" s="2" t="n"/>
      <c r="F545" s="2" t="n"/>
      <c r="G545" s="2" t="n"/>
    </row>
    <row r="546" ht="14.25" customHeight="1" s="74">
      <c r="A546" s="2" t="n"/>
      <c r="B546" s="2" t="n"/>
      <c r="C546" s="2" t="n"/>
      <c r="D546" s="2" t="n"/>
      <c r="E546" s="2" t="n"/>
      <c r="F546" s="2" t="n"/>
      <c r="G546" s="2" t="n"/>
    </row>
    <row r="547" ht="14.25" customHeight="1" s="74">
      <c r="A547" s="2" t="n"/>
      <c r="B547" s="2" t="n"/>
      <c r="C547" s="2" t="n"/>
      <c r="D547" s="2" t="n"/>
      <c r="E547" s="2" t="n"/>
      <c r="F547" s="2" t="n"/>
      <c r="G547" s="2" t="n"/>
    </row>
    <row r="548" ht="14.25" customHeight="1" s="74">
      <c r="A548" s="2" t="n"/>
      <c r="B548" s="2" t="n"/>
      <c r="C548" s="2" t="n"/>
      <c r="D548" s="2" t="n"/>
      <c r="E548" s="2" t="n"/>
      <c r="F548" s="2" t="n"/>
      <c r="G548" s="2" t="n"/>
    </row>
    <row r="549" ht="14.25" customHeight="1" s="74">
      <c r="A549" s="2" t="n"/>
      <c r="B549" s="2" t="n"/>
      <c r="C549" s="2" t="n"/>
      <c r="D549" s="2" t="n"/>
      <c r="E549" s="2" t="n"/>
      <c r="F549" s="2" t="n"/>
      <c r="G549" s="2" t="n"/>
    </row>
    <row r="550" ht="14.25" customHeight="1" s="74">
      <c r="A550" s="2" t="n"/>
      <c r="B550" s="2" t="n"/>
      <c r="C550" s="2" t="n"/>
      <c r="D550" s="2" t="n"/>
      <c r="E550" s="2" t="n"/>
      <c r="F550" s="2" t="n"/>
      <c r="G550" s="2" t="n"/>
    </row>
    <row r="551" ht="14.25" customHeight="1" s="74">
      <c r="A551" s="2" t="n"/>
      <c r="B551" s="2" t="n"/>
      <c r="C551" s="2" t="n"/>
      <c r="D551" s="2" t="n"/>
      <c r="E551" s="2" t="n"/>
      <c r="F551" s="2" t="n"/>
      <c r="G551" s="2" t="n"/>
    </row>
    <row r="552" ht="14.25" customHeight="1" s="74">
      <c r="A552" s="2" t="n"/>
      <c r="B552" s="2" t="n"/>
      <c r="C552" s="2" t="n"/>
      <c r="D552" s="2" t="n"/>
      <c r="E552" s="2" t="n"/>
      <c r="F552" s="2" t="n"/>
      <c r="G552" s="2" t="n"/>
    </row>
    <row r="553" ht="14.25" customHeight="1" s="74">
      <c r="A553" s="2" t="n"/>
      <c r="B553" s="2" t="n"/>
      <c r="C553" s="2" t="n"/>
      <c r="D553" s="2" t="n"/>
      <c r="E553" s="2" t="n"/>
      <c r="F553" s="2" t="n"/>
      <c r="G553" s="2" t="n"/>
    </row>
    <row r="554" ht="14.25" customHeight="1" s="74">
      <c r="A554" s="2" t="n"/>
      <c r="B554" s="2" t="n"/>
      <c r="C554" s="2" t="n"/>
      <c r="D554" s="2" t="n"/>
      <c r="E554" s="2" t="n"/>
      <c r="F554" s="2" t="n"/>
      <c r="G554" s="2" t="n"/>
    </row>
    <row r="555" ht="14.25" customHeight="1" s="74">
      <c r="A555" s="2" t="n"/>
      <c r="B555" s="2" t="n"/>
      <c r="C555" s="2" t="n"/>
      <c r="D555" s="2" t="n"/>
      <c r="E555" s="2" t="n"/>
      <c r="F555" s="2" t="n"/>
      <c r="G555" s="2" t="n"/>
    </row>
    <row r="556" ht="14.25" customHeight="1" s="74">
      <c r="A556" s="2" t="n"/>
      <c r="B556" s="2" t="n"/>
      <c r="C556" s="2" t="n"/>
      <c r="D556" s="2" t="n"/>
      <c r="E556" s="2" t="n"/>
      <c r="F556" s="2" t="n"/>
      <c r="G556" s="2" t="n"/>
    </row>
    <row r="557" ht="14.25" customHeight="1" s="74">
      <c r="A557" s="2" t="n"/>
      <c r="B557" s="2" t="n"/>
      <c r="C557" s="2" t="n"/>
      <c r="D557" s="2" t="n"/>
      <c r="E557" s="2" t="n"/>
      <c r="F557" s="2" t="n"/>
      <c r="G557" s="2" t="n"/>
    </row>
    <row r="558" ht="14.25" customHeight="1" s="74">
      <c r="A558" s="2" t="n"/>
      <c r="B558" s="2" t="n"/>
      <c r="C558" s="2" t="n"/>
      <c r="D558" s="2" t="n"/>
      <c r="E558" s="2" t="n"/>
      <c r="F558" s="2" t="n"/>
      <c r="G558" s="2" t="n"/>
    </row>
    <row r="559" ht="14.25" customHeight="1" s="74">
      <c r="A559" s="2" t="n"/>
      <c r="B559" s="2" t="n"/>
      <c r="C559" s="2" t="n"/>
      <c r="D559" s="2" t="n"/>
      <c r="E559" s="2" t="n"/>
      <c r="F559" s="2" t="n"/>
      <c r="G559" s="2" t="n"/>
    </row>
    <row r="560" ht="14.25" customHeight="1" s="74">
      <c r="A560" s="2" t="n"/>
      <c r="B560" s="2" t="n"/>
      <c r="C560" s="2" t="n"/>
      <c r="D560" s="2" t="n"/>
      <c r="E560" s="2" t="n"/>
      <c r="F560" s="2" t="n"/>
      <c r="G560" s="2" t="n"/>
    </row>
    <row r="561" ht="14.25" customHeight="1" s="74">
      <c r="A561" s="2" t="n"/>
      <c r="B561" s="2" t="n"/>
      <c r="C561" s="2" t="n"/>
      <c r="D561" s="2" t="n"/>
      <c r="E561" s="2" t="n"/>
      <c r="F561" s="2" t="n"/>
      <c r="G561" s="2" t="n"/>
    </row>
    <row r="562" ht="14.25" customHeight="1" s="74">
      <c r="A562" s="2" t="n"/>
      <c r="B562" s="2" t="n"/>
      <c r="C562" s="2" t="n"/>
      <c r="D562" s="2" t="n"/>
      <c r="E562" s="2" t="n"/>
      <c r="F562" s="2" t="n"/>
      <c r="G562" s="2" t="n"/>
    </row>
    <row r="563" ht="14.25" customHeight="1" s="74">
      <c r="A563" s="2" t="n"/>
      <c r="B563" s="2" t="n"/>
      <c r="C563" s="2" t="n"/>
      <c r="D563" s="2" t="n"/>
      <c r="E563" s="2" t="n"/>
      <c r="F563" s="2" t="n"/>
      <c r="G563" s="2" t="n"/>
    </row>
    <row r="564" ht="14.25" customHeight="1" s="74">
      <c r="A564" s="2" t="n"/>
      <c r="B564" s="2" t="n"/>
      <c r="C564" s="2" t="n"/>
      <c r="D564" s="2" t="n"/>
      <c r="E564" s="2" t="n"/>
      <c r="F564" s="2" t="n"/>
      <c r="G564" s="2" t="n"/>
    </row>
    <row r="565" ht="14.25" customHeight="1" s="74">
      <c r="A565" s="2" t="n"/>
      <c r="B565" s="2" t="n"/>
      <c r="C565" s="2" t="n"/>
      <c r="D565" s="2" t="n"/>
      <c r="E565" s="2" t="n"/>
      <c r="F565" s="2" t="n"/>
      <c r="G565" s="2" t="n"/>
    </row>
    <row r="566" ht="14.25" customHeight="1" s="74">
      <c r="A566" s="2" t="n"/>
      <c r="B566" s="2" t="n"/>
      <c r="C566" s="2" t="n"/>
      <c r="D566" s="2" t="n"/>
      <c r="E566" s="2" t="n"/>
      <c r="F566" s="2" t="n"/>
      <c r="G566" s="2" t="n"/>
    </row>
    <row r="567" ht="14.25" customHeight="1" s="74">
      <c r="A567" s="2" t="n"/>
      <c r="B567" s="2" t="n"/>
      <c r="C567" s="2" t="n"/>
      <c r="D567" s="2" t="n"/>
      <c r="E567" s="2" t="n"/>
      <c r="F567" s="2" t="n"/>
      <c r="G567" s="2" t="n"/>
    </row>
    <row r="568" ht="14.25" customHeight="1" s="74">
      <c r="A568" s="2" t="n"/>
      <c r="B568" s="2" t="n"/>
      <c r="C568" s="2" t="n"/>
      <c r="D568" s="2" t="n"/>
      <c r="E568" s="2" t="n"/>
      <c r="F568" s="2" t="n"/>
      <c r="G568" s="2" t="n"/>
    </row>
    <row r="569" ht="14.25" customHeight="1" s="74">
      <c r="A569" s="2" t="n"/>
      <c r="B569" s="2" t="n"/>
      <c r="C569" s="2" t="n"/>
      <c r="D569" s="2" t="n"/>
      <c r="E569" s="2" t="n"/>
      <c r="F569" s="2" t="n"/>
      <c r="G569" s="2" t="n"/>
    </row>
    <row r="570" ht="14.25" customHeight="1" s="74">
      <c r="A570" s="2" t="n"/>
      <c r="B570" s="2" t="n"/>
      <c r="C570" s="2" t="n"/>
      <c r="D570" s="2" t="n"/>
      <c r="E570" s="2" t="n"/>
      <c r="F570" s="2" t="n"/>
      <c r="G570" s="2" t="n"/>
    </row>
    <row r="571" ht="14.25" customHeight="1" s="74">
      <c r="A571" s="2" t="n"/>
      <c r="B571" s="2" t="n"/>
      <c r="C571" s="2" t="n"/>
      <c r="D571" s="2" t="n"/>
      <c r="E571" s="2" t="n"/>
      <c r="F571" s="2" t="n"/>
      <c r="G571" s="2" t="n"/>
    </row>
    <row r="572" ht="14.25" customHeight="1" s="74">
      <c r="A572" s="2" t="n"/>
      <c r="B572" s="2" t="n"/>
      <c r="C572" s="2" t="n"/>
      <c r="D572" s="2" t="n"/>
      <c r="E572" s="2" t="n"/>
      <c r="F572" s="2" t="n"/>
      <c r="G572" s="2" t="n"/>
    </row>
    <row r="573" ht="14.25" customHeight="1" s="74">
      <c r="A573" s="2" t="n"/>
      <c r="B573" s="2" t="n"/>
      <c r="C573" s="2" t="n"/>
      <c r="D573" s="2" t="n"/>
      <c r="E573" s="2" t="n"/>
      <c r="F573" s="2" t="n"/>
      <c r="G573" s="2" t="n"/>
    </row>
    <row r="574" ht="14.25" customHeight="1" s="74">
      <c r="A574" s="2" t="n"/>
      <c r="B574" s="2" t="n"/>
      <c r="C574" s="2" t="n"/>
      <c r="D574" s="2" t="n"/>
      <c r="E574" s="2" t="n"/>
      <c r="F574" s="2" t="n"/>
      <c r="G574" s="2" t="n"/>
    </row>
    <row r="575" ht="14.25" customHeight="1" s="74">
      <c r="A575" s="2" t="n"/>
      <c r="B575" s="2" t="n"/>
      <c r="C575" s="2" t="n"/>
      <c r="D575" s="2" t="n"/>
      <c r="E575" s="2" t="n"/>
      <c r="F575" s="2" t="n"/>
      <c r="G575" s="2" t="n"/>
    </row>
    <row r="576" ht="14.25" customHeight="1" s="74">
      <c r="A576" s="2" t="n"/>
      <c r="B576" s="2" t="n"/>
      <c r="C576" s="2" t="n"/>
      <c r="D576" s="2" t="n"/>
      <c r="E576" s="2" t="n"/>
      <c r="F576" s="2" t="n"/>
      <c r="G576" s="2" t="n"/>
    </row>
    <row r="577" ht="14.25" customHeight="1" s="74">
      <c r="A577" s="2" t="n"/>
      <c r="B577" s="2" t="n"/>
      <c r="C577" s="2" t="n"/>
      <c r="D577" s="2" t="n"/>
      <c r="E577" s="2" t="n"/>
      <c r="F577" s="2" t="n"/>
      <c r="G577" s="2" t="n"/>
    </row>
    <row r="578" ht="14.25" customHeight="1" s="74">
      <c r="A578" s="2" t="n"/>
      <c r="B578" s="2" t="n"/>
      <c r="C578" s="2" t="n"/>
      <c r="D578" s="2" t="n"/>
      <c r="E578" s="2" t="n"/>
      <c r="F578" s="2" t="n"/>
      <c r="G578" s="2" t="n"/>
    </row>
    <row r="579" ht="14.25" customHeight="1" s="74">
      <c r="A579" s="2" t="n"/>
      <c r="B579" s="2" t="n"/>
      <c r="C579" s="2" t="n"/>
      <c r="D579" s="2" t="n"/>
      <c r="E579" s="2" t="n"/>
      <c r="F579" s="2" t="n"/>
      <c r="G579" s="2" t="n"/>
    </row>
    <row r="580" ht="14.25" customHeight="1" s="74">
      <c r="A580" s="2" t="n"/>
      <c r="B580" s="2" t="n"/>
      <c r="C580" s="2" t="n"/>
      <c r="D580" s="2" t="n"/>
      <c r="E580" s="2" t="n"/>
      <c r="F580" s="2" t="n"/>
      <c r="G580" s="2" t="n"/>
    </row>
    <row r="581" ht="14.25" customHeight="1" s="74">
      <c r="A581" s="2" t="n"/>
      <c r="B581" s="2" t="n"/>
      <c r="C581" s="2" t="n"/>
      <c r="D581" s="2" t="n"/>
      <c r="E581" s="2" t="n"/>
      <c r="F581" s="2" t="n"/>
      <c r="G581" s="2" t="n"/>
    </row>
    <row r="582" ht="14.25" customHeight="1" s="74">
      <c r="A582" s="2" t="n"/>
      <c r="B582" s="2" t="n"/>
      <c r="C582" s="2" t="n"/>
      <c r="D582" s="2" t="n"/>
      <c r="E582" s="2" t="n"/>
      <c r="F582" s="2" t="n"/>
      <c r="G582" s="2" t="n"/>
    </row>
    <row r="583" ht="14.25" customHeight="1" s="74">
      <c r="A583" s="2" t="n"/>
      <c r="B583" s="2" t="n"/>
      <c r="C583" s="2" t="n"/>
      <c r="D583" s="2" t="n"/>
      <c r="E583" s="2" t="n"/>
      <c r="F583" s="2" t="n"/>
      <c r="G583" s="2" t="n"/>
    </row>
    <row r="584" ht="14.25" customHeight="1" s="74">
      <c r="A584" s="2" t="n"/>
      <c r="B584" s="2" t="n"/>
      <c r="C584" s="2" t="n"/>
      <c r="D584" s="2" t="n"/>
      <c r="E584" s="2" t="n"/>
      <c r="F584" s="2" t="n"/>
      <c r="G584" s="2" t="n"/>
    </row>
    <row r="585" ht="14.25" customHeight="1" s="74">
      <c r="A585" s="2" t="n"/>
      <c r="B585" s="2" t="n"/>
      <c r="C585" s="2" t="n"/>
      <c r="D585" s="2" t="n"/>
      <c r="E585" s="2" t="n"/>
      <c r="F585" s="2" t="n"/>
      <c r="G585" s="2" t="n"/>
    </row>
    <row r="586" ht="14.25" customHeight="1" s="74">
      <c r="A586" s="2" t="n"/>
      <c r="B586" s="2" t="n"/>
      <c r="C586" s="2" t="n"/>
      <c r="D586" s="2" t="n"/>
      <c r="E586" s="2" t="n"/>
      <c r="F586" s="2" t="n"/>
      <c r="G586" s="2" t="n"/>
    </row>
    <row r="587" ht="14.25" customHeight="1" s="74">
      <c r="A587" s="2" t="n"/>
      <c r="B587" s="2" t="n"/>
      <c r="C587" s="2" t="n"/>
      <c r="D587" s="2" t="n"/>
      <c r="E587" s="2" t="n"/>
      <c r="F587" s="2" t="n"/>
      <c r="G587" s="2" t="n"/>
    </row>
    <row r="588" ht="14.25" customHeight="1" s="74">
      <c r="A588" s="2" t="n"/>
      <c r="B588" s="2" t="n"/>
      <c r="C588" s="2" t="n"/>
      <c r="D588" s="2" t="n"/>
      <c r="E588" s="2" t="n"/>
      <c r="F588" s="2" t="n"/>
      <c r="G588" s="2" t="n"/>
    </row>
    <row r="589" ht="14.25" customHeight="1" s="74">
      <c r="A589" s="2" t="n"/>
      <c r="B589" s="2" t="n"/>
      <c r="C589" s="2" t="n"/>
      <c r="D589" s="2" t="n"/>
      <c r="E589" s="2" t="n"/>
      <c r="F589" s="2" t="n"/>
      <c r="G589" s="2" t="n"/>
    </row>
    <row r="590" ht="14.25" customHeight="1" s="74">
      <c r="A590" s="2" t="n"/>
      <c r="B590" s="2" t="n"/>
      <c r="C590" s="2" t="n"/>
      <c r="D590" s="2" t="n"/>
      <c r="E590" s="2" t="n"/>
      <c r="F590" s="2" t="n"/>
      <c r="G590" s="2" t="n"/>
    </row>
    <row r="591" ht="14.25" customHeight="1" s="74">
      <c r="A591" s="2" t="n"/>
      <c r="B591" s="2" t="n"/>
      <c r="C591" s="2" t="n"/>
      <c r="D591" s="2" t="n"/>
      <c r="E591" s="2" t="n"/>
      <c r="F591" s="2" t="n"/>
      <c r="G591" s="2" t="n"/>
    </row>
    <row r="592" ht="14.25" customHeight="1" s="74">
      <c r="A592" s="2" t="n"/>
      <c r="B592" s="2" t="n"/>
      <c r="C592" s="2" t="n"/>
      <c r="D592" s="2" t="n"/>
      <c r="E592" s="2" t="n"/>
      <c r="F592" s="2" t="n"/>
      <c r="G592" s="2" t="n"/>
    </row>
    <row r="593" ht="14.25" customHeight="1" s="74">
      <c r="A593" s="2" t="n"/>
      <c r="B593" s="2" t="n"/>
      <c r="C593" s="2" t="n"/>
      <c r="D593" s="2" t="n"/>
      <c r="E593" s="2" t="n"/>
      <c r="F593" s="2" t="n"/>
      <c r="G593" s="2" t="n"/>
    </row>
    <row r="594" ht="14.25" customHeight="1" s="74">
      <c r="A594" s="2" t="n"/>
      <c r="B594" s="2" t="n"/>
      <c r="C594" s="2" t="n"/>
      <c r="D594" s="2" t="n"/>
      <c r="E594" s="2" t="n"/>
      <c r="F594" s="2" t="n"/>
      <c r="G594" s="2" t="n"/>
    </row>
    <row r="595" ht="14.25" customHeight="1" s="74">
      <c r="A595" s="2" t="n"/>
      <c r="B595" s="2" t="n"/>
      <c r="C595" s="2" t="n"/>
      <c r="D595" s="2" t="n"/>
      <c r="E595" s="2" t="n"/>
      <c r="F595" s="2" t="n"/>
      <c r="G595" s="2" t="n"/>
    </row>
    <row r="596" ht="14.25" customHeight="1" s="74">
      <c r="A596" s="2" t="n"/>
      <c r="B596" s="2" t="n"/>
      <c r="C596" s="2" t="n"/>
      <c r="D596" s="2" t="n"/>
      <c r="E596" s="2" t="n"/>
      <c r="F596" s="2" t="n"/>
      <c r="G596" s="2" t="n"/>
    </row>
    <row r="597" ht="14.25" customHeight="1" s="74">
      <c r="A597" s="2" t="n"/>
      <c r="B597" s="2" t="n"/>
      <c r="C597" s="2" t="n"/>
      <c r="D597" s="2" t="n"/>
      <c r="E597" s="2" t="n"/>
      <c r="F597" s="2" t="n"/>
      <c r="G597" s="2" t="n"/>
    </row>
    <row r="598" ht="14.25" customHeight="1" s="74">
      <c r="A598" s="2" t="n"/>
      <c r="B598" s="2" t="n"/>
      <c r="C598" s="2" t="n"/>
      <c r="D598" s="2" t="n"/>
      <c r="E598" s="2" t="n"/>
      <c r="F598" s="2" t="n"/>
      <c r="G598" s="2" t="n"/>
    </row>
    <row r="599" ht="14.25" customHeight="1" s="74">
      <c r="A599" s="2" t="n"/>
      <c r="B599" s="2" t="n"/>
      <c r="C599" s="2" t="n"/>
      <c r="D599" s="2" t="n"/>
      <c r="E599" s="2" t="n"/>
      <c r="F599" s="2" t="n"/>
      <c r="G599" s="2" t="n"/>
    </row>
    <row r="600" ht="14.25" customHeight="1" s="74">
      <c r="A600" s="2" t="n"/>
      <c r="B600" s="2" t="n"/>
      <c r="C600" s="2" t="n"/>
      <c r="D600" s="2" t="n"/>
      <c r="E600" s="2" t="n"/>
      <c r="F600" s="2" t="n"/>
      <c r="G600" s="2" t="n"/>
    </row>
    <row r="601" ht="14.25" customHeight="1" s="74">
      <c r="A601" s="2" t="n"/>
      <c r="B601" s="2" t="n"/>
      <c r="C601" s="2" t="n"/>
      <c r="D601" s="2" t="n"/>
      <c r="E601" s="2" t="n"/>
      <c r="F601" s="2" t="n"/>
      <c r="G601" s="2" t="n"/>
    </row>
    <row r="602" ht="14.25" customHeight="1" s="74">
      <c r="A602" s="2" t="n"/>
      <c r="B602" s="2" t="n"/>
      <c r="C602" s="2" t="n"/>
      <c r="D602" s="2" t="n"/>
      <c r="E602" s="2" t="n"/>
      <c r="F602" s="2" t="n"/>
      <c r="G602" s="2" t="n"/>
    </row>
    <row r="603" ht="14.25" customHeight="1" s="74">
      <c r="A603" s="2" t="n"/>
      <c r="B603" s="2" t="n"/>
      <c r="C603" s="2" t="n"/>
      <c r="D603" s="2" t="n"/>
      <c r="E603" s="2" t="n"/>
      <c r="F603" s="2" t="n"/>
      <c r="G603" s="2" t="n"/>
    </row>
    <row r="604" ht="14.25" customHeight="1" s="74">
      <c r="A604" s="2" t="n"/>
      <c r="B604" s="2" t="n"/>
      <c r="C604" s="2" t="n"/>
      <c r="D604" s="2" t="n"/>
      <c r="E604" s="2" t="n"/>
      <c r="F604" s="2" t="n"/>
      <c r="G604" s="2" t="n"/>
    </row>
    <row r="605" ht="14.25" customHeight="1" s="74">
      <c r="A605" s="2" t="n"/>
      <c r="B605" s="2" t="n"/>
      <c r="C605" s="2" t="n"/>
      <c r="D605" s="2" t="n"/>
      <c r="E605" s="2" t="n"/>
      <c r="F605" s="2" t="n"/>
      <c r="G605" s="2" t="n"/>
    </row>
    <row r="606" ht="14.25" customHeight="1" s="74">
      <c r="A606" s="2" t="n"/>
      <c r="B606" s="2" t="n"/>
      <c r="C606" s="2" t="n"/>
      <c r="D606" s="2" t="n"/>
      <c r="E606" s="2" t="n"/>
      <c r="F606" s="2" t="n"/>
      <c r="G606" s="2" t="n"/>
    </row>
    <row r="607" ht="14.25" customHeight="1" s="74">
      <c r="A607" s="2" t="n"/>
      <c r="B607" s="2" t="n"/>
      <c r="C607" s="2" t="n"/>
      <c r="D607" s="2" t="n"/>
      <c r="E607" s="2" t="n"/>
      <c r="F607" s="2" t="n"/>
      <c r="G607" s="2" t="n"/>
    </row>
    <row r="608" ht="14.25" customHeight="1" s="74">
      <c r="A608" s="2" t="n"/>
      <c r="B608" s="2" t="n"/>
      <c r="C608" s="2" t="n"/>
      <c r="D608" s="2" t="n"/>
      <c r="E608" s="2" t="n"/>
      <c r="F608" s="2" t="n"/>
      <c r="G608" s="2" t="n"/>
    </row>
    <row r="609" ht="14.25" customHeight="1" s="74">
      <c r="A609" s="2" t="n"/>
      <c r="B609" s="2" t="n"/>
      <c r="C609" s="2" t="n"/>
      <c r="D609" s="2" t="n"/>
      <c r="E609" s="2" t="n"/>
      <c r="F609" s="2" t="n"/>
      <c r="G609" s="2" t="n"/>
    </row>
    <row r="610" ht="14.25" customHeight="1" s="74">
      <c r="A610" s="2" t="n"/>
      <c r="B610" s="2" t="n"/>
      <c r="C610" s="2" t="n"/>
      <c r="D610" s="2" t="n"/>
      <c r="E610" s="2" t="n"/>
      <c r="F610" s="2" t="n"/>
      <c r="G610" s="2" t="n"/>
    </row>
    <row r="611" ht="14.25" customHeight="1" s="74">
      <c r="A611" s="2" t="n"/>
      <c r="B611" s="2" t="n"/>
      <c r="C611" s="2" t="n"/>
      <c r="D611" s="2" t="n"/>
      <c r="E611" s="2" t="n"/>
      <c r="F611" s="2" t="n"/>
      <c r="G611" s="2" t="n"/>
    </row>
    <row r="612" ht="14.25" customHeight="1" s="74">
      <c r="A612" s="2" t="n"/>
      <c r="B612" s="2" t="n"/>
      <c r="C612" s="2" t="n"/>
      <c r="D612" s="2" t="n"/>
      <c r="E612" s="2" t="n"/>
      <c r="F612" s="2" t="n"/>
      <c r="G612" s="2" t="n"/>
    </row>
    <row r="613" ht="14.25" customHeight="1" s="74">
      <c r="A613" s="2" t="n"/>
      <c r="B613" s="2" t="n"/>
      <c r="C613" s="2" t="n"/>
      <c r="D613" s="2" t="n"/>
      <c r="E613" s="2" t="n"/>
      <c r="F613" s="2" t="n"/>
      <c r="G613" s="2" t="n"/>
    </row>
    <row r="614" ht="14.25" customHeight="1" s="74">
      <c r="A614" s="2" t="n"/>
      <c r="B614" s="2" t="n"/>
      <c r="C614" s="2" t="n"/>
      <c r="D614" s="2" t="n"/>
      <c r="E614" s="2" t="n"/>
      <c r="F614" s="2" t="n"/>
      <c r="G614" s="2" t="n"/>
    </row>
    <row r="615" ht="14.25" customHeight="1" s="74">
      <c r="A615" s="2" t="n"/>
      <c r="B615" s="2" t="n"/>
      <c r="C615" s="2" t="n"/>
      <c r="D615" s="2" t="n"/>
      <c r="E615" s="2" t="n"/>
      <c r="F615" s="2" t="n"/>
      <c r="G615" s="2" t="n"/>
    </row>
    <row r="616" ht="14.25" customHeight="1" s="74">
      <c r="A616" s="2" t="n"/>
      <c r="B616" s="2" t="n"/>
      <c r="C616" s="2" t="n"/>
      <c r="D616" s="2" t="n"/>
      <c r="E616" s="2" t="n"/>
      <c r="F616" s="2" t="n"/>
      <c r="G616" s="2" t="n"/>
    </row>
    <row r="617" ht="14.25" customHeight="1" s="74">
      <c r="A617" s="2" t="n"/>
      <c r="B617" s="2" t="n"/>
      <c r="C617" s="2" t="n"/>
      <c r="D617" s="2" t="n"/>
      <c r="E617" s="2" t="n"/>
      <c r="F617" s="2" t="n"/>
      <c r="G617" s="2" t="n"/>
    </row>
    <row r="618" ht="14.25" customHeight="1" s="74">
      <c r="A618" s="2" t="n"/>
      <c r="B618" s="2" t="n"/>
      <c r="C618" s="2" t="n"/>
      <c r="D618" s="2" t="n"/>
      <c r="E618" s="2" t="n"/>
      <c r="F618" s="2" t="n"/>
      <c r="G618" s="2" t="n"/>
    </row>
    <row r="619" ht="14.25" customHeight="1" s="74">
      <c r="A619" s="2" t="n"/>
      <c r="B619" s="2" t="n"/>
      <c r="C619" s="2" t="n"/>
      <c r="D619" s="2" t="n"/>
      <c r="E619" s="2" t="n"/>
      <c r="F619" s="2" t="n"/>
      <c r="G619" s="2" t="n"/>
    </row>
    <row r="620" ht="14.25" customHeight="1" s="74">
      <c r="A620" s="2" t="n"/>
      <c r="B620" s="2" t="n"/>
      <c r="C620" s="2" t="n"/>
      <c r="D620" s="2" t="n"/>
      <c r="E620" s="2" t="n"/>
      <c r="F620" s="2" t="n"/>
      <c r="G620" s="2" t="n"/>
    </row>
    <row r="621" ht="14.25" customHeight="1" s="74">
      <c r="A621" s="2" t="n"/>
      <c r="B621" s="2" t="n"/>
      <c r="C621" s="2" t="n"/>
      <c r="D621" s="2" t="n"/>
      <c r="E621" s="2" t="n"/>
      <c r="F621" s="2" t="n"/>
      <c r="G621" s="2" t="n"/>
    </row>
    <row r="622" ht="14.25" customHeight="1" s="74">
      <c r="A622" s="2" t="n"/>
      <c r="B622" s="2" t="n"/>
      <c r="C622" s="2" t="n"/>
      <c r="D622" s="2" t="n"/>
      <c r="E622" s="2" t="n"/>
      <c r="F622" s="2" t="n"/>
      <c r="G622" s="2" t="n"/>
    </row>
    <row r="623" ht="14.25" customHeight="1" s="74">
      <c r="A623" s="2" t="n"/>
      <c r="B623" s="2" t="n"/>
      <c r="C623" s="2" t="n"/>
      <c r="D623" s="2" t="n"/>
      <c r="E623" s="2" t="n"/>
      <c r="F623" s="2" t="n"/>
      <c r="G623" s="2" t="n"/>
    </row>
    <row r="624" ht="14.25" customHeight="1" s="74">
      <c r="A624" s="2" t="n"/>
      <c r="B624" s="2" t="n"/>
      <c r="C624" s="2" t="n"/>
      <c r="D624" s="2" t="n"/>
      <c r="E624" s="2" t="n"/>
      <c r="F624" s="2" t="n"/>
      <c r="G624" s="2" t="n"/>
    </row>
    <row r="625" ht="14.25" customHeight="1" s="74">
      <c r="A625" s="2" t="n"/>
      <c r="B625" s="2" t="n"/>
      <c r="C625" s="2" t="n"/>
      <c r="D625" s="2" t="n"/>
      <c r="E625" s="2" t="n"/>
      <c r="F625" s="2" t="n"/>
      <c r="G625" s="2" t="n"/>
    </row>
    <row r="626" ht="14.25" customHeight="1" s="74">
      <c r="A626" s="2" t="n"/>
      <c r="B626" s="2" t="n"/>
      <c r="C626" s="2" t="n"/>
      <c r="D626" s="2" t="n"/>
      <c r="E626" s="2" t="n"/>
      <c r="F626" s="2" t="n"/>
      <c r="G626" s="2" t="n"/>
    </row>
    <row r="627" ht="14.25" customHeight="1" s="74">
      <c r="A627" s="2" t="n"/>
      <c r="B627" s="2" t="n"/>
      <c r="C627" s="2" t="n"/>
      <c r="D627" s="2" t="n"/>
      <c r="E627" s="2" t="n"/>
      <c r="F627" s="2" t="n"/>
      <c r="G627" s="2" t="n"/>
    </row>
    <row r="628" ht="14.25" customHeight="1" s="74">
      <c r="A628" s="2" t="n"/>
      <c r="B628" s="2" t="n"/>
      <c r="C628" s="2" t="n"/>
      <c r="D628" s="2" t="n"/>
      <c r="E628" s="2" t="n"/>
      <c r="F628" s="2" t="n"/>
      <c r="G628" s="2" t="n"/>
    </row>
    <row r="629" ht="14.25" customHeight="1" s="74">
      <c r="A629" s="2" t="n"/>
      <c r="B629" s="2" t="n"/>
      <c r="C629" s="2" t="n"/>
      <c r="D629" s="2" t="n"/>
      <c r="E629" s="2" t="n"/>
      <c r="F629" s="2" t="n"/>
      <c r="G629" s="2" t="n"/>
    </row>
    <row r="630" ht="14.25" customHeight="1" s="74">
      <c r="A630" s="2" t="n"/>
      <c r="B630" s="2" t="n"/>
      <c r="C630" s="2" t="n"/>
      <c r="D630" s="2" t="n"/>
      <c r="E630" s="2" t="n"/>
      <c r="F630" s="2" t="n"/>
      <c r="G630" s="2" t="n"/>
    </row>
    <row r="631" ht="14.25" customHeight="1" s="74">
      <c r="A631" s="2" t="n"/>
      <c r="B631" s="2" t="n"/>
      <c r="C631" s="2" t="n"/>
      <c r="D631" s="2" t="n"/>
      <c r="E631" s="2" t="n"/>
      <c r="F631" s="2" t="n"/>
      <c r="G631" s="2" t="n"/>
    </row>
    <row r="632" ht="14.25" customHeight="1" s="74">
      <c r="A632" s="2" t="n"/>
      <c r="B632" s="2" t="n"/>
      <c r="C632" s="2" t="n"/>
      <c r="D632" s="2" t="n"/>
      <c r="E632" s="2" t="n"/>
      <c r="F632" s="2" t="n"/>
      <c r="G632" s="2" t="n"/>
    </row>
    <row r="633" ht="14.25" customHeight="1" s="74">
      <c r="A633" s="2" t="n"/>
      <c r="B633" s="2" t="n"/>
      <c r="C633" s="2" t="n"/>
      <c r="D633" s="2" t="n"/>
      <c r="E633" s="2" t="n"/>
      <c r="F633" s="2" t="n"/>
      <c r="G633" s="2" t="n"/>
    </row>
    <row r="634" ht="14.25" customHeight="1" s="74">
      <c r="A634" s="2" t="n"/>
      <c r="B634" s="2" t="n"/>
      <c r="C634" s="2" t="n"/>
      <c r="D634" s="2" t="n"/>
      <c r="E634" s="2" t="n"/>
      <c r="F634" s="2" t="n"/>
      <c r="G634" s="2" t="n"/>
    </row>
    <row r="635" ht="14.25" customHeight="1" s="74">
      <c r="A635" s="2" t="n"/>
      <c r="B635" s="2" t="n"/>
      <c r="C635" s="2" t="n"/>
      <c r="D635" s="2" t="n"/>
      <c r="E635" s="2" t="n"/>
      <c r="F635" s="2" t="n"/>
      <c r="G635" s="2" t="n"/>
    </row>
    <row r="636" ht="14.25" customHeight="1" s="74">
      <c r="A636" s="2" t="n"/>
      <c r="B636" s="2" t="n"/>
      <c r="C636" s="2" t="n"/>
      <c r="D636" s="2" t="n"/>
      <c r="E636" s="2" t="n"/>
      <c r="F636" s="2" t="n"/>
      <c r="G636" s="2" t="n"/>
    </row>
    <row r="637" ht="14.25" customHeight="1" s="74">
      <c r="A637" s="2" t="n"/>
      <c r="B637" s="2" t="n"/>
      <c r="C637" s="2" t="n"/>
      <c r="D637" s="2" t="n"/>
      <c r="E637" s="2" t="n"/>
      <c r="F637" s="2" t="n"/>
      <c r="G637" s="2" t="n"/>
    </row>
    <row r="638" ht="14.25" customHeight="1" s="74">
      <c r="A638" s="2" t="n"/>
      <c r="B638" s="2" t="n"/>
      <c r="C638" s="2" t="n"/>
      <c r="D638" s="2" t="n"/>
      <c r="E638" s="2" t="n"/>
      <c r="F638" s="2" t="n"/>
      <c r="G638" s="2" t="n"/>
    </row>
    <row r="639" ht="14.25" customHeight="1" s="74">
      <c r="A639" s="2" t="n"/>
      <c r="B639" s="2" t="n"/>
      <c r="C639" s="2" t="n"/>
      <c r="D639" s="2" t="n"/>
      <c r="E639" s="2" t="n"/>
      <c r="F639" s="2" t="n"/>
      <c r="G639" s="2" t="n"/>
    </row>
    <row r="640" ht="14.25" customHeight="1" s="74">
      <c r="A640" s="2" t="n"/>
      <c r="B640" s="2" t="n"/>
      <c r="C640" s="2" t="n"/>
      <c r="D640" s="2" t="n"/>
      <c r="E640" s="2" t="n"/>
      <c r="F640" s="2" t="n"/>
      <c r="G640" s="2" t="n"/>
    </row>
    <row r="641" ht="14.25" customHeight="1" s="74">
      <c r="A641" s="2" t="n"/>
      <c r="B641" s="2" t="n"/>
      <c r="C641" s="2" t="n"/>
      <c r="D641" s="2" t="n"/>
      <c r="E641" s="2" t="n"/>
      <c r="F641" s="2" t="n"/>
      <c r="G641" s="2" t="n"/>
    </row>
    <row r="642" ht="14.25" customHeight="1" s="74">
      <c r="A642" s="2" t="n"/>
      <c r="B642" s="2" t="n"/>
      <c r="C642" s="2" t="n"/>
      <c r="D642" s="2" t="n"/>
      <c r="E642" s="2" t="n"/>
      <c r="F642" s="2" t="n"/>
      <c r="G642" s="2" t="n"/>
    </row>
    <row r="643" ht="14.25" customHeight="1" s="74">
      <c r="A643" s="2" t="n"/>
      <c r="B643" s="2" t="n"/>
      <c r="C643" s="2" t="n"/>
      <c r="D643" s="2" t="n"/>
      <c r="E643" s="2" t="n"/>
      <c r="F643" s="2" t="n"/>
      <c r="G643" s="2" t="n"/>
    </row>
    <row r="644" ht="14.25" customHeight="1" s="74">
      <c r="A644" s="2" t="n"/>
      <c r="B644" s="2" t="n"/>
      <c r="C644" s="2" t="n"/>
      <c r="D644" s="2" t="n"/>
      <c r="E644" s="2" t="n"/>
      <c r="F644" s="2" t="n"/>
      <c r="G644" s="2" t="n"/>
    </row>
    <row r="645" ht="14.25" customHeight="1" s="74">
      <c r="A645" s="2" t="n"/>
      <c r="B645" s="2" t="n"/>
      <c r="C645" s="2" t="n"/>
      <c r="D645" s="2" t="n"/>
      <c r="E645" s="2" t="n"/>
      <c r="F645" s="2" t="n"/>
      <c r="G645" s="2" t="n"/>
    </row>
    <row r="646" ht="14.25" customHeight="1" s="74">
      <c r="A646" s="2" t="n"/>
      <c r="B646" s="2" t="n"/>
      <c r="C646" s="2" t="n"/>
      <c r="D646" s="2" t="n"/>
      <c r="E646" s="2" t="n"/>
      <c r="F646" s="2" t="n"/>
      <c r="G646" s="2" t="n"/>
    </row>
    <row r="647" ht="14.25" customHeight="1" s="74">
      <c r="A647" s="2" t="n"/>
      <c r="B647" s="2" t="n"/>
      <c r="C647" s="2" t="n"/>
      <c r="D647" s="2" t="n"/>
      <c r="E647" s="2" t="n"/>
      <c r="F647" s="2" t="n"/>
      <c r="G647" s="2" t="n"/>
    </row>
    <row r="648" ht="14.25" customHeight="1" s="74">
      <c r="A648" s="2" t="n"/>
      <c r="B648" s="2" t="n"/>
      <c r="C648" s="2" t="n"/>
      <c r="D648" s="2" t="n"/>
      <c r="E648" s="2" t="n"/>
      <c r="F648" s="2" t="n"/>
      <c r="G648" s="2" t="n"/>
    </row>
    <row r="649" ht="14.25" customHeight="1" s="74">
      <c r="A649" s="2" t="n"/>
      <c r="B649" s="2" t="n"/>
      <c r="C649" s="2" t="n"/>
      <c r="D649" s="2" t="n"/>
      <c r="E649" s="2" t="n"/>
      <c r="F649" s="2" t="n"/>
      <c r="G649" s="2" t="n"/>
    </row>
    <row r="650" ht="14.25" customHeight="1" s="74">
      <c r="A650" s="2" t="n"/>
      <c r="B650" s="2" t="n"/>
      <c r="C650" s="2" t="n"/>
      <c r="D650" s="2" t="n"/>
      <c r="E650" s="2" t="n"/>
      <c r="F650" s="2" t="n"/>
      <c r="G650" s="2" t="n"/>
    </row>
    <row r="651" ht="14.25" customHeight="1" s="74">
      <c r="A651" s="2" t="n"/>
      <c r="B651" s="2" t="n"/>
      <c r="C651" s="2" t="n"/>
      <c r="D651" s="2" t="n"/>
      <c r="E651" s="2" t="n"/>
      <c r="F651" s="2" t="n"/>
      <c r="G651" s="2" t="n"/>
    </row>
    <row r="652" ht="14.25" customHeight="1" s="74">
      <c r="A652" s="2" t="n"/>
      <c r="B652" s="2" t="n"/>
      <c r="C652" s="2" t="n"/>
      <c r="D652" s="2" t="n"/>
      <c r="E652" s="2" t="n"/>
      <c r="F652" s="2" t="n"/>
      <c r="G652" s="2" t="n"/>
    </row>
    <row r="653" ht="14.25" customHeight="1" s="74">
      <c r="A653" s="2" t="n"/>
      <c r="B653" s="2" t="n"/>
      <c r="C653" s="2" t="n"/>
      <c r="D653" s="2" t="n"/>
      <c r="E653" s="2" t="n"/>
      <c r="F653" s="2" t="n"/>
      <c r="G653" s="2" t="n"/>
    </row>
    <row r="654" ht="14.25" customHeight="1" s="74">
      <c r="A654" s="2" t="n"/>
      <c r="B654" s="2" t="n"/>
      <c r="C654" s="2" t="n"/>
      <c r="D654" s="2" t="n"/>
      <c r="E654" s="2" t="n"/>
      <c r="F654" s="2" t="n"/>
      <c r="G654" s="2" t="n"/>
    </row>
    <row r="655" ht="14.25" customHeight="1" s="74">
      <c r="A655" s="2" t="n"/>
      <c r="B655" s="2" t="n"/>
      <c r="C655" s="2" t="n"/>
      <c r="D655" s="2" t="n"/>
      <c r="E655" s="2" t="n"/>
      <c r="F655" s="2" t="n"/>
      <c r="G655" s="2" t="n"/>
    </row>
    <row r="656" ht="14.25" customHeight="1" s="74">
      <c r="A656" s="2" t="n"/>
      <c r="B656" s="2" t="n"/>
      <c r="C656" s="2" t="n"/>
      <c r="D656" s="2" t="n"/>
      <c r="E656" s="2" t="n"/>
      <c r="F656" s="2" t="n"/>
      <c r="G656" s="2" t="n"/>
    </row>
    <row r="657" ht="14.25" customHeight="1" s="74">
      <c r="A657" s="2" t="n"/>
      <c r="B657" s="2" t="n"/>
      <c r="C657" s="2" t="n"/>
      <c r="D657" s="2" t="n"/>
      <c r="E657" s="2" t="n"/>
      <c r="F657" s="2" t="n"/>
      <c r="G657" s="2" t="n"/>
    </row>
    <row r="658" ht="14.25" customHeight="1" s="74">
      <c r="A658" s="2" t="n"/>
      <c r="B658" s="2" t="n"/>
      <c r="C658" s="2" t="n"/>
      <c r="D658" s="2" t="n"/>
      <c r="E658" s="2" t="n"/>
      <c r="F658" s="2" t="n"/>
      <c r="G658" s="2" t="n"/>
    </row>
    <row r="659" ht="14.25" customHeight="1" s="74">
      <c r="A659" s="2" t="n"/>
      <c r="B659" s="2" t="n"/>
      <c r="C659" s="2" t="n"/>
      <c r="D659" s="2" t="n"/>
      <c r="E659" s="2" t="n"/>
      <c r="F659" s="2" t="n"/>
      <c r="G659" s="2" t="n"/>
    </row>
    <row r="660" ht="14.25" customHeight="1" s="74">
      <c r="A660" s="2" t="n"/>
      <c r="B660" s="2" t="n"/>
      <c r="C660" s="2" t="n"/>
      <c r="D660" s="2" t="n"/>
      <c r="E660" s="2" t="n"/>
      <c r="F660" s="2" t="n"/>
      <c r="G660" s="2" t="n"/>
    </row>
    <row r="661" ht="14.25" customHeight="1" s="74">
      <c r="A661" s="2" t="n"/>
      <c r="B661" s="2" t="n"/>
      <c r="C661" s="2" t="n"/>
      <c r="D661" s="2" t="n"/>
      <c r="E661" s="2" t="n"/>
      <c r="F661" s="2" t="n"/>
      <c r="G661" s="2" t="n"/>
    </row>
    <row r="662" ht="14.25" customHeight="1" s="74">
      <c r="A662" s="2" t="n"/>
      <c r="B662" s="2" t="n"/>
      <c r="C662" s="2" t="n"/>
      <c r="D662" s="2" t="n"/>
      <c r="E662" s="2" t="n"/>
      <c r="F662" s="2" t="n"/>
      <c r="G662" s="2" t="n"/>
    </row>
    <row r="663" ht="14.25" customHeight="1" s="74">
      <c r="A663" s="2" t="n"/>
      <c r="B663" s="2" t="n"/>
      <c r="C663" s="2" t="n"/>
      <c r="D663" s="2" t="n"/>
      <c r="E663" s="2" t="n"/>
      <c r="F663" s="2" t="n"/>
      <c r="G663" s="2" t="n"/>
    </row>
    <row r="664" ht="14.25" customHeight="1" s="74">
      <c r="A664" s="2" t="n"/>
      <c r="B664" s="2" t="n"/>
      <c r="C664" s="2" t="n"/>
      <c r="D664" s="2" t="n"/>
      <c r="E664" s="2" t="n"/>
      <c r="F664" s="2" t="n"/>
      <c r="G664" s="2" t="n"/>
    </row>
    <row r="665" ht="14.25" customHeight="1" s="74">
      <c r="A665" s="2" t="n"/>
      <c r="B665" s="2" t="n"/>
      <c r="C665" s="2" t="n"/>
      <c r="D665" s="2" t="n"/>
      <c r="E665" s="2" t="n"/>
      <c r="F665" s="2" t="n"/>
      <c r="G665" s="2" t="n"/>
    </row>
    <row r="666" ht="14.25" customHeight="1" s="74">
      <c r="A666" s="2" t="n"/>
      <c r="B666" s="2" t="n"/>
      <c r="C666" s="2" t="n"/>
      <c r="D666" s="2" t="n"/>
      <c r="E666" s="2" t="n"/>
      <c r="F666" s="2" t="n"/>
      <c r="G666" s="2" t="n"/>
    </row>
    <row r="667" ht="14.25" customHeight="1" s="74">
      <c r="A667" s="2" t="n"/>
      <c r="B667" s="2" t="n"/>
      <c r="C667" s="2" t="n"/>
      <c r="D667" s="2" t="n"/>
      <c r="E667" s="2" t="n"/>
      <c r="F667" s="2" t="n"/>
      <c r="G667" s="2" t="n"/>
    </row>
    <row r="668" ht="14.25" customHeight="1" s="74">
      <c r="A668" s="2" t="n"/>
      <c r="B668" s="2" t="n"/>
      <c r="C668" s="2" t="n"/>
      <c r="D668" s="2" t="n"/>
      <c r="E668" s="2" t="n"/>
      <c r="F668" s="2" t="n"/>
      <c r="G668" s="2" t="n"/>
    </row>
    <row r="669" ht="14.25" customHeight="1" s="74">
      <c r="A669" s="2" t="n"/>
      <c r="B669" s="2" t="n"/>
      <c r="C669" s="2" t="n"/>
      <c r="D669" s="2" t="n"/>
      <c r="E669" s="2" t="n"/>
      <c r="F669" s="2" t="n"/>
      <c r="G669" s="2" t="n"/>
    </row>
    <row r="670" ht="14.25" customHeight="1" s="74">
      <c r="A670" s="2" t="n"/>
      <c r="B670" s="2" t="n"/>
      <c r="C670" s="2" t="n"/>
      <c r="D670" s="2" t="n"/>
      <c r="E670" s="2" t="n"/>
      <c r="F670" s="2" t="n"/>
      <c r="G670" s="2" t="n"/>
    </row>
    <row r="671" ht="14.25" customHeight="1" s="74">
      <c r="A671" s="2" t="n"/>
      <c r="B671" s="2" t="n"/>
      <c r="C671" s="2" t="n"/>
      <c r="D671" s="2" t="n"/>
      <c r="E671" s="2" t="n"/>
      <c r="F671" s="2" t="n"/>
      <c r="G671" s="2" t="n"/>
    </row>
    <row r="672" ht="14.25" customHeight="1" s="74">
      <c r="A672" s="2" t="n"/>
      <c r="B672" s="2" t="n"/>
      <c r="C672" s="2" t="n"/>
      <c r="D672" s="2" t="n"/>
      <c r="E672" s="2" t="n"/>
      <c r="F672" s="2" t="n"/>
      <c r="G672" s="2" t="n"/>
    </row>
    <row r="673" ht="14.25" customHeight="1" s="74">
      <c r="A673" s="2" t="n"/>
      <c r="B673" s="2" t="n"/>
      <c r="C673" s="2" t="n"/>
      <c r="D673" s="2" t="n"/>
      <c r="E673" s="2" t="n"/>
      <c r="F673" s="2" t="n"/>
      <c r="G673" s="2" t="n"/>
    </row>
    <row r="674" ht="14.25" customHeight="1" s="74">
      <c r="A674" s="2" t="n"/>
      <c r="B674" s="2" t="n"/>
      <c r="C674" s="2" t="n"/>
      <c r="D674" s="2" t="n"/>
      <c r="E674" s="2" t="n"/>
      <c r="F674" s="2" t="n"/>
      <c r="G674" s="2" t="n"/>
    </row>
    <row r="675" ht="14.25" customHeight="1" s="74">
      <c r="A675" s="2" t="n"/>
      <c r="B675" s="2" t="n"/>
      <c r="C675" s="2" t="n"/>
      <c r="D675" s="2" t="n"/>
      <c r="E675" s="2" t="n"/>
      <c r="F675" s="2" t="n"/>
      <c r="G675" s="2" t="n"/>
    </row>
    <row r="676" ht="14.25" customHeight="1" s="74">
      <c r="A676" s="2" t="n"/>
      <c r="B676" s="2" t="n"/>
      <c r="C676" s="2" t="n"/>
      <c r="D676" s="2" t="n"/>
      <c r="E676" s="2" t="n"/>
      <c r="F676" s="2" t="n"/>
      <c r="G676" s="2" t="n"/>
    </row>
    <row r="677" ht="14.25" customHeight="1" s="74">
      <c r="A677" s="2" t="n"/>
      <c r="B677" s="2" t="n"/>
      <c r="C677" s="2" t="n"/>
      <c r="D677" s="2" t="n"/>
      <c r="E677" s="2" t="n"/>
      <c r="F677" s="2" t="n"/>
      <c r="G677" s="2" t="n"/>
    </row>
    <row r="678" ht="14.25" customHeight="1" s="74">
      <c r="A678" s="2" t="n"/>
      <c r="B678" s="2" t="n"/>
      <c r="C678" s="2" t="n"/>
      <c r="D678" s="2" t="n"/>
      <c r="E678" s="2" t="n"/>
      <c r="F678" s="2" t="n"/>
      <c r="G678" s="2" t="n"/>
    </row>
    <row r="679" ht="14.25" customHeight="1" s="74">
      <c r="A679" s="2" t="n"/>
      <c r="B679" s="2" t="n"/>
      <c r="C679" s="2" t="n"/>
      <c r="D679" s="2" t="n"/>
      <c r="E679" s="2" t="n"/>
      <c r="F679" s="2" t="n"/>
      <c r="G679" s="2" t="n"/>
    </row>
    <row r="680" ht="14.25" customHeight="1" s="74">
      <c r="A680" s="2" t="n"/>
      <c r="B680" s="2" t="n"/>
      <c r="C680" s="2" t="n"/>
      <c r="D680" s="2" t="n"/>
      <c r="E680" s="2" t="n"/>
      <c r="F680" s="2" t="n"/>
      <c r="G680" s="2" t="n"/>
    </row>
    <row r="681" ht="14.25" customHeight="1" s="74">
      <c r="A681" s="2" t="n"/>
      <c r="B681" s="2" t="n"/>
      <c r="C681" s="2" t="n"/>
      <c r="D681" s="2" t="n"/>
      <c r="E681" s="2" t="n"/>
      <c r="F681" s="2" t="n"/>
      <c r="G681" s="2" t="n"/>
    </row>
    <row r="682" ht="14.25" customHeight="1" s="74">
      <c r="A682" s="2" t="n"/>
      <c r="B682" s="2" t="n"/>
      <c r="C682" s="2" t="n"/>
      <c r="D682" s="2" t="n"/>
      <c r="E682" s="2" t="n"/>
      <c r="F682" s="2" t="n"/>
      <c r="G682" s="2" t="n"/>
    </row>
    <row r="683" ht="14.25" customHeight="1" s="74">
      <c r="A683" s="2" t="n"/>
      <c r="B683" s="2" t="n"/>
      <c r="C683" s="2" t="n"/>
      <c r="D683" s="2" t="n"/>
      <c r="E683" s="2" t="n"/>
      <c r="F683" s="2" t="n"/>
      <c r="G683" s="2" t="n"/>
    </row>
    <row r="684" ht="14.25" customHeight="1" s="74">
      <c r="A684" s="2" t="n"/>
      <c r="B684" s="2" t="n"/>
      <c r="C684" s="2" t="n"/>
      <c r="D684" s="2" t="n"/>
      <c r="E684" s="2" t="n"/>
      <c r="F684" s="2" t="n"/>
      <c r="G684" s="2" t="n"/>
    </row>
    <row r="685" ht="14.25" customHeight="1" s="74">
      <c r="A685" s="2" t="n"/>
      <c r="B685" s="2" t="n"/>
      <c r="C685" s="2" t="n"/>
      <c r="D685" s="2" t="n"/>
      <c r="E685" s="2" t="n"/>
      <c r="F685" s="2" t="n"/>
      <c r="G685" s="2" t="n"/>
    </row>
    <row r="686" ht="14.25" customHeight="1" s="74">
      <c r="A686" s="2" t="n"/>
      <c r="B686" s="2" t="n"/>
      <c r="C686" s="2" t="n"/>
      <c r="D686" s="2" t="n"/>
      <c r="E686" s="2" t="n"/>
      <c r="F686" s="2" t="n"/>
      <c r="G686" s="2" t="n"/>
    </row>
    <row r="687" ht="14.25" customHeight="1" s="74">
      <c r="A687" s="2" t="n"/>
      <c r="B687" s="2" t="n"/>
      <c r="C687" s="2" t="n"/>
      <c r="D687" s="2" t="n"/>
      <c r="E687" s="2" t="n"/>
      <c r="F687" s="2" t="n"/>
      <c r="G687" s="2" t="n"/>
    </row>
    <row r="688" ht="14.25" customHeight="1" s="74">
      <c r="A688" s="2" t="n"/>
      <c r="B688" s="2" t="n"/>
      <c r="C688" s="2" t="n"/>
      <c r="D688" s="2" t="n"/>
      <c r="E688" s="2" t="n"/>
      <c r="F688" s="2" t="n"/>
      <c r="G688" s="2" t="n"/>
    </row>
    <row r="689" ht="14.25" customHeight="1" s="74">
      <c r="A689" s="2" t="n"/>
      <c r="B689" s="2" t="n"/>
      <c r="C689" s="2" t="n"/>
      <c r="D689" s="2" t="n"/>
      <c r="E689" s="2" t="n"/>
      <c r="F689" s="2" t="n"/>
      <c r="G689" s="2" t="n"/>
    </row>
    <row r="690" ht="14.25" customHeight="1" s="74">
      <c r="A690" s="2" t="n"/>
      <c r="B690" s="2" t="n"/>
      <c r="C690" s="2" t="n"/>
      <c r="D690" s="2" t="n"/>
      <c r="E690" s="2" t="n"/>
      <c r="F690" s="2" t="n"/>
      <c r="G690" s="2" t="n"/>
    </row>
    <row r="691" ht="14.25" customHeight="1" s="74">
      <c r="A691" s="2" t="n"/>
      <c r="B691" s="2" t="n"/>
      <c r="C691" s="2" t="n"/>
      <c r="D691" s="2" t="n"/>
      <c r="E691" s="2" t="n"/>
      <c r="F691" s="2" t="n"/>
      <c r="G691" s="2" t="n"/>
    </row>
    <row r="692" ht="14.25" customHeight="1" s="74">
      <c r="A692" s="2" t="n"/>
      <c r="B692" s="2" t="n"/>
      <c r="C692" s="2" t="n"/>
      <c r="D692" s="2" t="n"/>
      <c r="E692" s="2" t="n"/>
      <c r="F692" s="2" t="n"/>
      <c r="G692" s="2" t="n"/>
    </row>
    <row r="693" ht="14.25" customHeight="1" s="74">
      <c r="A693" s="2" t="n"/>
      <c r="B693" s="2" t="n"/>
      <c r="C693" s="2" t="n"/>
      <c r="D693" s="2" t="n"/>
      <c r="E693" s="2" t="n"/>
      <c r="F693" s="2" t="n"/>
      <c r="G693" s="2" t="n"/>
    </row>
    <row r="694" ht="14.25" customHeight="1" s="74">
      <c r="A694" s="2" t="n"/>
      <c r="B694" s="2" t="n"/>
      <c r="C694" s="2" t="n"/>
      <c r="D694" s="2" t="n"/>
      <c r="E694" s="2" t="n"/>
      <c r="F694" s="2" t="n"/>
      <c r="G694" s="2" t="n"/>
    </row>
    <row r="695" ht="14.25" customHeight="1" s="74">
      <c r="A695" s="2" t="n"/>
      <c r="B695" s="2" t="n"/>
      <c r="C695" s="2" t="n"/>
      <c r="D695" s="2" t="n"/>
      <c r="E695" s="2" t="n"/>
      <c r="F695" s="2" t="n"/>
      <c r="G695" s="2" t="n"/>
    </row>
    <row r="696" ht="14.25" customHeight="1" s="74">
      <c r="A696" s="2" t="n"/>
      <c r="B696" s="2" t="n"/>
      <c r="C696" s="2" t="n"/>
      <c r="D696" s="2" t="n"/>
      <c r="E696" s="2" t="n"/>
      <c r="F696" s="2" t="n"/>
      <c r="G696" s="2" t="n"/>
    </row>
    <row r="697" ht="14.25" customHeight="1" s="74">
      <c r="A697" s="2" t="n"/>
      <c r="B697" s="2" t="n"/>
      <c r="C697" s="2" t="n"/>
      <c r="D697" s="2" t="n"/>
      <c r="E697" s="2" t="n"/>
      <c r="F697" s="2" t="n"/>
      <c r="G697" s="2" t="n"/>
    </row>
    <row r="698" ht="14.25" customHeight="1" s="74">
      <c r="A698" s="2" t="n"/>
      <c r="B698" s="2" t="n"/>
      <c r="C698" s="2" t="n"/>
      <c r="D698" s="2" t="n"/>
      <c r="E698" s="2" t="n"/>
      <c r="F698" s="2" t="n"/>
      <c r="G698" s="2" t="n"/>
    </row>
    <row r="699" ht="14.25" customHeight="1" s="74">
      <c r="A699" s="2" t="n"/>
      <c r="B699" s="2" t="n"/>
      <c r="C699" s="2" t="n"/>
      <c r="D699" s="2" t="n"/>
      <c r="E699" s="2" t="n"/>
      <c r="F699" s="2" t="n"/>
      <c r="G699" s="2" t="n"/>
    </row>
    <row r="700" ht="14.25" customHeight="1" s="74">
      <c r="A700" s="2" t="n"/>
      <c r="B700" s="2" t="n"/>
      <c r="C700" s="2" t="n"/>
      <c r="D700" s="2" t="n"/>
      <c r="E700" s="2" t="n"/>
      <c r="F700" s="2" t="n"/>
      <c r="G700" s="2" t="n"/>
    </row>
    <row r="701" ht="14.25" customHeight="1" s="74">
      <c r="A701" s="2" t="n"/>
      <c r="B701" s="2" t="n"/>
      <c r="C701" s="2" t="n"/>
      <c r="D701" s="2" t="n"/>
      <c r="E701" s="2" t="n"/>
      <c r="F701" s="2" t="n"/>
      <c r="G701" s="2" t="n"/>
    </row>
    <row r="702" ht="14.25" customHeight="1" s="74">
      <c r="A702" s="2" t="n"/>
      <c r="B702" s="2" t="n"/>
      <c r="C702" s="2" t="n"/>
      <c r="D702" s="2" t="n"/>
      <c r="E702" s="2" t="n"/>
      <c r="F702" s="2" t="n"/>
      <c r="G702" s="2" t="n"/>
    </row>
    <row r="703" ht="14.25" customHeight="1" s="74">
      <c r="A703" s="2" t="n"/>
      <c r="B703" s="2" t="n"/>
      <c r="C703" s="2" t="n"/>
      <c r="D703" s="2" t="n"/>
      <c r="E703" s="2" t="n"/>
      <c r="F703" s="2" t="n"/>
      <c r="G703" s="2" t="n"/>
    </row>
    <row r="704" ht="14.25" customHeight="1" s="74">
      <c r="A704" s="2" t="n"/>
      <c r="B704" s="2" t="n"/>
      <c r="C704" s="2" t="n"/>
      <c r="D704" s="2" t="n"/>
      <c r="E704" s="2" t="n"/>
      <c r="F704" s="2" t="n"/>
      <c r="G704" s="2" t="n"/>
    </row>
    <row r="705" ht="14.25" customHeight="1" s="74">
      <c r="A705" s="2" t="n"/>
      <c r="B705" s="2" t="n"/>
      <c r="C705" s="2" t="n"/>
      <c r="D705" s="2" t="n"/>
      <c r="E705" s="2" t="n"/>
      <c r="F705" s="2" t="n"/>
      <c r="G705" s="2" t="n"/>
    </row>
    <row r="706" ht="14.25" customHeight="1" s="74">
      <c r="A706" s="2" t="n"/>
      <c r="B706" s="2" t="n"/>
      <c r="C706" s="2" t="n"/>
      <c r="D706" s="2" t="n"/>
      <c r="E706" s="2" t="n"/>
      <c r="F706" s="2" t="n"/>
      <c r="G706" s="2" t="n"/>
    </row>
    <row r="707" ht="14.25" customHeight="1" s="74">
      <c r="A707" s="2" t="n"/>
      <c r="B707" s="2" t="n"/>
      <c r="C707" s="2" t="n"/>
      <c r="D707" s="2" t="n"/>
      <c r="E707" s="2" t="n"/>
      <c r="F707" s="2" t="n"/>
      <c r="G707" s="2" t="n"/>
    </row>
    <row r="708" ht="14.25" customHeight="1" s="74">
      <c r="A708" s="2" t="n"/>
      <c r="B708" s="2" t="n"/>
      <c r="C708" s="2" t="n"/>
      <c r="D708" s="2" t="n"/>
      <c r="E708" s="2" t="n"/>
      <c r="F708" s="2" t="n"/>
      <c r="G708" s="2" t="n"/>
    </row>
    <row r="709" ht="14.25" customHeight="1" s="74">
      <c r="A709" s="2" t="n"/>
      <c r="B709" s="2" t="n"/>
      <c r="C709" s="2" t="n"/>
      <c r="D709" s="2" t="n"/>
      <c r="E709" s="2" t="n"/>
      <c r="F709" s="2" t="n"/>
      <c r="G709" s="2" t="n"/>
    </row>
    <row r="710" ht="14.25" customHeight="1" s="74">
      <c r="A710" s="2" t="n"/>
      <c r="B710" s="2" t="n"/>
      <c r="C710" s="2" t="n"/>
      <c r="D710" s="2" t="n"/>
      <c r="E710" s="2" t="n"/>
      <c r="F710" s="2" t="n"/>
      <c r="G710" s="2" t="n"/>
    </row>
    <row r="711" ht="14.25" customHeight="1" s="74">
      <c r="A711" s="2" t="n"/>
      <c r="B711" s="2" t="n"/>
      <c r="C711" s="2" t="n"/>
      <c r="D711" s="2" t="n"/>
      <c r="E711" s="2" t="n"/>
      <c r="F711" s="2" t="n"/>
      <c r="G711" s="2" t="n"/>
    </row>
    <row r="712" ht="14.25" customHeight="1" s="74">
      <c r="A712" s="2" t="n"/>
      <c r="B712" s="2" t="n"/>
      <c r="C712" s="2" t="n"/>
      <c r="D712" s="2" t="n"/>
      <c r="E712" s="2" t="n"/>
      <c r="F712" s="2" t="n"/>
      <c r="G712" s="2" t="n"/>
    </row>
    <row r="713" ht="14.25" customHeight="1" s="74">
      <c r="A713" s="2" t="n"/>
      <c r="B713" s="2" t="n"/>
      <c r="C713" s="2" t="n"/>
      <c r="D713" s="2" t="n"/>
      <c r="E713" s="2" t="n"/>
      <c r="F713" s="2" t="n"/>
      <c r="G713" s="2" t="n"/>
    </row>
    <row r="714" ht="14.25" customHeight="1" s="74">
      <c r="A714" s="2" t="n"/>
      <c r="B714" s="2" t="n"/>
      <c r="C714" s="2" t="n"/>
      <c r="D714" s="2" t="n"/>
      <c r="E714" s="2" t="n"/>
      <c r="F714" s="2" t="n"/>
      <c r="G714" s="2" t="n"/>
    </row>
    <row r="715" ht="14.25" customHeight="1" s="74">
      <c r="A715" s="2" t="n"/>
      <c r="B715" s="2" t="n"/>
      <c r="C715" s="2" t="n"/>
      <c r="D715" s="2" t="n"/>
      <c r="E715" s="2" t="n"/>
      <c r="F715" s="2" t="n"/>
      <c r="G715" s="2" t="n"/>
    </row>
    <row r="716" ht="14.25" customHeight="1" s="74">
      <c r="A716" s="2" t="n"/>
      <c r="B716" s="2" t="n"/>
      <c r="C716" s="2" t="n"/>
      <c r="D716" s="2" t="n"/>
      <c r="E716" s="2" t="n"/>
      <c r="F716" s="2" t="n"/>
      <c r="G716" s="2" t="n"/>
    </row>
    <row r="717" ht="14.25" customHeight="1" s="74">
      <c r="A717" s="2" t="n"/>
      <c r="B717" s="2" t="n"/>
      <c r="C717" s="2" t="n"/>
      <c r="D717" s="2" t="n"/>
      <c r="E717" s="2" t="n"/>
      <c r="F717" s="2" t="n"/>
      <c r="G717" s="2" t="n"/>
    </row>
    <row r="718" ht="14.25" customHeight="1" s="74">
      <c r="A718" s="2" t="n"/>
      <c r="B718" s="2" t="n"/>
      <c r="C718" s="2" t="n"/>
      <c r="D718" s="2" t="n"/>
      <c r="E718" s="2" t="n"/>
      <c r="F718" s="2" t="n"/>
      <c r="G718" s="2" t="n"/>
    </row>
    <row r="719" ht="14.25" customHeight="1" s="74">
      <c r="A719" s="2" t="n"/>
      <c r="B719" s="2" t="n"/>
      <c r="C719" s="2" t="n"/>
      <c r="D719" s="2" t="n"/>
      <c r="E719" s="2" t="n"/>
      <c r="F719" s="2" t="n"/>
      <c r="G719" s="2" t="n"/>
    </row>
    <row r="720" ht="14.25" customHeight="1" s="74">
      <c r="A720" s="2" t="n"/>
      <c r="B720" s="2" t="n"/>
      <c r="C720" s="2" t="n"/>
      <c r="D720" s="2" t="n"/>
      <c r="E720" s="2" t="n"/>
      <c r="F720" s="2" t="n"/>
      <c r="G720" s="2" t="n"/>
    </row>
    <row r="721" ht="14.25" customHeight="1" s="74">
      <c r="A721" s="2" t="n"/>
      <c r="B721" s="2" t="n"/>
      <c r="C721" s="2" t="n"/>
      <c r="D721" s="2" t="n"/>
      <c r="E721" s="2" t="n"/>
      <c r="F721" s="2" t="n"/>
      <c r="G721" s="2" t="n"/>
    </row>
    <row r="722" ht="14.25" customHeight="1" s="74">
      <c r="A722" s="2" t="n"/>
      <c r="B722" s="2" t="n"/>
      <c r="C722" s="2" t="n"/>
      <c r="D722" s="2" t="n"/>
      <c r="E722" s="2" t="n"/>
      <c r="F722" s="2" t="n"/>
      <c r="G722" s="2" t="n"/>
    </row>
    <row r="723" ht="14.25" customHeight="1" s="74">
      <c r="A723" s="2" t="n"/>
      <c r="B723" s="2" t="n"/>
      <c r="C723" s="2" t="n"/>
      <c r="D723" s="2" t="n"/>
      <c r="E723" s="2" t="n"/>
      <c r="F723" s="2" t="n"/>
      <c r="G723" s="2" t="n"/>
    </row>
    <row r="724" ht="14.25" customHeight="1" s="74">
      <c r="A724" s="2" t="n"/>
      <c r="B724" s="2" t="n"/>
      <c r="C724" s="2" t="n"/>
      <c r="D724" s="2" t="n"/>
      <c r="E724" s="2" t="n"/>
      <c r="F724" s="2" t="n"/>
      <c r="G724" s="2" t="n"/>
    </row>
    <row r="725" ht="14.25" customHeight="1" s="74">
      <c r="A725" s="2" t="n"/>
      <c r="B725" s="2" t="n"/>
      <c r="C725" s="2" t="n"/>
      <c r="D725" s="2" t="n"/>
      <c r="E725" s="2" t="n"/>
      <c r="F725" s="2" t="n"/>
      <c r="G725" s="2" t="n"/>
    </row>
    <row r="726" ht="14.25" customHeight="1" s="74">
      <c r="A726" s="2" t="n"/>
      <c r="B726" s="2" t="n"/>
      <c r="C726" s="2" t="n"/>
      <c r="D726" s="2" t="n"/>
      <c r="E726" s="2" t="n"/>
      <c r="F726" s="2" t="n"/>
      <c r="G726" s="2" t="n"/>
    </row>
    <row r="727" ht="14.25" customHeight="1" s="74">
      <c r="A727" s="2" t="n"/>
      <c r="B727" s="2" t="n"/>
      <c r="C727" s="2" t="n"/>
      <c r="D727" s="2" t="n"/>
      <c r="E727" s="2" t="n"/>
      <c r="F727" s="2" t="n"/>
      <c r="G727" s="2" t="n"/>
    </row>
    <row r="728" ht="14.25" customHeight="1" s="74">
      <c r="A728" s="2" t="n"/>
      <c r="B728" s="2" t="n"/>
      <c r="C728" s="2" t="n"/>
      <c r="D728" s="2" t="n"/>
      <c r="E728" s="2" t="n"/>
      <c r="F728" s="2" t="n"/>
      <c r="G728" s="2" t="n"/>
    </row>
    <row r="729" ht="14.25" customHeight="1" s="74">
      <c r="A729" s="2" t="n"/>
      <c r="B729" s="2" t="n"/>
      <c r="C729" s="2" t="n"/>
      <c r="D729" s="2" t="n"/>
      <c r="E729" s="2" t="n"/>
      <c r="F729" s="2" t="n"/>
      <c r="G729" s="2" t="n"/>
    </row>
    <row r="730" ht="14.25" customHeight="1" s="74">
      <c r="A730" s="2" t="n"/>
      <c r="B730" s="2" t="n"/>
      <c r="C730" s="2" t="n"/>
      <c r="D730" s="2" t="n"/>
      <c r="E730" s="2" t="n"/>
      <c r="F730" s="2" t="n"/>
      <c r="G730" s="2" t="n"/>
    </row>
    <row r="731" ht="14.25" customHeight="1" s="74">
      <c r="A731" s="2" t="n"/>
      <c r="B731" s="2" t="n"/>
      <c r="C731" s="2" t="n"/>
      <c r="D731" s="2" t="n"/>
      <c r="E731" s="2" t="n"/>
      <c r="F731" s="2" t="n"/>
      <c r="G731" s="2" t="n"/>
    </row>
    <row r="732" ht="14.25" customHeight="1" s="74">
      <c r="A732" s="2" t="n"/>
      <c r="B732" s="2" t="n"/>
      <c r="C732" s="2" t="n"/>
      <c r="D732" s="2" t="n"/>
      <c r="E732" s="2" t="n"/>
      <c r="F732" s="2" t="n"/>
      <c r="G732" s="2" t="n"/>
    </row>
    <row r="733" ht="14.25" customHeight="1" s="74">
      <c r="A733" s="2" t="n"/>
      <c r="B733" s="2" t="n"/>
      <c r="C733" s="2" t="n"/>
      <c r="D733" s="2" t="n"/>
      <c r="E733" s="2" t="n"/>
      <c r="F733" s="2" t="n"/>
      <c r="G733" s="2" t="n"/>
    </row>
    <row r="734" ht="14.25" customHeight="1" s="74">
      <c r="A734" s="2" t="n"/>
      <c r="B734" s="2" t="n"/>
      <c r="C734" s="2" t="n"/>
      <c r="D734" s="2" t="n"/>
      <c r="E734" s="2" t="n"/>
      <c r="F734" s="2" t="n"/>
      <c r="G734" s="2" t="n"/>
    </row>
    <row r="735" ht="14.25" customHeight="1" s="74">
      <c r="A735" s="2" t="n"/>
      <c r="B735" s="2" t="n"/>
      <c r="C735" s="2" t="n"/>
      <c r="D735" s="2" t="n"/>
      <c r="E735" s="2" t="n"/>
      <c r="F735" s="2" t="n"/>
      <c r="G735" s="2" t="n"/>
    </row>
    <row r="736" ht="14.25" customHeight="1" s="74">
      <c r="A736" s="2" t="n"/>
      <c r="B736" s="2" t="n"/>
      <c r="C736" s="2" t="n"/>
      <c r="D736" s="2" t="n"/>
      <c r="E736" s="2" t="n"/>
      <c r="F736" s="2" t="n"/>
      <c r="G736" s="2" t="n"/>
    </row>
    <row r="737" ht="14.25" customHeight="1" s="74">
      <c r="A737" s="2" t="n"/>
      <c r="B737" s="2" t="n"/>
      <c r="C737" s="2" t="n"/>
      <c r="D737" s="2" t="n"/>
      <c r="E737" s="2" t="n"/>
      <c r="F737" s="2" t="n"/>
      <c r="G737" s="2" t="n"/>
    </row>
    <row r="738" ht="14.25" customHeight="1" s="74">
      <c r="A738" s="2" t="n"/>
      <c r="B738" s="2" t="n"/>
      <c r="C738" s="2" t="n"/>
      <c r="D738" s="2" t="n"/>
      <c r="E738" s="2" t="n"/>
      <c r="F738" s="2" t="n"/>
      <c r="G738" s="2" t="n"/>
    </row>
    <row r="739" ht="14.25" customHeight="1" s="74">
      <c r="A739" s="2" t="n"/>
      <c r="B739" s="2" t="n"/>
      <c r="C739" s="2" t="n"/>
      <c r="D739" s="2" t="n"/>
      <c r="E739" s="2" t="n"/>
      <c r="F739" s="2" t="n"/>
      <c r="G739" s="2" t="n"/>
    </row>
    <row r="740" ht="14.25" customHeight="1" s="74">
      <c r="A740" s="2" t="n"/>
      <c r="B740" s="2" t="n"/>
      <c r="C740" s="2" t="n"/>
      <c r="D740" s="2" t="n"/>
      <c r="E740" s="2" t="n"/>
      <c r="F740" s="2" t="n"/>
      <c r="G740" s="2" t="n"/>
    </row>
    <row r="741" ht="14.25" customHeight="1" s="74">
      <c r="A741" s="2" t="n"/>
      <c r="B741" s="2" t="n"/>
      <c r="C741" s="2" t="n"/>
      <c r="D741" s="2" t="n"/>
      <c r="E741" s="2" t="n"/>
      <c r="F741" s="2" t="n"/>
      <c r="G741" s="2" t="n"/>
    </row>
    <row r="742" ht="14.25" customHeight="1" s="74">
      <c r="A742" s="2" t="n"/>
      <c r="B742" s="2" t="n"/>
      <c r="C742" s="2" t="n"/>
      <c r="D742" s="2" t="n"/>
      <c r="E742" s="2" t="n"/>
      <c r="F742" s="2" t="n"/>
      <c r="G742" s="2" t="n"/>
    </row>
    <row r="743" ht="14.25" customHeight="1" s="74">
      <c r="A743" s="2" t="n"/>
      <c r="B743" s="2" t="n"/>
      <c r="C743" s="2" t="n"/>
      <c r="D743" s="2" t="n"/>
      <c r="E743" s="2" t="n"/>
      <c r="F743" s="2" t="n"/>
      <c r="G743" s="2" t="n"/>
    </row>
    <row r="744" ht="14.25" customHeight="1" s="74">
      <c r="A744" s="2" t="n"/>
      <c r="B744" s="2" t="n"/>
      <c r="C744" s="2" t="n"/>
      <c r="D744" s="2" t="n"/>
      <c r="E744" s="2" t="n"/>
      <c r="F744" s="2" t="n"/>
      <c r="G744" s="2" t="n"/>
    </row>
    <row r="745" ht="14.25" customHeight="1" s="74">
      <c r="A745" s="2" t="n"/>
      <c r="B745" s="2" t="n"/>
      <c r="C745" s="2" t="n"/>
      <c r="D745" s="2" t="n"/>
      <c r="E745" s="2" t="n"/>
      <c r="F745" s="2" t="n"/>
      <c r="G745" s="2" t="n"/>
    </row>
    <row r="746" ht="14.25" customHeight="1" s="74">
      <c r="A746" s="2" t="n"/>
      <c r="B746" s="2" t="n"/>
      <c r="C746" s="2" t="n"/>
      <c r="D746" s="2" t="n"/>
      <c r="E746" s="2" t="n"/>
      <c r="F746" s="2" t="n"/>
      <c r="G746" s="2" t="n"/>
    </row>
    <row r="747" ht="14.25" customHeight="1" s="74">
      <c r="A747" s="2" t="n"/>
      <c r="B747" s="2" t="n"/>
      <c r="C747" s="2" t="n"/>
      <c r="D747" s="2" t="n"/>
      <c r="E747" s="2" t="n"/>
      <c r="F747" s="2" t="n"/>
      <c r="G747" s="2" t="n"/>
    </row>
    <row r="748" ht="14.25" customHeight="1" s="74">
      <c r="A748" s="2" t="n"/>
      <c r="B748" s="2" t="n"/>
      <c r="C748" s="2" t="n"/>
      <c r="D748" s="2" t="n"/>
      <c r="E748" s="2" t="n"/>
      <c r="F748" s="2" t="n"/>
      <c r="G748" s="2" t="n"/>
    </row>
    <row r="749" ht="14.25" customHeight="1" s="74">
      <c r="A749" s="2" t="n"/>
      <c r="B749" s="2" t="n"/>
      <c r="C749" s="2" t="n"/>
      <c r="D749" s="2" t="n"/>
      <c r="E749" s="2" t="n"/>
      <c r="F749" s="2" t="n"/>
      <c r="G749" s="2" t="n"/>
    </row>
    <row r="750" ht="14.25" customHeight="1" s="74">
      <c r="A750" s="2" t="n"/>
      <c r="B750" s="2" t="n"/>
      <c r="C750" s="2" t="n"/>
      <c r="D750" s="2" t="n"/>
      <c r="E750" s="2" t="n"/>
      <c r="F750" s="2" t="n"/>
      <c r="G750" s="2" t="n"/>
    </row>
    <row r="751" ht="14.25" customHeight="1" s="74">
      <c r="A751" s="2" t="n"/>
      <c r="B751" s="2" t="n"/>
      <c r="C751" s="2" t="n"/>
      <c r="D751" s="2" t="n"/>
      <c r="E751" s="2" t="n"/>
      <c r="F751" s="2" t="n"/>
      <c r="G751" s="2" t="n"/>
    </row>
    <row r="752" ht="14.25" customHeight="1" s="74">
      <c r="A752" s="2" t="n"/>
      <c r="B752" s="2" t="n"/>
      <c r="C752" s="2" t="n"/>
      <c r="D752" s="2" t="n"/>
      <c r="E752" s="2" t="n"/>
      <c r="F752" s="2" t="n"/>
      <c r="G752" s="2" t="n"/>
    </row>
    <row r="753" ht="14.25" customHeight="1" s="74">
      <c r="A753" s="2" t="n"/>
      <c r="B753" s="2" t="n"/>
      <c r="C753" s="2" t="n"/>
      <c r="D753" s="2" t="n"/>
      <c r="E753" s="2" t="n"/>
      <c r="F753" s="2" t="n"/>
      <c r="G753" s="2" t="n"/>
    </row>
    <row r="754" ht="14.25" customHeight="1" s="74">
      <c r="A754" s="2" t="n"/>
      <c r="B754" s="2" t="n"/>
      <c r="C754" s="2" t="n"/>
      <c r="D754" s="2" t="n"/>
      <c r="E754" s="2" t="n"/>
      <c r="F754" s="2" t="n"/>
      <c r="G754" s="2" t="n"/>
    </row>
    <row r="755" ht="14.25" customHeight="1" s="74">
      <c r="A755" s="2" t="n"/>
      <c r="B755" s="2" t="n"/>
      <c r="C755" s="2" t="n"/>
      <c r="D755" s="2" t="n"/>
      <c r="E755" s="2" t="n"/>
      <c r="F755" s="2" t="n"/>
      <c r="G755" s="2" t="n"/>
    </row>
    <row r="756" ht="14.25" customHeight="1" s="74">
      <c r="A756" s="2" t="n"/>
      <c r="B756" s="2" t="n"/>
      <c r="C756" s="2" t="n"/>
      <c r="D756" s="2" t="n"/>
      <c r="E756" s="2" t="n"/>
      <c r="F756" s="2" t="n"/>
      <c r="G756" s="2" t="n"/>
    </row>
    <row r="757" ht="14.25" customHeight="1" s="74">
      <c r="A757" s="2" t="n"/>
      <c r="B757" s="2" t="n"/>
      <c r="C757" s="2" t="n"/>
      <c r="D757" s="2" t="n"/>
      <c r="E757" s="2" t="n"/>
      <c r="F757" s="2" t="n"/>
      <c r="G757" s="2" t="n"/>
    </row>
    <row r="758" ht="14.25" customHeight="1" s="74">
      <c r="A758" s="2" t="n"/>
      <c r="B758" s="2" t="n"/>
      <c r="C758" s="2" t="n"/>
      <c r="D758" s="2" t="n"/>
      <c r="E758" s="2" t="n"/>
      <c r="F758" s="2" t="n"/>
      <c r="G758" s="2" t="n"/>
    </row>
    <row r="759" ht="14.25" customHeight="1" s="74">
      <c r="A759" s="2" t="n"/>
      <c r="B759" s="2" t="n"/>
      <c r="C759" s="2" t="n"/>
      <c r="D759" s="2" t="n"/>
      <c r="E759" s="2" t="n"/>
      <c r="F759" s="2" t="n"/>
      <c r="G759" s="2" t="n"/>
    </row>
    <row r="760" ht="14.25" customHeight="1" s="74">
      <c r="A760" s="2" t="n"/>
      <c r="B760" s="2" t="n"/>
      <c r="C760" s="2" t="n"/>
      <c r="D760" s="2" t="n"/>
      <c r="E760" s="2" t="n"/>
      <c r="F760" s="2" t="n"/>
      <c r="G760" s="2" t="n"/>
    </row>
    <row r="761" ht="14.25" customHeight="1" s="74">
      <c r="A761" s="2" t="n"/>
      <c r="B761" s="2" t="n"/>
      <c r="C761" s="2" t="n"/>
      <c r="D761" s="2" t="n"/>
      <c r="E761" s="2" t="n"/>
      <c r="F761" s="2" t="n"/>
      <c r="G761" s="2" t="n"/>
    </row>
    <row r="762" ht="14.25" customHeight="1" s="74">
      <c r="A762" s="2" t="n"/>
      <c r="B762" s="2" t="n"/>
      <c r="C762" s="2" t="n"/>
      <c r="D762" s="2" t="n"/>
      <c r="E762" s="2" t="n"/>
      <c r="F762" s="2" t="n"/>
      <c r="G762" s="2" t="n"/>
    </row>
    <row r="763" ht="14.25" customHeight="1" s="74">
      <c r="A763" s="2" t="n"/>
      <c r="B763" s="2" t="n"/>
      <c r="C763" s="2" t="n"/>
      <c r="D763" s="2" t="n"/>
      <c r="E763" s="2" t="n"/>
      <c r="F763" s="2" t="n"/>
      <c r="G763" s="2" t="n"/>
    </row>
    <row r="764" ht="14.25" customHeight="1" s="74">
      <c r="A764" s="2" t="n"/>
      <c r="B764" s="2" t="n"/>
      <c r="C764" s="2" t="n"/>
      <c r="D764" s="2" t="n"/>
      <c r="E764" s="2" t="n"/>
      <c r="F764" s="2" t="n"/>
      <c r="G764" s="2" t="n"/>
    </row>
    <row r="765" ht="14.25" customHeight="1" s="74">
      <c r="A765" s="2" t="n"/>
      <c r="B765" s="2" t="n"/>
      <c r="C765" s="2" t="n"/>
      <c r="D765" s="2" t="n"/>
      <c r="E765" s="2" t="n"/>
      <c r="F765" s="2" t="n"/>
      <c r="G765" s="2" t="n"/>
    </row>
    <row r="766" ht="14.25" customHeight="1" s="74">
      <c r="A766" s="2" t="n"/>
      <c r="B766" s="2" t="n"/>
      <c r="C766" s="2" t="n"/>
      <c r="D766" s="2" t="n"/>
      <c r="E766" s="2" t="n"/>
      <c r="F766" s="2" t="n"/>
      <c r="G766" s="2" t="n"/>
    </row>
    <row r="767" ht="14.25" customHeight="1" s="74">
      <c r="A767" s="2" t="n"/>
      <c r="B767" s="2" t="n"/>
      <c r="C767" s="2" t="n"/>
      <c r="D767" s="2" t="n"/>
      <c r="E767" s="2" t="n"/>
      <c r="F767" s="2" t="n"/>
      <c r="G767" s="2" t="n"/>
    </row>
    <row r="768" ht="14.25" customHeight="1" s="74">
      <c r="A768" s="2" t="n"/>
      <c r="B768" s="2" t="n"/>
      <c r="C768" s="2" t="n"/>
      <c r="D768" s="2" t="n"/>
      <c r="E768" s="2" t="n"/>
      <c r="F768" s="2" t="n"/>
      <c r="G768" s="2" t="n"/>
    </row>
    <row r="769" ht="14.25" customHeight="1" s="74">
      <c r="A769" s="2" t="n"/>
      <c r="B769" s="2" t="n"/>
      <c r="C769" s="2" t="n"/>
      <c r="D769" s="2" t="n"/>
      <c r="E769" s="2" t="n"/>
      <c r="F769" s="2" t="n"/>
      <c r="G769" s="2" t="n"/>
    </row>
    <row r="770" ht="14.25" customHeight="1" s="74">
      <c r="A770" s="2" t="n"/>
      <c r="B770" s="2" t="n"/>
      <c r="C770" s="2" t="n"/>
      <c r="D770" s="2" t="n"/>
      <c r="E770" s="2" t="n"/>
      <c r="F770" s="2" t="n"/>
      <c r="G770" s="2" t="n"/>
    </row>
    <row r="771" ht="14.25" customHeight="1" s="74">
      <c r="A771" s="2" t="n"/>
      <c r="B771" s="2" t="n"/>
      <c r="C771" s="2" t="n"/>
      <c r="D771" s="2" t="n"/>
      <c r="E771" s="2" t="n"/>
      <c r="F771" s="2" t="n"/>
      <c r="G771" s="2" t="n"/>
    </row>
    <row r="772" ht="14.25" customHeight="1" s="74">
      <c r="A772" s="2" t="n"/>
      <c r="B772" s="2" t="n"/>
      <c r="C772" s="2" t="n"/>
      <c r="D772" s="2" t="n"/>
      <c r="E772" s="2" t="n"/>
      <c r="F772" s="2" t="n"/>
      <c r="G772" s="2" t="n"/>
    </row>
    <row r="773" ht="14.25" customHeight="1" s="74">
      <c r="A773" s="2" t="n"/>
      <c r="B773" s="2" t="n"/>
      <c r="C773" s="2" t="n"/>
      <c r="D773" s="2" t="n"/>
      <c r="E773" s="2" t="n"/>
      <c r="F773" s="2" t="n"/>
      <c r="G773" s="2" t="n"/>
    </row>
    <row r="774" ht="14.25" customHeight="1" s="74">
      <c r="A774" s="2" t="n"/>
      <c r="B774" s="2" t="n"/>
      <c r="C774" s="2" t="n"/>
      <c r="D774" s="2" t="n"/>
      <c r="E774" s="2" t="n"/>
      <c r="F774" s="2" t="n"/>
      <c r="G774" s="2" t="n"/>
    </row>
    <row r="775" ht="14.25" customHeight="1" s="74">
      <c r="A775" s="2" t="n"/>
      <c r="B775" s="2" t="n"/>
      <c r="C775" s="2" t="n"/>
      <c r="D775" s="2" t="n"/>
      <c r="E775" s="2" t="n"/>
      <c r="F775" s="2" t="n"/>
      <c r="G775" s="2" t="n"/>
    </row>
    <row r="776" ht="14.25" customHeight="1" s="74">
      <c r="A776" s="2" t="n"/>
      <c r="B776" s="2" t="n"/>
      <c r="C776" s="2" t="n"/>
      <c r="D776" s="2" t="n"/>
      <c r="E776" s="2" t="n"/>
      <c r="F776" s="2" t="n"/>
      <c r="G776" s="2" t="n"/>
    </row>
    <row r="777" ht="14.25" customHeight="1" s="74">
      <c r="A777" s="2" t="n"/>
      <c r="B777" s="2" t="n"/>
      <c r="C777" s="2" t="n"/>
      <c r="D777" s="2" t="n"/>
      <c r="E777" s="2" t="n"/>
      <c r="F777" s="2" t="n"/>
      <c r="G777" s="2" t="n"/>
    </row>
    <row r="778" ht="14.25" customHeight="1" s="74">
      <c r="A778" s="2" t="n"/>
      <c r="B778" s="2" t="n"/>
      <c r="C778" s="2" t="n"/>
      <c r="D778" s="2" t="n"/>
      <c r="E778" s="2" t="n"/>
      <c r="F778" s="2" t="n"/>
      <c r="G778" s="2" t="n"/>
    </row>
    <row r="779" ht="14.25" customHeight="1" s="74">
      <c r="A779" s="2" t="n"/>
      <c r="B779" s="2" t="n"/>
      <c r="C779" s="2" t="n"/>
      <c r="D779" s="2" t="n"/>
      <c r="E779" s="2" t="n"/>
      <c r="F779" s="2" t="n"/>
      <c r="G779" s="2" t="n"/>
    </row>
    <row r="780" ht="14.25" customHeight="1" s="74">
      <c r="A780" s="2" t="n"/>
      <c r="B780" s="2" t="n"/>
      <c r="C780" s="2" t="n"/>
      <c r="D780" s="2" t="n"/>
      <c r="E780" s="2" t="n"/>
      <c r="F780" s="2" t="n"/>
      <c r="G780" s="2" t="n"/>
    </row>
    <row r="781" ht="14.25" customHeight="1" s="74">
      <c r="A781" s="2" t="n"/>
      <c r="B781" s="2" t="n"/>
      <c r="C781" s="2" t="n"/>
      <c r="D781" s="2" t="n"/>
      <c r="E781" s="2" t="n"/>
      <c r="F781" s="2" t="n"/>
      <c r="G781" s="2" t="n"/>
    </row>
    <row r="782" ht="14.25" customHeight="1" s="74">
      <c r="A782" s="2" t="n"/>
      <c r="B782" s="2" t="n"/>
      <c r="C782" s="2" t="n"/>
      <c r="D782" s="2" t="n"/>
      <c r="E782" s="2" t="n"/>
      <c r="F782" s="2" t="n"/>
      <c r="G782" s="2" t="n"/>
    </row>
    <row r="783" ht="14.25" customHeight="1" s="74">
      <c r="A783" s="2" t="n"/>
      <c r="B783" s="2" t="n"/>
      <c r="C783" s="2" t="n"/>
      <c r="D783" s="2" t="n"/>
      <c r="E783" s="2" t="n"/>
      <c r="F783" s="2" t="n"/>
      <c r="G783" s="2" t="n"/>
    </row>
    <row r="784" ht="14.25" customHeight="1" s="74">
      <c r="A784" s="2" t="n"/>
      <c r="B784" s="2" t="n"/>
      <c r="C784" s="2" t="n"/>
      <c r="D784" s="2" t="n"/>
      <c r="E784" s="2" t="n"/>
      <c r="F784" s="2" t="n"/>
      <c r="G784" s="2" t="n"/>
    </row>
    <row r="785" ht="14.25" customHeight="1" s="74">
      <c r="A785" s="2" t="n"/>
      <c r="B785" s="2" t="n"/>
      <c r="C785" s="2" t="n"/>
      <c r="D785" s="2" t="n"/>
      <c r="E785" s="2" t="n"/>
      <c r="F785" s="2" t="n"/>
      <c r="G785" s="2" t="n"/>
    </row>
    <row r="786" ht="14.25" customHeight="1" s="74">
      <c r="A786" s="2" t="n"/>
      <c r="B786" s="2" t="n"/>
      <c r="C786" s="2" t="n"/>
      <c r="D786" s="2" t="n"/>
      <c r="E786" s="2" t="n"/>
      <c r="F786" s="2" t="n"/>
      <c r="G786" s="2" t="n"/>
    </row>
    <row r="787" ht="14.25" customHeight="1" s="74">
      <c r="A787" s="2" t="n"/>
      <c r="B787" s="2" t="n"/>
      <c r="C787" s="2" t="n"/>
      <c r="D787" s="2" t="n"/>
      <c r="E787" s="2" t="n"/>
      <c r="F787" s="2" t="n"/>
      <c r="G787" s="2" t="n"/>
    </row>
    <row r="788" ht="14.25" customHeight="1" s="74">
      <c r="A788" s="2" t="n"/>
      <c r="B788" s="2" t="n"/>
      <c r="C788" s="2" t="n"/>
      <c r="D788" s="2" t="n"/>
      <c r="E788" s="2" t="n"/>
      <c r="F788" s="2" t="n"/>
      <c r="G788" s="2" t="n"/>
    </row>
    <row r="789" ht="14.25" customHeight="1" s="74">
      <c r="A789" s="2" t="n"/>
      <c r="B789" s="2" t="n"/>
      <c r="C789" s="2" t="n"/>
      <c r="D789" s="2" t="n"/>
      <c r="E789" s="2" t="n"/>
      <c r="F789" s="2" t="n"/>
      <c r="G789" s="2" t="n"/>
    </row>
    <row r="790" ht="14.25" customHeight="1" s="74">
      <c r="A790" s="2" t="n"/>
      <c r="B790" s="2" t="n"/>
      <c r="C790" s="2" t="n"/>
      <c r="D790" s="2" t="n"/>
      <c r="E790" s="2" t="n"/>
      <c r="F790" s="2" t="n"/>
      <c r="G790" s="2" t="n"/>
    </row>
    <row r="791" ht="14.25" customHeight="1" s="74">
      <c r="A791" s="2" t="n"/>
      <c r="B791" s="2" t="n"/>
      <c r="C791" s="2" t="n"/>
      <c r="D791" s="2" t="n"/>
      <c r="E791" s="2" t="n"/>
      <c r="F791" s="2" t="n"/>
      <c r="G791" s="2" t="n"/>
    </row>
    <row r="792" ht="14.25" customHeight="1" s="74">
      <c r="A792" s="2" t="n"/>
      <c r="B792" s="2" t="n"/>
      <c r="C792" s="2" t="n"/>
      <c r="D792" s="2" t="n"/>
      <c r="E792" s="2" t="n"/>
      <c r="F792" s="2" t="n"/>
      <c r="G792" s="2" t="n"/>
    </row>
    <row r="793" ht="14.25" customHeight="1" s="74">
      <c r="A793" s="2" t="n"/>
      <c r="B793" s="2" t="n"/>
      <c r="C793" s="2" t="n"/>
      <c r="D793" s="2" t="n"/>
      <c r="E793" s="2" t="n"/>
      <c r="F793" s="2" t="n"/>
      <c r="G793" s="2" t="n"/>
    </row>
    <row r="794" ht="14.25" customHeight="1" s="74">
      <c r="A794" s="2" t="n"/>
      <c r="B794" s="2" t="n"/>
      <c r="C794" s="2" t="n"/>
      <c r="D794" s="2" t="n"/>
      <c r="E794" s="2" t="n"/>
      <c r="F794" s="2" t="n"/>
      <c r="G794" s="2" t="n"/>
    </row>
    <row r="795" ht="14.25" customHeight="1" s="74">
      <c r="A795" s="2" t="n"/>
      <c r="B795" s="2" t="n"/>
      <c r="C795" s="2" t="n"/>
      <c r="D795" s="2" t="n"/>
      <c r="E795" s="2" t="n"/>
      <c r="F795" s="2" t="n"/>
      <c r="G795" s="2" t="n"/>
    </row>
    <row r="796" ht="14.25" customHeight="1" s="74">
      <c r="A796" s="2" t="n"/>
      <c r="B796" s="2" t="n"/>
      <c r="C796" s="2" t="n"/>
      <c r="D796" s="2" t="n"/>
      <c r="E796" s="2" t="n"/>
      <c r="F796" s="2" t="n"/>
      <c r="G796" s="2" t="n"/>
    </row>
    <row r="797" ht="14.25" customHeight="1" s="74">
      <c r="A797" s="2" t="n"/>
      <c r="B797" s="2" t="n"/>
      <c r="C797" s="2" t="n"/>
      <c r="D797" s="2" t="n"/>
      <c r="E797" s="2" t="n"/>
      <c r="F797" s="2" t="n"/>
      <c r="G797" s="2" t="n"/>
    </row>
    <row r="798" ht="14.25" customHeight="1" s="74">
      <c r="A798" s="2" t="n"/>
      <c r="B798" s="2" t="n"/>
      <c r="C798" s="2" t="n"/>
      <c r="D798" s="2" t="n"/>
      <c r="E798" s="2" t="n"/>
      <c r="F798" s="2" t="n"/>
      <c r="G798" s="2" t="n"/>
    </row>
    <row r="799" ht="14.25" customHeight="1" s="74">
      <c r="A799" s="2" t="n"/>
      <c r="B799" s="2" t="n"/>
      <c r="C799" s="2" t="n"/>
      <c r="D799" s="2" t="n"/>
      <c r="E799" s="2" t="n"/>
      <c r="F799" s="2" t="n"/>
      <c r="G799" s="2" t="n"/>
    </row>
    <row r="800" ht="14.25" customHeight="1" s="74">
      <c r="A800" s="2" t="n"/>
      <c r="B800" s="2" t="n"/>
      <c r="C800" s="2" t="n"/>
      <c r="D800" s="2" t="n"/>
      <c r="E800" s="2" t="n"/>
      <c r="F800" s="2" t="n"/>
      <c r="G800" s="2" t="n"/>
    </row>
    <row r="801" ht="14.25" customHeight="1" s="74">
      <c r="A801" s="2" t="n"/>
      <c r="B801" s="2" t="n"/>
      <c r="C801" s="2" t="n"/>
      <c r="D801" s="2" t="n"/>
      <c r="E801" s="2" t="n"/>
      <c r="F801" s="2" t="n"/>
      <c r="G801" s="2" t="n"/>
    </row>
    <row r="802" ht="14.25" customHeight="1" s="74">
      <c r="A802" s="2" t="n"/>
      <c r="B802" s="2" t="n"/>
      <c r="C802" s="2" t="n"/>
      <c r="D802" s="2" t="n"/>
      <c r="E802" s="2" t="n"/>
      <c r="F802" s="2" t="n"/>
      <c r="G802" s="2" t="n"/>
    </row>
    <row r="803" ht="14.25" customHeight="1" s="74">
      <c r="A803" s="2" t="n"/>
      <c r="B803" s="2" t="n"/>
      <c r="C803" s="2" t="n"/>
      <c r="D803" s="2" t="n"/>
      <c r="E803" s="2" t="n"/>
      <c r="F803" s="2" t="n"/>
      <c r="G803" s="2" t="n"/>
    </row>
    <row r="804" ht="14.25" customHeight="1" s="74">
      <c r="A804" s="2" t="n"/>
      <c r="B804" s="2" t="n"/>
      <c r="C804" s="2" t="n"/>
      <c r="D804" s="2" t="n"/>
      <c r="E804" s="2" t="n"/>
      <c r="F804" s="2" t="n"/>
      <c r="G804" s="2" t="n"/>
    </row>
    <row r="805" ht="14.25" customHeight="1" s="74">
      <c r="A805" s="2" t="n"/>
      <c r="B805" s="2" t="n"/>
      <c r="C805" s="2" t="n"/>
      <c r="D805" s="2" t="n"/>
      <c r="E805" s="2" t="n"/>
      <c r="F805" s="2" t="n"/>
      <c r="G805" s="2" t="n"/>
    </row>
    <row r="806" ht="14.25" customHeight="1" s="74">
      <c r="A806" s="2" t="n"/>
      <c r="B806" s="2" t="n"/>
      <c r="C806" s="2" t="n"/>
      <c r="D806" s="2" t="n"/>
      <c r="E806" s="2" t="n"/>
      <c r="F806" s="2" t="n"/>
      <c r="G806" s="2" t="n"/>
    </row>
    <row r="807" ht="14.25" customHeight="1" s="74">
      <c r="A807" s="2" t="n"/>
      <c r="B807" s="2" t="n"/>
      <c r="C807" s="2" t="n"/>
      <c r="D807" s="2" t="n"/>
      <c r="E807" s="2" t="n"/>
      <c r="F807" s="2" t="n"/>
      <c r="G807" s="2" t="n"/>
    </row>
    <row r="808" ht="14.25" customHeight="1" s="74">
      <c r="A808" s="2" t="n"/>
      <c r="B808" s="2" t="n"/>
      <c r="C808" s="2" t="n"/>
      <c r="D808" s="2" t="n"/>
      <c r="E808" s="2" t="n"/>
      <c r="F808" s="2" t="n"/>
      <c r="G808" s="2" t="n"/>
    </row>
    <row r="809" ht="14.25" customHeight="1" s="74">
      <c r="A809" s="2" t="n"/>
      <c r="B809" s="2" t="n"/>
      <c r="C809" s="2" t="n"/>
      <c r="D809" s="2" t="n"/>
      <c r="E809" s="2" t="n"/>
      <c r="F809" s="2" t="n"/>
      <c r="G809" s="2" t="n"/>
    </row>
    <row r="810" ht="14.25" customHeight="1" s="74">
      <c r="A810" s="2" t="n"/>
      <c r="B810" s="2" t="n"/>
      <c r="C810" s="2" t="n"/>
      <c r="D810" s="2" t="n"/>
      <c r="E810" s="2" t="n"/>
      <c r="F810" s="2" t="n"/>
      <c r="G810" s="2" t="n"/>
    </row>
    <row r="811" ht="14.25" customHeight="1" s="74">
      <c r="A811" s="2" t="n"/>
      <c r="B811" s="2" t="n"/>
      <c r="C811" s="2" t="n"/>
      <c r="D811" s="2" t="n"/>
      <c r="E811" s="2" t="n"/>
      <c r="F811" s="2" t="n"/>
      <c r="G811" s="2" t="n"/>
    </row>
    <row r="812" ht="14.25" customHeight="1" s="74">
      <c r="A812" s="2" t="n"/>
      <c r="B812" s="2" t="n"/>
      <c r="C812" s="2" t="n"/>
      <c r="D812" s="2" t="n"/>
      <c r="E812" s="2" t="n"/>
      <c r="F812" s="2" t="n"/>
      <c r="G812" s="2" t="n"/>
    </row>
    <row r="813" ht="14.25" customHeight="1" s="74">
      <c r="A813" s="2" t="n"/>
      <c r="B813" s="2" t="n"/>
      <c r="C813" s="2" t="n"/>
      <c r="D813" s="2" t="n"/>
      <c r="E813" s="2" t="n"/>
      <c r="F813" s="2" t="n"/>
      <c r="G813" s="2" t="n"/>
    </row>
    <row r="814" ht="14.25" customHeight="1" s="74">
      <c r="A814" s="2" t="n"/>
      <c r="B814" s="2" t="n"/>
      <c r="C814" s="2" t="n"/>
      <c r="D814" s="2" t="n"/>
      <c r="E814" s="2" t="n"/>
      <c r="F814" s="2" t="n"/>
      <c r="G814" s="2" t="n"/>
    </row>
    <row r="815" ht="14.25" customHeight="1" s="74">
      <c r="A815" s="2" t="n"/>
      <c r="B815" s="2" t="n"/>
      <c r="C815" s="2" t="n"/>
      <c r="D815" s="2" t="n"/>
      <c r="E815" s="2" t="n"/>
      <c r="F815" s="2" t="n"/>
      <c r="G815" s="2" t="n"/>
    </row>
    <row r="816" ht="14.25" customHeight="1" s="74">
      <c r="A816" s="2" t="n"/>
      <c r="B816" s="2" t="n"/>
      <c r="C816" s="2" t="n"/>
      <c r="D816" s="2" t="n"/>
      <c r="E816" s="2" t="n"/>
      <c r="F816" s="2" t="n"/>
      <c r="G816" s="2" t="n"/>
    </row>
    <row r="817" ht="14.25" customHeight="1" s="74">
      <c r="A817" s="2" t="n"/>
      <c r="B817" s="2" t="n"/>
      <c r="C817" s="2" t="n"/>
      <c r="D817" s="2" t="n"/>
      <c r="E817" s="2" t="n"/>
      <c r="F817" s="2" t="n"/>
      <c r="G817" s="2" t="n"/>
    </row>
    <row r="818" ht="14.25" customHeight="1" s="74">
      <c r="A818" s="2" t="n"/>
      <c r="B818" s="2" t="n"/>
      <c r="C818" s="2" t="n"/>
      <c r="D818" s="2" t="n"/>
      <c r="E818" s="2" t="n"/>
      <c r="F818" s="2" t="n"/>
      <c r="G818" s="2" t="n"/>
    </row>
    <row r="819" ht="14.25" customHeight="1" s="74">
      <c r="A819" s="2" t="n"/>
      <c r="B819" s="2" t="n"/>
      <c r="C819" s="2" t="n"/>
      <c r="D819" s="2" t="n"/>
      <c r="E819" s="2" t="n"/>
      <c r="F819" s="2" t="n"/>
      <c r="G819" s="2" t="n"/>
    </row>
    <row r="820" ht="14.25" customHeight="1" s="74">
      <c r="A820" s="2" t="n"/>
      <c r="B820" s="2" t="n"/>
      <c r="C820" s="2" t="n"/>
      <c r="D820" s="2" t="n"/>
      <c r="E820" s="2" t="n"/>
      <c r="F820" s="2" t="n"/>
      <c r="G820" s="2" t="n"/>
    </row>
    <row r="821" ht="14.25" customHeight="1" s="74">
      <c r="A821" s="2" t="n"/>
      <c r="B821" s="2" t="n"/>
      <c r="C821" s="2" t="n"/>
      <c r="D821" s="2" t="n"/>
      <c r="E821" s="2" t="n"/>
      <c r="F821" s="2" t="n"/>
      <c r="G821" s="2" t="n"/>
    </row>
    <row r="822" ht="14.25" customHeight="1" s="74">
      <c r="A822" s="2" t="n"/>
      <c r="B822" s="2" t="n"/>
      <c r="C822" s="2" t="n"/>
      <c r="D822" s="2" t="n"/>
      <c r="E822" s="2" t="n"/>
      <c r="F822" s="2" t="n"/>
      <c r="G822" s="2" t="n"/>
    </row>
    <row r="823" ht="14.25" customHeight="1" s="74">
      <c r="A823" s="2" t="n"/>
      <c r="B823" s="2" t="n"/>
      <c r="C823" s="2" t="n"/>
      <c r="D823" s="2" t="n"/>
      <c r="E823" s="2" t="n"/>
      <c r="F823" s="2" t="n"/>
      <c r="G823" s="2" t="n"/>
    </row>
    <row r="824" ht="14.25" customHeight="1" s="74">
      <c r="A824" s="2" t="n"/>
      <c r="B824" s="2" t="n"/>
      <c r="C824" s="2" t="n"/>
      <c r="D824" s="2" t="n"/>
      <c r="E824" s="2" t="n"/>
      <c r="F824" s="2" t="n"/>
      <c r="G824" s="2" t="n"/>
    </row>
    <row r="825" ht="14.25" customHeight="1" s="74">
      <c r="A825" s="2" t="n"/>
      <c r="B825" s="2" t="n"/>
      <c r="C825" s="2" t="n"/>
      <c r="D825" s="2" t="n"/>
      <c r="E825" s="2" t="n"/>
      <c r="F825" s="2" t="n"/>
      <c r="G825" s="2" t="n"/>
    </row>
    <row r="826" ht="14.25" customHeight="1" s="74">
      <c r="A826" s="2" t="n"/>
      <c r="B826" s="2" t="n"/>
      <c r="C826" s="2" t="n"/>
      <c r="D826" s="2" t="n"/>
      <c r="E826" s="2" t="n"/>
      <c r="F826" s="2" t="n"/>
      <c r="G826" s="2" t="n"/>
    </row>
    <row r="827" ht="14.25" customHeight="1" s="74">
      <c r="A827" s="2" t="n"/>
      <c r="B827" s="2" t="n"/>
      <c r="C827" s="2" t="n"/>
      <c r="D827" s="2" t="n"/>
      <c r="E827" s="2" t="n"/>
      <c r="F827" s="2" t="n"/>
      <c r="G827" s="2" t="n"/>
    </row>
    <row r="828" ht="14.25" customHeight="1" s="74">
      <c r="A828" s="2" t="n"/>
      <c r="B828" s="2" t="n"/>
      <c r="C828" s="2" t="n"/>
      <c r="D828" s="2" t="n"/>
      <c r="E828" s="2" t="n"/>
      <c r="F828" s="2" t="n"/>
      <c r="G828" s="2" t="n"/>
    </row>
    <row r="829" ht="14.25" customHeight="1" s="74">
      <c r="A829" s="2" t="n"/>
      <c r="B829" s="2" t="n"/>
      <c r="C829" s="2" t="n"/>
      <c r="D829" s="2" t="n"/>
      <c r="E829" s="2" t="n"/>
      <c r="F829" s="2" t="n"/>
      <c r="G829" s="2" t="n"/>
    </row>
    <row r="830" ht="14.25" customHeight="1" s="74">
      <c r="A830" s="2" t="n"/>
      <c r="B830" s="2" t="n"/>
      <c r="C830" s="2" t="n"/>
      <c r="D830" s="2" t="n"/>
      <c r="E830" s="2" t="n"/>
      <c r="F830" s="2" t="n"/>
      <c r="G830" s="2" t="n"/>
    </row>
    <row r="831" ht="14.25" customHeight="1" s="74">
      <c r="A831" s="2" t="n"/>
      <c r="B831" s="2" t="n"/>
      <c r="C831" s="2" t="n"/>
      <c r="D831" s="2" t="n"/>
      <c r="E831" s="2" t="n"/>
      <c r="F831" s="2" t="n"/>
      <c r="G831" s="2" t="n"/>
    </row>
    <row r="832" ht="14.25" customHeight="1" s="74">
      <c r="A832" s="2" t="n"/>
      <c r="B832" s="2" t="n"/>
      <c r="C832" s="2" t="n"/>
      <c r="D832" s="2" t="n"/>
      <c r="E832" s="2" t="n"/>
      <c r="F832" s="2" t="n"/>
      <c r="G832" s="2" t="n"/>
    </row>
    <row r="833" ht="14.25" customHeight="1" s="74">
      <c r="A833" s="2" t="n"/>
      <c r="B833" s="2" t="n"/>
      <c r="C833" s="2" t="n"/>
      <c r="D833" s="2" t="n"/>
      <c r="E833" s="2" t="n"/>
      <c r="F833" s="2" t="n"/>
      <c r="G833" s="2" t="n"/>
    </row>
    <row r="834" ht="14.25" customHeight="1" s="74">
      <c r="A834" s="2" t="n"/>
      <c r="B834" s="2" t="n"/>
      <c r="C834" s="2" t="n"/>
      <c r="D834" s="2" t="n"/>
      <c r="E834" s="2" t="n"/>
      <c r="F834" s="2" t="n"/>
      <c r="G834" s="2" t="n"/>
    </row>
    <row r="835" ht="14.25" customHeight="1" s="74">
      <c r="A835" s="2" t="n"/>
      <c r="B835" s="2" t="n"/>
      <c r="C835" s="2" t="n"/>
      <c r="D835" s="2" t="n"/>
      <c r="E835" s="2" t="n"/>
      <c r="F835" s="2" t="n"/>
      <c r="G835" s="2" t="n"/>
    </row>
    <row r="836" ht="14.25" customHeight="1" s="74">
      <c r="A836" s="2" t="n"/>
      <c r="B836" s="2" t="n"/>
      <c r="C836" s="2" t="n"/>
      <c r="D836" s="2" t="n"/>
      <c r="E836" s="2" t="n"/>
      <c r="F836" s="2" t="n"/>
      <c r="G836" s="2" t="n"/>
    </row>
    <row r="837" ht="14.25" customHeight="1" s="74">
      <c r="A837" s="2" t="n"/>
      <c r="B837" s="2" t="n"/>
      <c r="C837" s="2" t="n"/>
      <c r="D837" s="2" t="n"/>
      <c r="E837" s="2" t="n"/>
      <c r="F837" s="2" t="n"/>
      <c r="G837" s="2" t="n"/>
    </row>
    <row r="838" ht="14.25" customHeight="1" s="74">
      <c r="A838" s="2" t="n"/>
      <c r="B838" s="2" t="n"/>
      <c r="C838" s="2" t="n"/>
      <c r="D838" s="2" t="n"/>
      <c r="E838" s="2" t="n"/>
      <c r="F838" s="2" t="n"/>
      <c r="G838" s="2" t="n"/>
    </row>
    <row r="839" ht="14.25" customHeight="1" s="74">
      <c r="A839" s="2" t="n"/>
      <c r="B839" s="2" t="n"/>
      <c r="C839" s="2" t="n"/>
      <c r="D839" s="2" t="n"/>
      <c r="E839" s="2" t="n"/>
      <c r="F839" s="2" t="n"/>
      <c r="G839" s="2" t="n"/>
    </row>
    <row r="840" ht="14.25" customHeight="1" s="74">
      <c r="A840" s="2" t="n"/>
      <c r="B840" s="2" t="n"/>
      <c r="C840" s="2" t="n"/>
      <c r="D840" s="2" t="n"/>
      <c r="E840" s="2" t="n"/>
      <c r="F840" s="2" t="n"/>
      <c r="G840" s="2" t="n"/>
    </row>
    <row r="841" ht="14.25" customHeight="1" s="74">
      <c r="A841" s="2" t="n"/>
      <c r="B841" s="2" t="n"/>
      <c r="C841" s="2" t="n"/>
      <c r="D841" s="2" t="n"/>
      <c r="E841" s="2" t="n"/>
      <c r="F841" s="2" t="n"/>
      <c r="G841" s="2" t="n"/>
    </row>
    <row r="842" ht="14.25" customHeight="1" s="74">
      <c r="A842" s="2" t="n"/>
      <c r="B842" s="2" t="n"/>
      <c r="C842" s="2" t="n"/>
      <c r="D842" s="2" t="n"/>
      <c r="E842" s="2" t="n"/>
      <c r="F842" s="2" t="n"/>
      <c r="G842" s="2" t="n"/>
    </row>
    <row r="843" ht="14.25" customHeight="1" s="74">
      <c r="A843" s="2" t="n"/>
      <c r="B843" s="2" t="n"/>
      <c r="C843" s="2" t="n"/>
      <c r="D843" s="2" t="n"/>
      <c r="E843" s="2" t="n"/>
      <c r="F843" s="2" t="n"/>
      <c r="G843" s="2" t="n"/>
    </row>
    <row r="844" ht="14.25" customHeight="1" s="74">
      <c r="A844" s="2" t="n"/>
      <c r="B844" s="2" t="n"/>
      <c r="C844" s="2" t="n"/>
      <c r="D844" s="2" t="n"/>
      <c r="E844" s="2" t="n"/>
      <c r="F844" s="2" t="n"/>
      <c r="G844" s="2" t="n"/>
    </row>
    <row r="845" ht="14.25" customHeight="1" s="74">
      <c r="A845" s="2" t="n"/>
      <c r="B845" s="2" t="n"/>
      <c r="C845" s="2" t="n"/>
      <c r="D845" s="2" t="n"/>
      <c r="E845" s="2" t="n"/>
      <c r="F845" s="2" t="n"/>
      <c r="G845" s="2" t="n"/>
    </row>
    <row r="846" ht="14.25" customHeight="1" s="74">
      <c r="A846" s="2" t="n"/>
      <c r="B846" s="2" t="n"/>
      <c r="C846" s="2" t="n"/>
      <c r="D846" s="2" t="n"/>
      <c r="E846" s="2" t="n"/>
      <c r="F846" s="2" t="n"/>
      <c r="G846" s="2" t="n"/>
    </row>
    <row r="847" ht="14.25" customHeight="1" s="74">
      <c r="A847" s="2" t="n"/>
      <c r="B847" s="2" t="n"/>
      <c r="C847" s="2" t="n"/>
      <c r="D847" s="2" t="n"/>
      <c r="E847" s="2" t="n"/>
      <c r="F847" s="2" t="n"/>
      <c r="G847" s="2" t="n"/>
    </row>
    <row r="848" ht="14.25" customHeight="1" s="74">
      <c r="A848" s="2" t="n"/>
      <c r="B848" s="2" t="n"/>
      <c r="C848" s="2" t="n"/>
      <c r="D848" s="2" t="n"/>
      <c r="E848" s="2" t="n"/>
      <c r="F848" s="2" t="n"/>
      <c r="G848" s="2" t="n"/>
    </row>
    <row r="849" ht="14.25" customHeight="1" s="74">
      <c r="A849" s="2" t="n"/>
      <c r="B849" s="2" t="n"/>
      <c r="C849" s="2" t="n"/>
      <c r="D849" s="2" t="n"/>
      <c r="E849" s="2" t="n"/>
      <c r="F849" s="2" t="n"/>
      <c r="G849" s="2" t="n"/>
    </row>
    <row r="850" ht="14.25" customHeight="1" s="74">
      <c r="A850" s="2" t="n"/>
      <c r="B850" s="2" t="n"/>
      <c r="C850" s="2" t="n"/>
      <c r="D850" s="2" t="n"/>
      <c r="E850" s="2" t="n"/>
      <c r="F850" s="2" t="n"/>
      <c r="G850" s="2" t="n"/>
    </row>
    <row r="851" ht="14.25" customHeight="1" s="74">
      <c r="A851" s="2" t="n"/>
      <c r="B851" s="2" t="n"/>
      <c r="C851" s="2" t="n"/>
      <c r="D851" s="2" t="n"/>
      <c r="E851" s="2" t="n"/>
      <c r="F851" s="2" t="n"/>
      <c r="G851" s="2" t="n"/>
    </row>
    <row r="852" ht="14.25" customHeight="1" s="74">
      <c r="A852" s="2" t="n"/>
      <c r="B852" s="2" t="n"/>
      <c r="C852" s="2" t="n"/>
      <c r="D852" s="2" t="n"/>
      <c r="E852" s="2" t="n"/>
      <c r="F852" s="2" t="n"/>
      <c r="G852" s="2" t="n"/>
    </row>
    <row r="853" ht="14.25" customHeight="1" s="74">
      <c r="A853" s="2" t="n"/>
      <c r="B853" s="2" t="n"/>
      <c r="C853" s="2" t="n"/>
      <c r="D853" s="2" t="n"/>
      <c r="E853" s="2" t="n"/>
      <c r="F853" s="2" t="n"/>
      <c r="G853" s="2" t="n"/>
    </row>
    <row r="854" ht="14.25" customHeight="1" s="74">
      <c r="A854" s="2" t="n"/>
      <c r="B854" s="2" t="n"/>
      <c r="C854" s="2" t="n"/>
      <c r="D854" s="2" t="n"/>
      <c r="E854" s="2" t="n"/>
      <c r="F854" s="2" t="n"/>
      <c r="G854" s="2" t="n"/>
    </row>
    <row r="855" ht="14.25" customHeight="1" s="74">
      <c r="A855" s="2" t="n"/>
      <c r="B855" s="2" t="n"/>
      <c r="C855" s="2" t="n"/>
      <c r="D855" s="2" t="n"/>
      <c r="E855" s="2" t="n"/>
      <c r="F855" s="2" t="n"/>
      <c r="G855" s="2" t="n"/>
    </row>
    <row r="856" ht="14.25" customHeight="1" s="74">
      <c r="A856" s="2" t="n"/>
      <c r="B856" s="2" t="n"/>
      <c r="C856" s="2" t="n"/>
      <c r="D856" s="2" t="n"/>
      <c r="E856" s="2" t="n"/>
      <c r="F856" s="2" t="n"/>
      <c r="G856" s="2" t="n"/>
    </row>
    <row r="857" ht="14.25" customHeight="1" s="74">
      <c r="A857" s="2" t="n"/>
      <c r="B857" s="2" t="n"/>
      <c r="C857" s="2" t="n"/>
      <c r="D857" s="2" t="n"/>
      <c r="E857" s="2" t="n"/>
      <c r="F857" s="2" t="n"/>
      <c r="G857" s="2" t="n"/>
    </row>
    <row r="858" ht="14.25" customHeight="1" s="74">
      <c r="A858" s="2" t="n"/>
      <c r="B858" s="2" t="n"/>
      <c r="C858" s="2" t="n"/>
      <c r="D858" s="2" t="n"/>
      <c r="E858" s="2" t="n"/>
      <c r="F858" s="2" t="n"/>
      <c r="G858" s="2" t="n"/>
    </row>
    <row r="859" ht="14.25" customHeight="1" s="74">
      <c r="A859" s="2" t="n"/>
      <c r="B859" s="2" t="n"/>
      <c r="C859" s="2" t="n"/>
      <c r="D859" s="2" t="n"/>
      <c r="E859" s="2" t="n"/>
      <c r="F859" s="2" t="n"/>
      <c r="G859" s="2" t="n"/>
    </row>
    <row r="860" ht="14.25" customHeight="1" s="74">
      <c r="A860" s="2" t="n"/>
      <c r="B860" s="2" t="n"/>
      <c r="C860" s="2" t="n"/>
      <c r="D860" s="2" t="n"/>
      <c r="E860" s="2" t="n"/>
      <c r="F860" s="2" t="n"/>
      <c r="G860" s="2" t="n"/>
    </row>
    <row r="861" ht="14.25" customHeight="1" s="74">
      <c r="A861" s="2" t="n"/>
      <c r="B861" s="2" t="n"/>
      <c r="C861" s="2" t="n"/>
      <c r="D861" s="2" t="n"/>
      <c r="E861" s="2" t="n"/>
      <c r="F861" s="2" t="n"/>
      <c r="G861" s="2" t="n"/>
    </row>
    <row r="862" ht="14.25" customHeight="1" s="74">
      <c r="A862" s="2" t="n"/>
      <c r="B862" s="2" t="n"/>
      <c r="C862" s="2" t="n"/>
      <c r="D862" s="2" t="n"/>
      <c r="E862" s="2" t="n"/>
      <c r="F862" s="2" t="n"/>
      <c r="G862" s="2" t="n"/>
    </row>
    <row r="863" ht="14.25" customHeight="1" s="74">
      <c r="A863" s="2" t="n"/>
      <c r="B863" s="2" t="n"/>
      <c r="C863" s="2" t="n"/>
      <c r="D863" s="2" t="n"/>
      <c r="E863" s="2" t="n"/>
      <c r="F863" s="2" t="n"/>
      <c r="G863" s="2" t="n"/>
    </row>
    <row r="864" ht="14.25" customHeight="1" s="74">
      <c r="A864" s="2" t="n"/>
      <c r="B864" s="2" t="n"/>
      <c r="C864" s="2" t="n"/>
      <c r="D864" s="2" t="n"/>
      <c r="E864" s="2" t="n"/>
      <c r="F864" s="2" t="n"/>
      <c r="G864" s="2" t="n"/>
    </row>
    <row r="865" ht="14.25" customHeight="1" s="74">
      <c r="A865" s="2" t="n"/>
      <c r="B865" s="2" t="n"/>
      <c r="C865" s="2" t="n"/>
      <c r="D865" s="2" t="n"/>
      <c r="E865" s="2" t="n"/>
      <c r="F865" s="2" t="n"/>
      <c r="G865" s="2" t="n"/>
    </row>
    <row r="866" ht="14.25" customHeight="1" s="74">
      <c r="A866" s="2" t="n"/>
      <c r="B866" s="2" t="n"/>
      <c r="C866" s="2" t="n"/>
      <c r="D866" s="2" t="n"/>
      <c r="E866" s="2" t="n"/>
      <c r="F866" s="2" t="n"/>
      <c r="G866" s="2" t="n"/>
    </row>
    <row r="867" ht="14.25" customHeight="1" s="74">
      <c r="A867" s="2" t="n"/>
      <c r="B867" s="2" t="n"/>
      <c r="C867" s="2" t="n"/>
      <c r="D867" s="2" t="n"/>
      <c r="E867" s="2" t="n"/>
      <c r="F867" s="2" t="n"/>
      <c r="G867" s="2" t="n"/>
    </row>
    <row r="868" ht="14.25" customHeight="1" s="74">
      <c r="A868" s="2" t="n"/>
      <c r="B868" s="2" t="n"/>
      <c r="C868" s="2" t="n"/>
      <c r="D868" s="2" t="n"/>
      <c r="E868" s="2" t="n"/>
      <c r="F868" s="2" t="n"/>
      <c r="G868" s="2" t="n"/>
    </row>
    <row r="869" ht="14.25" customHeight="1" s="74">
      <c r="A869" s="2" t="n"/>
      <c r="B869" s="2" t="n"/>
      <c r="C869" s="2" t="n"/>
      <c r="D869" s="2" t="n"/>
      <c r="E869" s="2" t="n"/>
      <c r="F869" s="2" t="n"/>
      <c r="G869" s="2" t="n"/>
    </row>
    <row r="870" ht="14.25" customHeight="1" s="74">
      <c r="A870" s="2" t="n"/>
      <c r="B870" s="2" t="n"/>
      <c r="C870" s="2" t="n"/>
      <c r="D870" s="2" t="n"/>
      <c r="E870" s="2" t="n"/>
      <c r="F870" s="2" t="n"/>
      <c r="G870" s="2" t="n"/>
    </row>
    <row r="871" ht="14.25" customHeight="1" s="74">
      <c r="A871" s="2" t="n"/>
      <c r="B871" s="2" t="n"/>
      <c r="C871" s="2" t="n"/>
      <c r="D871" s="2" t="n"/>
      <c r="E871" s="2" t="n"/>
      <c r="F871" s="2" t="n"/>
      <c r="G871" s="2" t="n"/>
    </row>
    <row r="872" ht="14.25" customHeight="1" s="74">
      <c r="A872" s="2" t="n"/>
      <c r="B872" s="2" t="n"/>
      <c r="C872" s="2" t="n"/>
      <c r="D872" s="2" t="n"/>
      <c r="E872" s="2" t="n"/>
      <c r="F872" s="2" t="n"/>
      <c r="G872" s="2" t="n"/>
    </row>
    <row r="873" ht="14.25" customHeight="1" s="74">
      <c r="A873" s="2" t="n"/>
      <c r="B873" s="2" t="n"/>
      <c r="C873" s="2" t="n"/>
      <c r="D873" s="2" t="n"/>
      <c r="E873" s="2" t="n"/>
      <c r="F873" s="2" t="n"/>
      <c r="G873" s="2" t="n"/>
    </row>
    <row r="874" ht="14.25" customHeight="1" s="74">
      <c r="A874" s="2" t="n"/>
      <c r="B874" s="2" t="n"/>
      <c r="C874" s="2" t="n"/>
      <c r="D874" s="2" t="n"/>
      <c r="E874" s="2" t="n"/>
      <c r="F874" s="2" t="n"/>
      <c r="G874" s="2" t="n"/>
    </row>
    <row r="875" ht="14.25" customHeight="1" s="74">
      <c r="A875" s="2" t="n"/>
      <c r="B875" s="2" t="n"/>
      <c r="C875" s="2" t="n"/>
      <c r="D875" s="2" t="n"/>
      <c r="E875" s="2" t="n"/>
      <c r="F875" s="2" t="n"/>
      <c r="G875" s="2" t="n"/>
    </row>
    <row r="876" ht="14.25" customHeight="1" s="74">
      <c r="A876" s="2" t="n"/>
      <c r="B876" s="2" t="n"/>
      <c r="C876" s="2" t="n"/>
      <c r="D876" s="2" t="n"/>
      <c r="E876" s="2" t="n"/>
      <c r="F876" s="2" t="n"/>
      <c r="G876" s="2" t="n"/>
    </row>
    <row r="877" ht="14.25" customHeight="1" s="74">
      <c r="A877" s="2" t="n"/>
      <c r="B877" s="2" t="n"/>
      <c r="C877" s="2" t="n"/>
      <c r="D877" s="2" t="n"/>
      <c r="E877" s="2" t="n"/>
      <c r="F877" s="2" t="n"/>
      <c r="G877" s="2" t="n"/>
    </row>
    <row r="878" ht="14.25" customHeight="1" s="74">
      <c r="A878" s="2" t="n"/>
      <c r="B878" s="2" t="n"/>
      <c r="C878" s="2" t="n"/>
      <c r="D878" s="2" t="n"/>
      <c r="E878" s="2" t="n"/>
      <c r="F878" s="2" t="n"/>
      <c r="G878" s="2" t="n"/>
    </row>
    <row r="879" ht="14.25" customHeight="1" s="74">
      <c r="A879" s="2" t="n"/>
      <c r="B879" s="2" t="n"/>
      <c r="C879" s="2" t="n"/>
      <c r="D879" s="2" t="n"/>
      <c r="E879" s="2" t="n"/>
      <c r="F879" s="2" t="n"/>
      <c r="G879" s="2" t="n"/>
    </row>
    <row r="880" ht="14.25" customHeight="1" s="74">
      <c r="A880" s="2" t="n"/>
      <c r="B880" s="2" t="n"/>
      <c r="C880" s="2" t="n"/>
      <c r="D880" s="2" t="n"/>
      <c r="E880" s="2" t="n"/>
      <c r="F880" s="2" t="n"/>
      <c r="G880" s="2" t="n"/>
    </row>
    <row r="881" ht="14.25" customHeight="1" s="74">
      <c r="A881" s="2" t="n"/>
      <c r="B881" s="2" t="n"/>
      <c r="C881" s="2" t="n"/>
      <c r="D881" s="2" t="n"/>
      <c r="E881" s="2" t="n"/>
      <c r="F881" s="2" t="n"/>
      <c r="G881" s="2" t="n"/>
    </row>
    <row r="882" ht="14.25" customHeight="1" s="74">
      <c r="A882" s="2" t="n"/>
      <c r="B882" s="2" t="n"/>
      <c r="C882" s="2" t="n"/>
      <c r="D882" s="2" t="n"/>
      <c r="E882" s="2" t="n"/>
      <c r="F882" s="2" t="n"/>
      <c r="G882" s="2" t="n"/>
    </row>
    <row r="883" ht="14.25" customHeight="1" s="74">
      <c r="A883" s="2" t="n"/>
      <c r="B883" s="2" t="n"/>
      <c r="C883" s="2" t="n"/>
      <c r="D883" s="2" t="n"/>
      <c r="E883" s="2" t="n"/>
      <c r="F883" s="2" t="n"/>
      <c r="G883" s="2" t="n"/>
    </row>
    <row r="884" ht="14.25" customHeight="1" s="74">
      <c r="A884" s="2" t="n"/>
      <c r="B884" s="2" t="n"/>
      <c r="C884" s="2" t="n"/>
      <c r="D884" s="2" t="n"/>
      <c r="E884" s="2" t="n"/>
      <c r="F884" s="2" t="n"/>
      <c r="G884" s="2" t="n"/>
    </row>
    <row r="885" ht="14.25" customHeight="1" s="74">
      <c r="A885" s="2" t="n"/>
      <c r="B885" s="2" t="n"/>
      <c r="C885" s="2" t="n"/>
      <c r="D885" s="2" t="n"/>
      <c r="E885" s="2" t="n"/>
      <c r="F885" s="2" t="n"/>
      <c r="G885" s="2" t="n"/>
    </row>
    <row r="886" ht="14.25" customHeight="1" s="74">
      <c r="A886" s="2" t="n"/>
      <c r="B886" s="2" t="n"/>
      <c r="C886" s="2" t="n"/>
      <c r="D886" s="2" t="n"/>
      <c r="E886" s="2" t="n"/>
      <c r="F886" s="2" t="n"/>
      <c r="G886" s="2" t="n"/>
    </row>
    <row r="887" ht="14.25" customHeight="1" s="74">
      <c r="A887" s="2" t="n"/>
      <c r="B887" s="2" t="n"/>
      <c r="C887" s="2" t="n"/>
      <c r="D887" s="2" t="n"/>
      <c r="E887" s="2" t="n"/>
      <c r="F887" s="2" t="n"/>
      <c r="G887" s="2" t="n"/>
    </row>
    <row r="888" ht="14.25" customHeight="1" s="74">
      <c r="A888" s="2" t="n"/>
      <c r="B888" s="2" t="n"/>
      <c r="C888" s="2" t="n"/>
      <c r="D888" s="2" t="n"/>
      <c r="E888" s="2" t="n"/>
      <c r="F888" s="2" t="n"/>
      <c r="G888" s="2" t="n"/>
    </row>
    <row r="889" ht="14.25" customHeight="1" s="74">
      <c r="A889" s="2" t="n"/>
      <c r="B889" s="2" t="n"/>
      <c r="C889" s="2" t="n"/>
      <c r="D889" s="2" t="n"/>
      <c r="E889" s="2" t="n"/>
      <c r="F889" s="2" t="n"/>
      <c r="G889" s="2" t="n"/>
    </row>
    <row r="890" ht="14.25" customHeight="1" s="74">
      <c r="A890" s="2" t="n"/>
      <c r="B890" s="2" t="n"/>
      <c r="C890" s="2" t="n"/>
      <c r="D890" s="2" t="n"/>
      <c r="E890" s="2" t="n"/>
      <c r="F890" s="2" t="n"/>
      <c r="G890" s="2" t="n"/>
    </row>
    <row r="891" ht="14.25" customHeight="1" s="74">
      <c r="A891" s="2" t="n"/>
      <c r="B891" s="2" t="n"/>
      <c r="C891" s="2" t="n"/>
      <c r="D891" s="2" t="n"/>
      <c r="E891" s="2" t="n"/>
      <c r="F891" s="2" t="n"/>
      <c r="G891" s="2" t="n"/>
    </row>
    <row r="892" ht="14.25" customHeight="1" s="74">
      <c r="A892" s="2" t="n"/>
      <c r="B892" s="2" t="n"/>
      <c r="C892" s="2" t="n"/>
      <c r="D892" s="2" t="n"/>
      <c r="E892" s="2" t="n"/>
      <c r="F892" s="2" t="n"/>
      <c r="G892" s="2" t="n"/>
    </row>
    <row r="893" ht="14.25" customHeight="1" s="74">
      <c r="A893" s="2" t="n"/>
      <c r="B893" s="2" t="n"/>
      <c r="C893" s="2" t="n"/>
      <c r="D893" s="2" t="n"/>
      <c r="E893" s="2" t="n"/>
      <c r="F893" s="2" t="n"/>
      <c r="G893" s="2" t="n"/>
    </row>
    <row r="894" ht="14.25" customHeight="1" s="74">
      <c r="A894" s="2" t="n"/>
      <c r="B894" s="2" t="n"/>
      <c r="C894" s="2" t="n"/>
      <c r="D894" s="2" t="n"/>
      <c r="E894" s="2" t="n"/>
      <c r="F894" s="2" t="n"/>
      <c r="G894" s="2" t="n"/>
    </row>
    <row r="895" ht="14.25" customHeight="1" s="74">
      <c r="A895" s="2" t="n"/>
      <c r="B895" s="2" t="n"/>
      <c r="C895" s="2" t="n"/>
      <c r="D895" s="2" t="n"/>
      <c r="E895" s="2" t="n"/>
      <c r="F895" s="2" t="n"/>
      <c r="G895" s="2" t="n"/>
    </row>
    <row r="896" ht="14.25" customHeight="1" s="74">
      <c r="A896" s="2" t="n"/>
      <c r="B896" s="2" t="n"/>
      <c r="C896" s="2" t="n"/>
      <c r="D896" s="2" t="n"/>
      <c r="E896" s="2" t="n"/>
      <c r="F896" s="2" t="n"/>
      <c r="G896" s="2" t="n"/>
    </row>
    <row r="897" ht="14.25" customHeight="1" s="74">
      <c r="A897" s="2" t="n"/>
      <c r="B897" s="2" t="n"/>
      <c r="C897" s="2" t="n"/>
      <c r="D897" s="2" t="n"/>
      <c r="E897" s="2" t="n"/>
      <c r="F897" s="2" t="n"/>
      <c r="G897" s="2" t="n"/>
    </row>
    <row r="898" ht="14.25" customHeight="1" s="74">
      <c r="A898" s="2" t="n"/>
      <c r="B898" s="2" t="n"/>
      <c r="C898" s="2" t="n"/>
      <c r="D898" s="2" t="n"/>
      <c r="E898" s="2" t="n"/>
      <c r="F898" s="2" t="n"/>
      <c r="G898" s="2" t="n"/>
    </row>
    <row r="899" ht="14.25" customHeight="1" s="74">
      <c r="A899" s="2" t="n"/>
      <c r="B899" s="2" t="n"/>
      <c r="C899" s="2" t="n"/>
      <c r="D899" s="2" t="n"/>
      <c r="E899" s="2" t="n"/>
      <c r="F899" s="2" t="n"/>
      <c r="G899" s="2" t="n"/>
    </row>
    <row r="900" ht="14.25" customHeight="1" s="74">
      <c r="A900" s="2" t="n"/>
      <c r="B900" s="2" t="n"/>
      <c r="C900" s="2" t="n"/>
      <c r="D900" s="2" t="n"/>
      <c r="E900" s="2" t="n"/>
      <c r="F900" s="2" t="n"/>
      <c r="G900" s="2" t="n"/>
    </row>
    <row r="901" ht="14.25" customHeight="1" s="74">
      <c r="A901" s="2" t="n"/>
      <c r="B901" s="2" t="n"/>
      <c r="C901" s="2" t="n"/>
      <c r="D901" s="2" t="n"/>
      <c r="E901" s="2" t="n"/>
      <c r="F901" s="2" t="n"/>
      <c r="G901" s="2" t="n"/>
    </row>
    <row r="902" ht="14.25" customHeight="1" s="74">
      <c r="A902" s="2" t="n"/>
      <c r="B902" s="2" t="n"/>
      <c r="C902" s="2" t="n"/>
      <c r="D902" s="2" t="n"/>
      <c r="E902" s="2" t="n"/>
      <c r="F902" s="2" t="n"/>
      <c r="G902" s="2" t="n"/>
    </row>
    <row r="903" ht="14.25" customHeight="1" s="74">
      <c r="A903" s="2" t="n"/>
      <c r="B903" s="2" t="n"/>
      <c r="C903" s="2" t="n"/>
      <c r="D903" s="2" t="n"/>
      <c r="E903" s="2" t="n"/>
      <c r="F903" s="2" t="n"/>
      <c r="G903" s="2" t="n"/>
    </row>
    <row r="904" ht="14.25" customHeight="1" s="74">
      <c r="A904" s="2" t="n"/>
      <c r="B904" s="2" t="n"/>
      <c r="C904" s="2" t="n"/>
      <c r="D904" s="2" t="n"/>
      <c r="E904" s="2" t="n"/>
      <c r="F904" s="2" t="n"/>
      <c r="G904" s="2" t="n"/>
    </row>
    <row r="905" ht="14.25" customHeight="1" s="74">
      <c r="A905" s="2" t="n"/>
      <c r="B905" s="2" t="n"/>
      <c r="C905" s="2" t="n"/>
      <c r="D905" s="2" t="n"/>
      <c r="E905" s="2" t="n"/>
      <c r="F905" s="2" t="n"/>
      <c r="G905" s="2" t="n"/>
    </row>
    <row r="906" ht="14.25" customHeight="1" s="74">
      <c r="A906" s="2" t="n"/>
      <c r="B906" s="2" t="n"/>
      <c r="C906" s="2" t="n"/>
      <c r="D906" s="2" t="n"/>
      <c r="E906" s="2" t="n"/>
      <c r="F906" s="2" t="n"/>
      <c r="G906" s="2" t="n"/>
    </row>
    <row r="907" ht="14.25" customHeight="1" s="74">
      <c r="A907" s="2" t="n"/>
      <c r="B907" s="2" t="n"/>
      <c r="C907" s="2" t="n"/>
      <c r="D907" s="2" t="n"/>
      <c r="E907" s="2" t="n"/>
      <c r="F907" s="2" t="n"/>
      <c r="G907" s="2" t="n"/>
    </row>
    <row r="908" ht="14.25" customHeight="1" s="74">
      <c r="A908" s="2" t="n"/>
      <c r="B908" s="2" t="n"/>
      <c r="C908" s="2" t="n"/>
      <c r="D908" s="2" t="n"/>
      <c r="E908" s="2" t="n"/>
      <c r="F908" s="2" t="n"/>
      <c r="G908" s="2" t="n"/>
    </row>
    <row r="909" ht="14.25" customHeight="1" s="74">
      <c r="A909" s="2" t="n"/>
      <c r="B909" s="2" t="n"/>
      <c r="C909" s="2" t="n"/>
      <c r="D909" s="2" t="n"/>
      <c r="E909" s="2" t="n"/>
      <c r="F909" s="2" t="n"/>
      <c r="G909" s="2" t="n"/>
    </row>
    <row r="910" ht="14.25" customHeight="1" s="74">
      <c r="A910" s="2" t="n"/>
      <c r="B910" s="2" t="n"/>
      <c r="C910" s="2" t="n"/>
      <c r="D910" s="2" t="n"/>
      <c r="E910" s="2" t="n"/>
      <c r="F910" s="2" t="n"/>
      <c r="G910" s="2" t="n"/>
    </row>
    <row r="911" ht="14.25" customHeight="1" s="74">
      <c r="A911" s="2" t="n"/>
      <c r="B911" s="2" t="n"/>
      <c r="C911" s="2" t="n"/>
      <c r="D911" s="2" t="n"/>
      <c r="E911" s="2" t="n"/>
      <c r="F911" s="2" t="n"/>
      <c r="G911" s="2" t="n"/>
    </row>
    <row r="912" ht="14.25" customHeight="1" s="74">
      <c r="A912" s="2" t="n"/>
      <c r="B912" s="2" t="n"/>
      <c r="C912" s="2" t="n"/>
      <c r="D912" s="2" t="n"/>
      <c r="E912" s="2" t="n"/>
      <c r="F912" s="2" t="n"/>
      <c r="G912" s="2" t="n"/>
    </row>
    <row r="913" ht="14.25" customHeight="1" s="74">
      <c r="A913" s="2" t="n"/>
      <c r="B913" s="2" t="n"/>
      <c r="C913" s="2" t="n"/>
      <c r="D913" s="2" t="n"/>
      <c r="E913" s="2" t="n"/>
      <c r="F913" s="2" t="n"/>
      <c r="G913" s="2" t="n"/>
    </row>
    <row r="914" ht="14.25" customHeight="1" s="74">
      <c r="A914" s="2" t="n"/>
      <c r="B914" s="2" t="n"/>
      <c r="C914" s="2" t="n"/>
      <c r="D914" s="2" t="n"/>
      <c r="E914" s="2" t="n"/>
      <c r="F914" s="2" t="n"/>
      <c r="G914" s="2" t="n"/>
    </row>
    <row r="915" ht="14.25" customHeight="1" s="74">
      <c r="A915" s="2" t="n"/>
      <c r="B915" s="2" t="n"/>
      <c r="C915" s="2" t="n"/>
      <c r="D915" s="2" t="n"/>
      <c r="E915" s="2" t="n"/>
      <c r="F915" s="2" t="n"/>
      <c r="G915" s="2" t="n"/>
    </row>
    <row r="916" ht="14.25" customHeight="1" s="74">
      <c r="A916" s="2" t="n"/>
      <c r="B916" s="2" t="n"/>
      <c r="C916" s="2" t="n"/>
      <c r="D916" s="2" t="n"/>
      <c r="E916" s="2" t="n"/>
      <c r="F916" s="2" t="n"/>
      <c r="G916" s="2" t="n"/>
    </row>
    <row r="917" ht="14.25" customHeight="1" s="74">
      <c r="A917" s="2" t="n"/>
      <c r="B917" s="2" t="n"/>
      <c r="C917" s="2" t="n"/>
      <c r="D917" s="2" t="n"/>
      <c r="E917" s="2" t="n"/>
      <c r="F917" s="2" t="n"/>
      <c r="G917" s="2" t="n"/>
    </row>
    <row r="918" ht="14.25" customHeight="1" s="74">
      <c r="A918" s="2" t="n"/>
      <c r="B918" s="2" t="n"/>
      <c r="C918" s="2" t="n"/>
      <c r="D918" s="2" t="n"/>
      <c r="E918" s="2" t="n"/>
      <c r="F918" s="2" t="n"/>
      <c r="G918" s="2" t="n"/>
    </row>
    <row r="919" ht="14.25" customHeight="1" s="74">
      <c r="A919" s="2" t="n"/>
      <c r="B919" s="2" t="n"/>
      <c r="C919" s="2" t="n"/>
      <c r="D919" s="2" t="n"/>
      <c r="E919" s="2" t="n"/>
      <c r="F919" s="2" t="n"/>
      <c r="G919" s="2" t="n"/>
    </row>
    <row r="920" ht="14.25" customHeight="1" s="74">
      <c r="A920" s="2" t="n"/>
      <c r="B920" s="2" t="n"/>
      <c r="C920" s="2" t="n"/>
      <c r="D920" s="2" t="n"/>
      <c r="E920" s="2" t="n"/>
      <c r="F920" s="2" t="n"/>
      <c r="G920" s="2" t="n"/>
    </row>
    <row r="921" ht="14.25" customHeight="1" s="74">
      <c r="A921" s="2" t="n"/>
      <c r="B921" s="2" t="n"/>
      <c r="C921" s="2" t="n"/>
      <c r="D921" s="2" t="n"/>
      <c r="E921" s="2" t="n"/>
      <c r="F921" s="2" t="n"/>
      <c r="G921" s="2" t="n"/>
    </row>
    <row r="922" ht="14.25" customHeight="1" s="74">
      <c r="A922" s="2" t="n"/>
      <c r="B922" s="2" t="n"/>
      <c r="C922" s="2" t="n"/>
      <c r="D922" s="2" t="n"/>
      <c r="E922" s="2" t="n"/>
      <c r="F922" s="2" t="n"/>
      <c r="G922" s="2" t="n"/>
    </row>
    <row r="923" ht="14.25" customHeight="1" s="74">
      <c r="A923" s="2" t="n"/>
      <c r="B923" s="2" t="n"/>
      <c r="C923" s="2" t="n"/>
      <c r="D923" s="2" t="n"/>
      <c r="E923" s="2" t="n"/>
      <c r="F923" s="2" t="n"/>
      <c r="G923" s="2" t="n"/>
    </row>
    <row r="924" ht="14.25" customHeight="1" s="74">
      <c r="A924" s="2" t="n"/>
      <c r="B924" s="2" t="n"/>
      <c r="C924" s="2" t="n"/>
      <c r="D924" s="2" t="n"/>
      <c r="E924" s="2" t="n"/>
      <c r="F924" s="2" t="n"/>
      <c r="G924" s="2" t="n"/>
    </row>
    <row r="925" ht="14.25" customHeight="1" s="74">
      <c r="A925" s="2" t="n"/>
      <c r="B925" s="2" t="n"/>
      <c r="C925" s="2" t="n"/>
      <c r="D925" s="2" t="n"/>
      <c r="E925" s="2" t="n"/>
      <c r="F925" s="2" t="n"/>
      <c r="G925" s="2" t="n"/>
    </row>
    <row r="926" ht="14.25" customHeight="1" s="74">
      <c r="A926" s="2" t="n"/>
      <c r="B926" s="2" t="n"/>
      <c r="C926" s="2" t="n"/>
      <c r="D926" s="2" t="n"/>
      <c r="E926" s="2" t="n"/>
      <c r="F926" s="2" t="n"/>
      <c r="G926" s="2" t="n"/>
    </row>
    <row r="927" ht="14.25" customHeight="1" s="74">
      <c r="A927" s="2" t="n"/>
      <c r="B927" s="2" t="n"/>
      <c r="C927" s="2" t="n"/>
      <c r="D927" s="2" t="n"/>
      <c r="E927" s="2" t="n"/>
      <c r="F927" s="2" t="n"/>
      <c r="G927" s="2" t="n"/>
    </row>
    <row r="928" ht="14.25" customHeight="1" s="74">
      <c r="A928" s="2" t="n"/>
      <c r="B928" s="2" t="n"/>
      <c r="C928" s="2" t="n"/>
      <c r="D928" s="2" t="n"/>
      <c r="E928" s="2" t="n"/>
      <c r="F928" s="2" t="n"/>
      <c r="G928" s="2" t="n"/>
    </row>
    <row r="929" ht="14.25" customHeight="1" s="74">
      <c r="A929" s="2" t="n"/>
      <c r="B929" s="2" t="n"/>
      <c r="C929" s="2" t="n"/>
      <c r="D929" s="2" t="n"/>
      <c r="E929" s="2" t="n"/>
      <c r="F929" s="2" t="n"/>
      <c r="G929" s="2" t="n"/>
    </row>
    <row r="930" ht="14.25" customHeight="1" s="74">
      <c r="A930" s="2" t="n"/>
      <c r="B930" s="2" t="n"/>
      <c r="C930" s="2" t="n"/>
      <c r="D930" s="2" t="n"/>
      <c r="E930" s="2" t="n"/>
      <c r="F930" s="2" t="n"/>
      <c r="G930" s="2" t="n"/>
    </row>
    <row r="931" ht="14.25" customHeight="1" s="74">
      <c r="A931" s="2" t="n"/>
      <c r="B931" s="2" t="n"/>
      <c r="C931" s="2" t="n"/>
      <c r="D931" s="2" t="n"/>
      <c r="E931" s="2" t="n"/>
      <c r="F931" s="2" t="n"/>
      <c r="G931" s="2" t="n"/>
    </row>
    <row r="932" ht="14.25" customHeight="1" s="74">
      <c r="A932" s="2" t="n"/>
      <c r="B932" s="2" t="n"/>
      <c r="C932" s="2" t="n"/>
      <c r="D932" s="2" t="n"/>
      <c r="E932" s="2" t="n"/>
      <c r="F932" s="2" t="n"/>
      <c r="G932" s="2" t="n"/>
    </row>
    <row r="933" ht="14.25" customHeight="1" s="74">
      <c r="A933" s="2" t="n"/>
      <c r="B933" s="2" t="n"/>
      <c r="C933" s="2" t="n"/>
      <c r="D933" s="2" t="n"/>
      <c r="E933" s="2" t="n"/>
      <c r="F933" s="2" t="n"/>
      <c r="G933" s="2" t="n"/>
    </row>
    <row r="934" ht="14.25" customHeight="1" s="74">
      <c r="A934" s="2" t="n"/>
      <c r="B934" s="2" t="n"/>
      <c r="C934" s="2" t="n"/>
      <c r="D934" s="2" t="n"/>
      <c r="E934" s="2" t="n"/>
      <c r="F934" s="2" t="n"/>
      <c r="G934" s="2" t="n"/>
    </row>
    <row r="935" ht="14.25" customHeight="1" s="74">
      <c r="A935" s="2" t="n"/>
      <c r="B935" s="2" t="n"/>
      <c r="C935" s="2" t="n"/>
      <c r="D935" s="2" t="n"/>
      <c r="E935" s="2" t="n"/>
      <c r="F935" s="2" t="n"/>
      <c r="G935" s="2" t="n"/>
    </row>
    <row r="936" ht="14.25" customHeight="1" s="74">
      <c r="A936" s="2" t="n"/>
      <c r="B936" s="2" t="n"/>
      <c r="C936" s="2" t="n"/>
      <c r="D936" s="2" t="n"/>
      <c r="E936" s="2" t="n"/>
      <c r="F936" s="2" t="n"/>
      <c r="G936" s="2" t="n"/>
    </row>
    <row r="937" ht="14.25" customHeight="1" s="74">
      <c r="A937" s="2" t="n"/>
      <c r="B937" s="2" t="n"/>
      <c r="C937" s="2" t="n"/>
      <c r="D937" s="2" t="n"/>
      <c r="E937" s="2" t="n"/>
      <c r="F937" s="2" t="n"/>
      <c r="G937" s="2" t="n"/>
    </row>
    <row r="938" ht="14.25" customHeight="1" s="74">
      <c r="A938" s="2" t="n"/>
      <c r="B938" s="2" t="n"/>
      <c r="C938" s="2" t="n"/>
      <c r="D938" s="2" t="n"/>
      <c r="E938" s="2" t="n"/>
      <c r="F938" s="2" t="n"/>
      <c r="G938" s="2" t="n"/>
    </row>
    <row r="939" ht="14.25" customHeight="1" s="74">
      <c r="A939" s="2" t="n"/>
      <c r="B939" s="2" t="n"/>
      <c r="C939" s="2" t="n"/>
      <c r="D939" s="2" t="n"/>
      <c r="E939" s="2" t="n"/>
      <c r="F939" s="2" t="n"/>
      <c r="G939" s="2" t="n"/>
    </row>
    <row r="940" ht="14.25" customHeight="1" s="74">
      <c r="A940" s="2" t="n"/>
      <c r="B940" s="2" t="n"/>
      <c r="C940" s="2" t="n"/>
      <c r="D940" s="2" t="n"/>
      <c r="E940" s="2" t="n"/>
      <c r="F940" s="2" t="n"/>
      <c r="G940" s="2" t="n"/>
    </row>
    <row r="941" ht="14.25" customHeight="1" s="74">
      <c r="A941" s="2" t="n"/>
      <c r="B941" s="2" t="n"/>
      <c r="C941" s="2" t="n"/>
      <c r="D941" s="2" t="n"/>
      <c r="E941" s="2" t="n"/>
      <c r="F941" s="2" t="n"/>
      <c r="G941" s="2" t="n"/>
    </row>
    <row r="942" ht="14.25" customHeight="1" s="74">
      <c r="A942" s="2" t="n"/>
      <c r="B942" s="2" t="n"/>
      <c r="C942" s="2" t="n"/>
      <c r="D942" s="2" t="n"/>
      <c r="E942" s="2" t="n"/>
      <c r="F942" s="2" t="n"/>
      <c r="G942" s="2" t="n"/>
    </row>
    <row r="943" ht="14.25" customHeight="1" s="74">
      <c r="A943" s="2" t="n"/>
      <c r="B943" s="2" t="n"/>
      <c r="C943" s="2" t="n"/>
      <c r="D943" s="2" t="n"/>
      <c r="E943" s="2" t="n"/>
      <c r="F943" s="2" t="n"/>
      <c r="G943" s="2" t="n"/>
    </row>
    <row r="944" ht="14.25" customHeight="1" s="74">
      <c r="A944" s="2" t="n"/>
      <c r="B944" s="2" t="n"/>
      <c r="C944" s="2" t="n"/>
      <c r="D944" s="2" t="n"/>
      <c r="E944" s="2" t="n"/>
      <c r="F944" s="2" t="n"/>
      <c r="G944" s="2" t="n"/>
    </row>
    <row r="945" ht="14.25" customHeight="1" s="74">
      <c r="A945" s="2" t="n"/>
      <c r="B945" s="2" t="n"/>
      <c r="C945" s="2" t="n"/>
      <c r="D945" s="2" t="n"/>
      <c r="E945" s="2" t="n"/>
      <c r="F945" s="2" t="n"/>
      <c r="G945" s="2" t="n"/>
    </row>
    <row r="946" ht="14.25" customHeight="1" s="74">
      <c r="A946" s="2" t="n"/>
      <c r="B946" s="2" t="n"/>
      <c r="C946" s="2" t="n"/>
      <c r="D946" s="2" t="n"/>
      <c r="E946" s="2" t="n"/>
      <c r="F946" s="2" t="n"/>
      <c r="G946" s="2" t="n"/>
    </row>
    <row r="947" ht="14.25" customHeight="1" s="74">
      <c r="A947" s="2" t="n"/>
      <c r="B947" s="2" t="n"/>
      <c r="C947" s="2" t="n"/>
      <c r="D947" s="2" t="n"/>
      <c r="E947" s="2" t="n"/>
      <c r="F947" s="2" t="n"/>
      <c r="G947" s="2" t="n"/>
    </row>
    <row r="948" ht="14.25" customHeight="1" s="74">
      <c r="A948" s="2" t="n"/>
      <c r="B948" s="2" t="n"/>
      <c r="C948" s="2" t="n"/>
      <c r="D948" s="2" t="n"/>
      <c r="E948" s="2" t="n"/>
      <c r="F948" s="2" t="n"/>
      <c r="G948" s="2" t="n"/>
    </row>
    <row r="949" ht="14.25" customHeight="1" s="74">
      <c r="A949" s="2" t="n"/>
      <c r="B949" s="2" t="n"/>
      <c r="C949" s="2" t="n"/>
      <c r="D949" s="2" t="n"/>
      <c r="E949" s="2" t="n"/>
      <c r="F949" s="2" t="n"/>
      <c r="G949" s="2" t="n"/>
    </row>
    <row r="950" ht="14.25" customHeight="1" s="74">
      <c r="A950" s="2" t="n"/>
      <c r="B950" s="2" t="n"/>
      <c r="C950" s="2" t="n"/>
      <c r="D950" s="2" t="n"/>
      <c r="E950" s="2" t="n"/>
      <c r="F950" s="2" t="n"/>
      <c r="G950" s="2" t="n"/>
    </row>
    <row r="951" ht="14.25" customHeight="1" s="74">
      <c r="A951" s="2" t="n"/>
      <c r="B951" s="2" t="n"/>
      <c r="C951" s="2" t="n"/>
      <c r="D951" s="2" t="n"/>
      <c r="E951" s="2" t="n"/>
      <c r="F951" s="2" t="n"/>
      <c r="G951" s="2" t="n"/>
    </row>
    <row r="952" ht="14.25" customHeight="1" s="74">
      <c r="A952" s="2" t="n"/>
      <c r="B952" s="2" t="n"/>
      <c r="C952" s="2" t="n"/>
      <c r="D952" s="2" t="n"/>
      <c r="E952" s="2" t="n"/>
      <c r="F952" s="2" t="n"/>
      <c r="G952" s="2" t="n"/>
    </row>
    <row r="953" ht="14.25" customHeight="1" s="74">
      <c r="A953" s="2" t="n"/>
      <c r="B953" s="2" t="n"/>
      <c r="C953" s="2" t="n"/>
      <c r="D953" s="2" t="n"/>
      <c r="E953" s="2" t="n"/>
      <c r="F953" s="2" t="n"/>
      <c r="G953" s="2" t="n"/>
    </row>
    <row r="954" ht="14.25" customHeight="1" s="74">
      <c r="A954" s="2" t="n"/>
      <c r="B954" s="2" t="n"/>
      <c r="C954" s="2" t="n"/>
      <c r="D954" s="2" t="n"/>
      <c r="E954" s="2" t="n"/>
      <c r="F954" s="2" t="n"/>
      <c r="G954" s="2" t="n"/>
    </row>
    <row r="955" ht="14.25" customHeight="1" s="74">
      <c r="A955" s="2" t="n"/>
      <c r="B955" s="2" t="n"/>
      <c r="C955" s="2" t="n"/>
      <c r="D955" s="2" t="n"/>
      <c r="E955" s="2" t="n"/>
      <c r="F955" s="2" t="n"/>
      <c r="G955" s="2" t="n"/>
    </row>
    <row r="956" ht="14.25" customHeight="1" s="74">
      <c r="A956" s="2" t="n"/>
      <c r="B956" s="2" t="n"/>
      <c r="C956" s="2" t="n"/>
      <c r="D956" s="2" t="n"/>
      <c r="E956" s="2" t="n"/>
      <c r="F956" s="2" t="n"/>
      <c r="G956" s="2" t="n"/>
    </row>
    <row r="957" ht="14.25" customHeight="1" s="74">
      <c r="A957" s="2" t="n"/>
      <c r="B957" s="2" t="n"/>
      <c r="C957" s="2" t="n"/>
      <c r="D957" s="2" t="n"/>
      <c r="E957" s="2" t="n"/>
      <c r="F957" s="2" t="n"/>
      <c r="G957" s="2" t="n"/>
    </row>
    <row r="958" ht="14.25" customHeight="1" s="74">
      <c r="A958" s="2" t="n"/>
      <c r="B958" s="2" t="n"/>
      <c r="C958" s="2" t="n"/>
      <c r="D958" s="2" t="n"/>
      <c r="E958" s="2" t="n"/>
      <c r="F958" s="2" t="n"/>
      <c r="G958" s="2" t="n"/>
    </row>
    <row r="959" ht="14.25" customHeight="1" s="74">
      <c r="A959" s="2" t="n"/>
      <c r="B959" s="2" t="n"/>
      <c r="C959" s="2" t="n"/>
      <c r="D959" s="2" t="n"/>
      <c r="E959" s="2" t="n"/>
      <c r="F959" s="2" t="n"/>
      <c r="G959" s="2" t="n"/>
    </row>
    <row r="960" ht="14.25" customHeight="1" s="74">
      <c r="A960" s="2" t="n"/>
      <c r="B960" s="2" t="n"/>
      <c r="C960" s="2" t="n"/>
      <c r="D960" s="2" t="n"/>
      <c r="E960" s="2" t="n"/>
      <c r="F960" s="2" t="n"/>
      <c r="G960" s="2" t="n"/>
    </row>
    <row r="961" ht="14.25" customHeight="1" s="74">
      <c r="A961" s="2" t="n"/>
      <c r="B961" s="2" t="n"/>
      <c r="C961" s="2" t="n"/>
      <c r="D961" s="2" t="n"/>
      <c r="E961" s="2" t="n"/>
      <c r="F961" s="2" t="n"/>
      <c r="G961" s="2" t="n"/>
    </row>
    <row r="962" ht="14.25" customHeight="1" s="74">
      <c r="A962" s="2" t="n"/>
      <c r="B962" s="2" t="n"/>
      <c r="C962" s="2" t="n"/>
      <c r="D962" s="2" t="n"/>
      <c r="E962" s="2" t="n"/>
      <c r="F962" s="2" t="n"/>
      <c r="G962" s="2" t="n"/>
    </row>
    <row r="963" ht="14.25" customHeight="1" s="74">
      <c r="A963" s="2" t="n"/>
      <c r="B963" s="2" t="n"/>
      <c r="C963" s="2" t="n"/>
      <c r="D963" s="2" t="n"/>
      <c r="E963" s="2" t="n"/>
      <c r="F963" s="2" t="n"/>
      <c r="G963" s="2" t="n"/>
    </row>
    <row r="964" ht="14.25" customHeight="1" s="74">
      <c r="A964" s="2" t="n"/>
      <c r="B964" s="2" t="n"/>
      <c r="C964" s="2" t="n"/>
      <c r="D964" s="2" t="n"/>
      <c r="E964" s="2" t="n"/>
      <c r="F964" s="2" t="n"/>
      <c r="G964" s="2" t="n"/>
    </row>
    <row r="965" ht="14.25" customHeight="1" s="74">
      <c r="A965" s="2" t="n"/>
      <c r="B965" s="2" t="n"/>
      <c r="C965" s="2" t="n"/>
      <c r="D965" s="2" t="n"/>
      <c r="E965" s="2" t="n"/>
      <c r="F965" s="2" t="n"/>
      <c r="G965" s="2" t="n"/>
    </row>
    <row r="966" ht="14.25" customHeight="1" s="74">
      <c r="A966" s="2" t="n"/>
      <c r="B966" s="2" t="n"/>
      <c r="C966" s="2" t="n"/>
      <c r="D966" s="2" t="n"/>
      <c r="E966" s="2" t="n"/>
      <c r="F966" s="2" t="n"/>
      <c r="G966" s="2" t="n"/>
    </row>
    <row r="967" ht="14.25" customHeight="1" s="74">
      <c r="A967" s="2" t="n"/>
      <c r="B967" s="2" t="n"/>
      <c r="C967" s="2" t="n"/>
      <c r="D967" s="2" t="n"/>
      <c r="E967" s="2" t="n"/>
      <c r="F967" s="2" t="n"/>
      <c r="G967" s="2" t="n"/>
    </row>
    <row r="968" ht="14.25" customHeight="1" s="74">
      <c r="A968" s="2" t="n"/>
      <c r="B968" s="2" t="n"/>
      <c r="C968" s="2" t="n"/>
      <c r="D968" s="2" t="n"/>
      <c r="E968" s="2" t="n"/>
      <c r="F968" s="2" t="n"/>
      <c r="G968" s="2" t="n"/>
    </row>
    <row r="969" ht="14.25" customHeight="1" s="74">
      <c r="A969" s="2" t="n"/>
      <c r="B969" s="2" t="n"/>
      <c r="C969" s="2" t="n"/>
      <c r="D969" s="2" t="n"/>
      <c r="E969" s="2" t="n"/>
      <c r="F969" s="2" t="n"/>
      <c r="G969" s="2" t="n"/>
    </row>
    <row r="970" ht="14.25" customHeight="1" s="74">
      <c r="A970" s="2" t="n"/>
      <c r="B970" s="2" t="n"/>
      <c r="C970" s="2" t="n"/>
      <c r="D970" s="2" t="n"/>
      <c r="E970" s="2" t="n"/>
      <c r="F970" s="2" t="n"/>
      <c r="G970" s="2" t="n"/>
    </row>
    <row r="971" ht="14.25" customHeight="1" s="74">
      <c r="A971" s="2" t="n"/>
      <c r="B971" s="2" t="n"/>
      <c r="C971" s="2" t="n"/>
      <c r="D971" s="2" t="n"/>
      <c r="E971" s="2" t="n"/>
      <c r="F971" s="2" t="n"/>
      <c r="G971" s="2" t="n"/>
    </row>
    <row r="972" ht="14.25" customHeight="1" s="74">
      <c r="A972" s="2" t="n"/>
      <c r="B972" s="2" t="n"/>
      <c r="C972" s="2" t="n"/>
      <c r="D972" s="2" t="n"/>
      <c r="E972" s="2" t="n"/>
      <c r="F972" s="2" t="n"/>
      <c r="G972" s="2" t="n"/>
    </row>
    <row r="973" ht="14.25" customHeight="1" s="74">
      <c r="A973" s="2" t="n"/>
      <c r="B973" s="2" t="n"/>
      <c r="C973" s="2" t="n"/>
      <c r="D973" s="2" t="n"/>
      <c r="E973" s="2" t="n"/>
      <c r="F973" s="2" t="n"/>
      <c r="G973" s="2" t="n"/>
    </row>
    <row r="974" ht="14.25" customHeight="1" s="74">
      <c r="A974" s="2" t="n"/>
      <c r="B974" s="2" t="n"/>
      <c r="C974" s="2" t="n"/>
      <c r="D974" s="2" t="n"/>
      <c r="E974" s="2" t="n"/>
      <c r="F974" s="2" t="n"/>
      <c r="G974" s="2" t="n"/>
    </row>
    <row r="975" ht="14.25" customHeight="1" s="74">
      <c r="A975" s="2" t="n"/>
      <c r="B975" s="2" t="n"/>
      <c r="C975" s="2" t="n"/>
      <c r="D975" s="2" t="n"/>
      <c r="E975" s="2" t="n"/>
      <c r="F975" s="2" t="n"/>
      <c r="G975" s="2" t="n"/>
    </row>
    <row r="976" ht="14.25" customHeight="1" s="74">
      <c r="A976" s="2" t="n"/>
      <c r="B976" s="2" t="n"/>
      <c r="C976" s="2" t="n"/>
      <c r="D976" s="2" t="n"/>
      <c r="E976" s="2" t="n"/>
      <c r="F976" s="2" t="n"/>
      <c r="G976" s="2" t="n"/>
    </row>
    <row r="977" ht="14.25" customHeight="1" s="74">
      <c r="A977" s="2" t="n"/>
      <c r="B977" s="2" t="n"/>
      <c r="C977" s="2" t="n"/>
      <c r="D977" s="2" t="n"/>
      <c r="E977" s="2" t="n"/>
      <c r="F977" s="2" t="n"/>
      <c r="G977" s="2" t="n"/>
    </row>
    <row r="978" ht="14.25" customHeight="1" s="74">
      <c r="A978" s="2" t="n"/>
      <c r="B978" s="2" t="n"/>
      <c r="C978" s="2" t="n"/>
      <c r="D978" s="2" t="n"/>
      <c r="E978" s="2" t="n"/>
      <c r="F978" s="2" t="n"/>
      <c r="G978" s="2" t="n"/>
    </row>
    <row r="979" ht="14.25" customHeight="1" s="74">
      <c r="A979" s="2" t="n"/>
      <c r="B979" s="2" t="n"/>
      <c r="C979" s="2" t="n"/>
      <c r="D979" s="2" t="n"/>
      <c r="E979" s="2" t="n"/>
      <c r="F979" s="2" t="n"/>
      <c r="G979" s="2" t="n"/>
    </row>
    <row r="980" ht="14.25" customHeight="1" s="74">
      <c r="A980" s="2" t="n"/>
      <c r="B980" s="2" t="n"/>
      <c r="C980" s="2" t="n"/>
      <c r="D980" s="2" t="n"/>
      <c r="E980" s="2" t="n"/>
      <c r="F980" s="2" t="n"/>
      <c r="G980" s="2" t="n"/>
    </row>
    <row r="981" ht="14.25" customHeight="1" s="74">
      <c r="A981" s="2" t="n"/>
      <c r="B981" s="2" t="n"/>
      <c r="C981" s="2" t="n"/>
      <c r="D981" s="2" t="n"/>
      <c r="E981" s="2" t="n"/>
      <c r="F981" s="2" t="n"/>
      <c r="G981" s="2" t="n"/>
    </row>
    <row r="982" ht="14.25" customHeight="1" s="74">
      <c r="A982" s="2" t="n"/>
      <c r="B982" s="2" t="n"/>
      <c r="C982" s="2" t="n"/>
      <c r="D982" s="2" t="n"/>
      <c r="E982" s="2" t="n"/>
      <c r="F982" s="2" t="n"/>
      <c r="G982" s="2" t="n"/>
    </row>
    <row r="983" ht="14.25" customHeight="1" s="74">
      <c r="A983" s="2" t="n"/>
      <c r="B983" s="2" t="n"/>
      <c r="C983" s="2" t="n"/>
      <c r="D983" s="2" t="n"/>
      <c r="E983" s="2" t="n"/>
      <c r="F983" s="2" t="n"/>
      <c r="G983" s="2" t="n"/>
    </row>
    <row r="984" ht="14.25" customHeight="1" s="74">
      <c r="A984" s="2" t="n"/>
      <c r="B984" s="2" t="n"/>
      <c r="C984" s="2" t="n"/>
      <c r="D984" s="2" t="n"/>
      <c r="E984" s="2" t="n"/>
      <c r="F984" s="2" t="n"/>
      <c r="G984" s="2" t="n"/>
    </row>
    <row r="985" ht="14.25" customHeight="1" s="74">
      <c r="A985" s="2" t="n"/>
      <c r="B985" s="2" t="n"/>
      <c r="C985" s="2" t="n"/>
      <c r="D985" s="2" t="n"/>
      <c r="E985" s="2" t="n"/>
      <c r="F985" s="2" t="n"/>
      <c r="G985" s="2" t="n"/>
    </row>
    <row r="986" ht="14.25" customHeight="1" s="74">
      <c r="A986" s="2" t="n"/>
      <c r="B986" s="2" t="n"/>
      <c r="C986" s="2" t="n"/>
      <c r="D986" s="2" t="n"/>
      <c r="E986" s="2" t="n"/>
      <c r="F986" s="2" t="n"/>
      <c r="G986" s="2" t="n"/>
    </row>
    <row r="987" ht="14.25" customHeight="1" s="74">
      <c r="A987" s="2" t="n"/>
      <c r="B987" s="2" t="n"/>
      <c r="C987" s="2" t="n"/>
      <c r="D987" s="2" t="n"/>
      <c r="E987" s="2" t="n"/>
      <c r="F987" s="2" t="n"/>
      <c r="G987" s="2" t="n"/>
    </row>
    <row r="988" ht="14.25" customHeight="1" s="74">
      <c r="A988" s="2" t="n"/>
      <c r="B988" s="2" t="n"/>
      <c r="C988" s="2" t="n"/>
      <c r="D988" s="2" t="n"/>
      <c r="E988" s="2" t="n"/>
      <c r="F988" s="2" t="n"/>
      <c r="G988" s="2" t="n"/>
    </row>
    <row r="989" ht="14.25" customHeight="1" s="74">
      <c r="A989" s="2" t="n"/>
      <c r="B989" s="2" t="n"/>
      <c r="C989" s="2" t="n"/>
      <c r="D989" s="2" t="n"/>
      <c r="E989" s="2" t="n"/>
      <c r="F989" s="2" t="n"/>
      <c r="G989" s="2" t="n"/>
    </row>
    <row r="990" ht="14.25" customHeight="1" s="74">
      <c r="A990" s="2" t="n"/>
      <c r="B990" s="2" t="n"/>
      <c r="C990" s="2" t="n"/>
      <c r="D990" s="2" t="n"/>
      <c r="E990" s="2" t="n"/>
      <c r="F990" s="2" t="n"/>
      <c r="G990" s="2" t="n"/>
    </row>
    <row r="991" ht="14.25" customHeight="1" s="74">
      <c r="A991" s="2" t="n"/>
      <c r="B991" s="2" t="n"/>
      <c r="C991" s="2" t="n"/>
      <c r="D991" s="2" t="n"/>
      <c r="E991" s="2" t="n"/>
      <c r="F991" s="2" t="n"/>
      <c r="G991" s="2" t="n"/>
    </row>
    <row r="992" ht="14.25" customHeight="1" s="74">
      <c r="A992" s="2" t="n"/>
      <c r="B992" s="2" t="n"/>
      <c r="C992" s="2" t="n"/>
      <c r="D992" s="2" t="n"/>
      <c r="E992" s="2" t="n"/>
      <c r="F992" s="2" t="n"/>
      <c r="G992" s="2" t="n"/>
    </row>
    <row r="993" ht="14.25" customHeight="1" s="74">
      <c r="A993" s="2" t="n"/>
      <c r="B993" s="2" t="n"/>
      <c r="C993" s="2" t="n"/>
      <c r="D993" s="2" t="n"/>
      <c r="E993" s="2" t="n"/>
      <c r="F993" s="2" t="n"/>
      <c r="G993" s="2" t="n"/>
    </row>
    <row r="994" ht="14.25" customHeight="1" s="74">
      <c r="A994" s="2" t="n"/>
      <c r="B994" s="2" t="n"/>
      <c r="C994" s="2" t="n"/>
      <c r="D994" s="2" t="n"/>
      <c r="E994" s="2" t="n"/>
      <c r="F994" s="2" t="n"/>
      <c r="G994" s="2" t="n"/>
    </row>
    <row r="995" ht="14.25" customHeight="1" s="74">
      <c r="A995" s="2" t="n"/>
      <c r="B995" s="2" t="n"/>
      <c r="C995" s="2" t="n"/>
      <c r="D995" s="2" t="n"/>
      <c r="E995" s="2" t="n"/>
      <c r="F995" s="2" t="n"/>
      <c r="G995" s="2" t="n"/>
    </row>
    <row r="996" ht="14.25" customHeight="1" s="74">
      <c r="A996" s="2" t="n"/>
      <c r="B996" s="2" t="n"/>
      <c r="C996" s="2" t="n"/>
      <c r="D996" s="2" t="n"/>
      <c r="E996" s="2" t="n"/>
      <c r="F996" s="2" t="n"/>
      <c r="G996" s="2" t="n"/>
    </row>
    <row r="997" ht="14.25" customHeight="1" s="74">
      <c r="A997" s="2" t="n"/>
      <c r="B997" s="2" t="n"/>
      <c r="C997" s="2" t="n"/>
      <c r="D997" s="2" t="n"/>
      <c r="E997" s="2" t="n"/>
      <c r="F997" s="2" t="n"/>
      <c r="G997" s="2" t="n"/>
    </row>
    <row r="998" ht="14.25" customHeight="1" s="74">
      <c r="A998" s="2" t="n"/>
      <c r="B998" s="2" t="n"/>
      <c r="C998" s="2" t="n"/>
      <c r="D998" s="2" t="n"/>
      <c r="E998" s="2" t="n"/>
      <c r="F998" s="2" t="n"/>
      <c r="G998" s="2" t="n"/>
    </row>
    <row r="999" ht="14.25" customHeight="1" s="74">
      <c r="A999" s="2" t="n"/>
      <c r="B999" s="2" t="n"/>
      <c r="C999" s="2" t="n"/>
      <c r="D999" s="2" t="n"/>
      <c r="E999" s="2" t="n"/>
      <c r="F999" s="2" t="n"/>
      <c r="G999" s="2" t="n"/>
    </row>
    <row r="1000" ht="14.25" customHeight="1" s="74">
      <c r="A1000" s="2" t="n"/>
      <c r="B1000" s="2" t="n"/>
      <c r="C1000" s="2" t="n"/>
      <c r="D1000" s="2" t="n"/>
      <c r="E1000" s="2" t="n"/>
      <c r="F1000" s="2" t="n"/>
      <c r="G1000" s="2" t="n"/>
    </row>
  </sheetData>
  <mergeCells count="4">
    <mergeCell ref="A2:G2"/>
    <mergeCell ref="B3:G3"/>
    <mergeCell ref="C4:G4"/>
    <mergeCell ref="A225:G225"/>
  </mergeCells>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G53"/>
  <sheetViews>
    <sheetView workbookViewId="0">
      <selection activeCell="I27" sqref="I27"/>
    </sheetView>
  </sheetViews>
  <sheetFormatPr baseColWidth="10" defaultColWidth="11" defaultRowHeight="14"/>
  <sheetData>
    <row r="1">
      <c r="A1" s="57" t="inlineStr">
        <is>
          <t>state</t>
        </is>
      </c>
      <c r="B1" s="57" t="inlineStr">
        <is>
          <t>urban_share</t>
        </is>
      </c>
      <c r="C1" s="57" t="inlineStr">
        <is>
          <t>rural_share</t>
        </is>
      </c>
    </row>
    <row r="2">
      <c r="A2" s="57" t="inlineStr">
        <is>
          <t>UNITED STATES</t>
        </is>
      </c>
      <c r="B2" s="57" t="n">
        <v>0.8070000000000001</v>
      </c>
      <c r="C2" s="57" t="n">
        <v>0.192999999999999</v>
      </c>
      <c r="G2">
        <f>UPPER(About!B1)</f>
        <v/>
      </c>
    </row>
    <row r="3">
      <c r="A3" s="57" t="inlineStr">
        <is>
          <t>ALABAMA</t>
        </is>
      </c>
      <c r="B3" s="57" t="n">
        <v>0.59</v>
      </c>
      <c r="C3" s="57" t="n">
        <v>0.41</v>
      </c>
      <c r="F3" s="14" t="inlineStr">
        <is>
          <t>Urban</t>
        </is>
      </c>
      <c r="G3">
        <f>SUMIFS(B:B,A:A,G2)</f>
        <v/>
      </c>
    </row>
    <row r="4">
      <c r="A4" s="57" t="inlineStr">
        <is>
          <t>ALASKA</t>
        </is>
      </c>
      <c r="B4" s="57" t="n">
        <v>0.66</v>
      </c>
      <c r="C4" s="57" t="n">
        <v>0.339999999999999</v>
      </c>
      <c r="F4" s="14" t="inlineStr">
        <is>
          <t>Rural</t>
        </is>
      </c>
      <c r="G4">
        <f>SUMIFS(C:C,A:A,G2)</f>
        <v/>
      </c>
    </row>
    <row r="5">
      <c r="A5" s="57" t="inlineStr">
        <is>
          <t>ARIZONA</t>
        </is>
      </c>
      <c r="B5" s="57" t="n">
        <v>0.898</v>
      </c>
      <c r="C5" s="57" t="n">
        <v>0.101999999999999</v>
      </c>
    </row>
    <row r="6">
      <c r="A6" s="57" t="inlineStr">
        <is>
          <t>ARKANSAS</t>
        </is>
      </c>
      <c r="B6" s="57" t="n">
        <v>0.5620000000000001</v>
      </c>
      <c r="C6" s="57" t="n">
        <v>0.437999999999999</v>
      </c>
    </row>
    <row r="7">
      <c r="A7" s="57" t="inlineStr">
        <is>
          <t>CALIFORNIA</t>
        </is>
      </c>
      <c r="B7" s="57" t="n">
        <v>0.95</v>
      </c>
      <c r="C7" s="57" t="n">
        <v>0.05</v>
      </c>
    </row>
    <row r="8">
      <c r="A8" s="57" t="inlineStr">
        <is>
          <t>COLORADO</t>
        </is>
      </c>
      <c r="B8" s="57" t="n">
        <v>0.862</v>
      </c>
      <c r="C8" s="57" t="n">
        <v>0.138</v>
      </c>
    </row>
    <row r="9">
      <c r="A9" s="57" t="inlineStr">
        <is>
          <t>CONNECTICUT</t>
        </is>
      </c>
      <c r="B9" s="57" t="n">
        <v>0.88</v>
      </c>
      <c r="C9" s="57" t="n">
        <v>0.12</v>
      </c>
    </row>
    <row r="10">
      <c r="A10" s="57" t="inlineStr">
        <is>
          <t>DELAWARE</t>
        </is>
      </c>
      <c r="B10" s="57" t="n">
        <v>0.833</v>
      </c>
      <c r="C10" s="57" t="n">
        <v>0.167</v>
      </c>
    </row>
    <row r="11">
      <c r="A11" s="57" t="inlineStr">
        <is>
          <t>DISTRICT OF COLUMBIA</t>
        </is>
      </c>
      <c r="B11" s="57" t="n">
        <v>1</v>
      </c>
      <c r="C11" s="57" t="n">
        <v>0</v>
      </c>
    </row>
    <row r="12">
      <c r="A12" s="57" t="inlineStr">
        <is>
          <t>FLORIDA</t>
        </is>
      </c>
      <c r="B12" s="57" t="n">
        <v>0.912</v>
      </c>
      <c r="C12" s="57" t="n">
        <v>0.0879999999999999</v>
      </c>
    </row>
    <row r="13">
      <c r="A13" s="57" t="inlineStr">
        <is>
          <t>GEORGIA</t>
        </is>
      </c>
      <c r="B13" s="57" t="n">
        <v>0.750999999999999</v>
      </c>
      <c r="C13" s="57" t="n">
        <v>0.249</v>
      </c>
    </row>
    <row r="14">
      <c r="A14" s="57" t="inlineStr">
        <is>
          <t>HAWAII</t>
        </is>
      </c>
      <c r="B14" s="57" t="n">
        <v>0.919</v>
      </c>
      <c r="C14" s="57" t="n">
        <v>0.08099999999999991</v>
      </c>
    </row>
    <row r="15">
      <c r="A15" s="57" t="inlineStr">
        <is>
          <t>IDAHO</t>
        </is>
      </c>
      <c r="B15" s="57" t="n">
        <v>0.706</v>
      </c>
      <c r="C15" s="57" t="n">
        <v>0.294</v>
      </c>
    </row>
    <row r="16">
      <c r="A16" s="57" t="inlineStr">
        <is>
          <t>ILLINOIS</t>
        </is>
      </c>
      <c r="B16" s="57" t="n">
        <v>0.885</v>
      </c>
      <c r="C16" s="57" t="n">
        <v>0.114999999999999</v>
      </c>
    </row>
    <row r="17">
      <c r="A17" s="57" t="inlineStr">
        <is>
          <t>INDIANA</t>
        </is>
      </c>
      <c r="B17" s="57" t="n">
        <v>0.724</v>
      </c>
      <c r="C17" s="57" t="n">
        <v>0.275999999999999</v>
      </c>
    </row>
    <row r="18">
      <c r="A18" s="57" t="inlineStr">
        <is>
          <t>IOWA</t>
        </is>
      </c>
      <c r="B18" s="57" t="n">
        <v>0.64</v>
      </c>
      <c r="C18" s="57" t="n">
        <v>0.36</v>
      </c>
    </row>
    <row r="19">
      <c r="A19" s="57" t="inlineStr">
        <is>
          <t>KANSAS</t>
        </is>
      </c>
      <c r="B19" s="57" t="n">
        <v>0.742</v>
      </c>
      <c r="C19" s="57" t="n">
        <v>0.258</v>
      </c>
    </row>
    <row r="20">
      <c r="A20" s="57" t="inlineStr">
        <is>
          <t>KENTUCKY</t>
        </is>
      </c>
      <c r="B20" s="57" t="n">
        <v>0.584</v>
      </c>
      <c r="C20" s="57" t="n">
        <v>0.416</v>
      </c>
    </row>
    <row r="21">
      <c r="A21" s="57" t="inlineStr">
        <is>
          <t>LOUISIANA</t>
        </is>
      </c>
      <c r="B21" s="57" t="n">
        <v>0.732</v>
      </c>
      <c r="C21" s="57" t="n">
        <v>0.268</v>
      </c>
    </row>
    <row r="22">
      <c r="A22" s="57" t="inlineStr">
        <is>
          <t>MAINE</t>
        </is>
      </c>
      <c r="B22" s="57" t="n">
        <v>0.387</v>
      </c>
      <c r="C22" s="57" t="n">
        <v>0.613</v>
      </c>
    </row>
    <row r="23">
      <c r="A23" s="57" t="inlineStr">
        <is>
          <t>MARYLAND</t>
        </is>
      </c>
      <c r="B23" s="57" t="n">
        <v>0.872</v>
      </c>
      <c r="C23" s="57" t="n">
        <v>0.128</v>
      </c>
    </row>
    <row r="24">
      <c r="A24" s="57" t="inlineStr">
        <is>
          <t>MASSACHUSETTS</t>
        </is>
      </c>
      <c r="B24" s="57" t="n">
        <v>0.92</v>
      </c>
      <c r="C24" s="57" t="n">
        <v>0.0799999999999999</v>
      </c>
    </row>
    <row r="25">
      <c r="A25" s="57" t="inlineStr">
        <is>
          <t>MICHIGAN</t>
        </is>
      </c>
      <c r="B25" s="57" t="n">
        <v>0.746</v>
      </c>
      <c r="C25" s="57" t="n">
        <v>0.254</v>
      </c>
    </row>
    <row r="26">
      <c r="A26" s="57" t="inlineStr">
        <is>
          <t>MINNESOTA</t>
        </is>
      </c>
      <c r="B26" s="57" t="n">
        <v>0.733</v>
      </c>
      <c r="C26" s="57" t="n">
        <v>0.267</v>
      </c>
    </row>
    <row r="27">
      <c r="A27" s="57" t="inlineStr">
        <is>
          <t>MISSISSIPPI</t>
        </is>
      </c>
      <c r="B27" s="57" t="n">
        <v>0.494</v>
      </c>
      <c r="C27" s="57" t="n">
        <v>0.506</v>
      </c>
    </row>
    <row r="28">
      <c r="A28" s="57" t="inlineStr">
        <is>
          <t>MISSOURI</t>
        </is>
      </c>
      <c r="B28" s="57" t="n">
        <v>0.704</v>
      </c>
      <c r="C28" s="57" t="n">
        <v>0.295999999999999</v>
      </c>
    </row>
    <row r="29">
      <c r="A29" s="57" t="inlineStr">
        <is>
          <t>MONTANA</t>
        </is>
      </c>
      <c r="B29" s="57" t="n">
        <v>0.5589999999999991</v>
      </c>
      <c r="C29" s="57" t="n">
        <v>0.441</v>
      </c>
    </row>
    <row r="30">
      <c r="A30" s="57" t="inlineStr">
        <is>
          <t>NEBRASKA</t>
        </is>
      </c>
      <c r="B30" s="57" t="n">
        <v>0.731</v>
      </c>
      <c r="C30" s="57" t="n">
        <v>0.269</v>
      </c>
    </row>
    <row r="31">
      <c r="A31" s="57" t="inlineStr">
        <is>
          <t>NEVADA</t>
        </is>
      </c>
      <c r="B31" s="57" t="n">
        <v>0.9419999999999999</v>
      </c>
      <c r="C31" s="57" t="n">
        <v>0.0579999999999999</v>
      </c>
    </row>
    <row r="32">
      <c r="A32" s="57" t="inlineStr">
        <is>
          <t>NEW HAMPSHIRE</t>
        </is>
      </c>
      <c r="B32" s="57" t="n">
        <v>0.603</v>
      </c>
      <c r="C32" s="57" t="n">
        <v>0.397</v>
      </c>
    </row>
    <row r="33">
      <c r="A33" s="57" t="inlineStr">
        <is>
          <t>NEW JERSEY</t>
        </is>
      </c>
      <c r="B33" s="57" t="n">
        <v>0.947</v>
      </c>
      <c r="C33" s="57" t="n">
        <v>0.0529999999999999</v>
      </c>
    </row>
    <row r="34">
      <c r="A34" s="57" t="inlineStr">
        <is>
          <t>NEW MEXICO</t>
        </is>
      </c>
      <c r="B34" s="57" t="n">
        <v>0.774</v>
      </c>
      <c r="C34" s="57" t="n">
        <v>0.225999999999999</v>
      </c>
    </row>
    <row r="35">
      <c r="A35" s="57" t="inlineStr">
        <is>
          <t>NEW YORK</t>
        </is>
      </c>
      <c r="B35" s="57" t="n">
        <v>0.879</v>
      </c>
      <c r="C35" s="57" t="n">
        <v>0.121</v>
      </c>
    </row>
    <row r="36">
      <c r="A36" s="57" t="inlineStr">
        <is>
          <t>NORTH CAROLINA</t>
        </is>
      </c>
      <c r="B36" s="57" t="n">
        <v>0.660999999999999</v>
      </c>
      <c r="C36" s="57" t="n">
        <v>0.339</v>
      </c>
    </row>
    <row r="37">
      <c r="A37" s="57" t="inlineStr">
        <is>
          <t>NORTH DAKOTA</t>
        </is>
      </c>
      <c r="B37" s="57" t="n">
        <v>0.599</v>
      </c>
      <c r="C37" s="57" t="n">
        <v>0.401</v>
      </c>
    </row>
    <row r="38">
      <c r="A38" s="57" t="inlineStr">
        <is>
          <t>OHIO</t>
        </is>
      </c>
      <c r="B38" s="57" t="n">
        <v>0.779</v>
      </c>
      <c r="C38" s="57" t="n">
        <v>0.220999999999999</v>
      </c>
    </row>
    <row r="39">
      <c r="A39" s="57" t="inlineStr">
        <is>
          <t>OKLAHOMA</t>
        </is>
      </c>
      <c r="B39" s="57" t="n">
        <v>0.662</v>
      </c>
      <c r="C39" s="57" t="n">
        <v>0.337999999999999</v>
      </c>
    </row>
    <row r="40">
      <c r="A40" s="57" t="inlineStr">
        <is>
          <t>OREGON</t>
        </is>
      </c>
      <c r="B40" s="57" t="n">
        <v>0.8100000000000001</v>
      </c>
      <c r="C40" s="57" t="n">
        <v>0.189999999999999</v>
      </c>
    </row>
    <row r="41">
      <c r="A41" s="57" t="inlineStr">
        <is>
          <t>PENNSYLVANIA</t>
        </is>
      </c>
      <c r="B41" s="57" t="n">
        <v>0.787</v>
      </c>
      <c r="C41" s="57" t="n">
        <v>0.212999999999999</v>
      </c>
    </row>
    <row r="42">
      <c r="A42" s="57" t="inlineStr">
        <is>
          <t>RHODE ISLAND</t>
        </is>
      </c>
      <c r="B42" s="57" t="n">
        <v>0.907</v>
      </c>
      <c r="C42" s="57" t="n">
        <v>0.0929999999999999</v>
      </c>
    </row>
    <row r="43">
      <c r="A43" s="57" t="inlineStr">
        <is>
          <t>SOUTH CAROLINA</t>
        </is>
      </c>
      <c r="B43" s="57" t="n">
        <v>0.662999999999999</v>
      </c>
      <c r="C43" s="57" t="n">
        <v>0.337</v>
      </c>
    </row>
    <row r="44">
      <c r="A44" s="57" t="inlineStr">
        <is>
          <t>SOUTH DAKOTA</t>
        </is>
      </c>
      <c r="B44" s="57" t="n">
        <v>0.5669999999999999</v>
      </c>
      <c r="C44" s="57" t="n">
        <v>0.432999999999999</v>
      </c>
    </row>
    <row r="45">
      <c r="A45" s="57" t="inlineStr">
        <is>
          <t>TENNESSEE</t>
        </is>
      </c>
      <c r="B45" s="57" t="n">
        <v>0.664</v>
      </c>
      <c r="C45" s="57" t="n">
        <v>0.335999999999999</v>
      </c>
    </row>
    <row r="46">
      <c r="A46" s="57" t="inlineStr">
        <is>
          <t>TEXAS</t>
        </is>
      </c>
      <c r="B46" s="57" t="n">
        <v>0.847</v>
      </c>
      <c r="C46" s="57" t="n">
        <v>0.153</v>
      </c>
    </row>
    <row r="47">
      <c r="A47" s="57" t="inlineStr">
        <is>
          <t>UTAH</t>
        </is>
      </c>
      <c r="B47" s="57" t="n">
        <v>0.905999999999999</v>
      </c>
      <c r="C47" s="57" t="n">
        <v>0.094</v>
      </c>
    </row>
    <row r="48">
      <c r="A48" s="57" t="inlineStr">
        <is>
          <t>VERMONT</t>
        </is>
      </c>
      <c r="B48" s="57" t="n">
        <v>0.389</v>
      </c>
      <c r="C48" s="57" t="n">
        <v>0.611</v>
      </c>
    </row>
    <row r="49">
      <c r="A49" s="57" t="inlineStr">
        <is>
          <t>VIRGINIA</t>
        </is>
      </c>
      <c r="B49" s="57" t="n">
        <v>0.755</v>
      </c>
      <c r="C49" s="57" t="n">
        <v>0.245</v>
      </c>
    </row>
    <row r="50">
      <c r="A50" s="57" t="inlineStr">
        <is>
          <t>WASHINGTON</t>
        </is>
      </c>
      <c r="B50" s="57" t="n">
        <v>0.841</v>
      </c>
      <c r="C50" s="57" t="n">
        <v>0.159</v>
      </c>
    </row>
    <row r="51">
      <c r="A51" s="57" t="inlineStr">
        <is>
          <t>WEST VIRGINIA</t>
        </is>
      </c>
      <c r="B51" s="57" t="n">
        <v>0.487</v>
      </c>
      <c r="C51" s="57" t="n">
        <v>0.512999999999999</v>
      </c>
    </row>
    <row r="52">
      <c r="A52" s="57" t="inlineStr">
        <is>
          <t>WISCONSIN</t>
        </is>
      </c>
      <c r="B52" s="57" t="n">
        <v>0.702</v>
      </c>
      <c r="C52" s="57" t="n">
        <v>0.297999999999999</v>
      </c>
    </row>
    <row r="53">
      <c r="A53" s="57" t="inlineStr">
        <is>
          <t>WYOMING</t>
        </is>
      </c>
      <c r="B53" s="57" t="n">
        <v>0.648</v>
      </c>
      <c r="C53" s="57" t="n">
        <v>0.352</v>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AI1000"/>
  <sheetViews>
    <sheetView workbookViewId="0">
      <selection activeCell="A1" sqref="A1"/>
    </sheetView>
  </sheetViews>
  <sheetFormatPr baseColWidth="10" defaultColWidth="12.6640625" defaultRowHeight="15" customHeight="1"/>
  <cols>
    <col width="3.5" customWidth="1" style="74" min="1" max="1"/>
    <col width="27.83203125" customWidth="1" style="74" min="2" max="2"/>
    <col width="16.33203125" customWidth="1" style="74" min="3" max="3"/>
    <col width="8.6640625" customWidth="1" style="74" min="4" max="4"/>
    <col width="7.6640625" customWidth="1" style="74" min="5" max="35"/>
  </cols>
  <sheetData>
    <row r="1" ht="18" customHeight="1" s="74">
      <c r="A1" s="47" t="inlineStr">
        <is>
          <t>Table 21</t>
        </is>
      </c>
      <c r="B1" s="2" t="n"/>
      <c r="C1" s="2" t="n"/>
      <c r="D1" s="2" t="n"/>
    </row>
    <row r="2" ht="18" customHeight="1" s="74">
      <c r="A2" s="47" t="n"/>
      <c r="B2" s="48" t="inlineStr">
        <is>
          <t>Net Generation (billion kilowatthours)</t>
        </is>
      </c>
      <c r="C2" s="2" t="n"/>
      <c r="D2" s="2" t="n"/>
    </row>
    <row r="3" ht="14.25" customHeight="1" s="74">
      <c r="A3" s="2" t="n"/>
      <c r="B3" s="1" t="inlineStr">
        <is>
          <t>BDEQ-BEOfDS-urban-residential</t>
        </is>
      </c>
      <c r="C3" s="2" t="n"/>
      <c r="D3" s="49" t="n"/>
    </row>
    <row r="4" ht="14.25" customHeight="1" s="74">
      <c r="A4" s="2" t="n"/>
      <c r="B4" s="2" t="n"/>
      <c r="C4" s="1" t="inlineStr">
        <is>
          <t>MW*hour</t>
        </is>
      </c>
      <c r="D4" s="7" t="n">
        <v>2019</v>
      </c>
      <c r="E4" s="7" t="n">
        <v>2020</v>
      </c>
      <c r="F4" s="7" t="n">
        <v>2021</v>
      </c>
      <c r="G4" s="7" t="n">
        <v>2022</v>
      </c>
      <c r="H4" s="7" t="n">
        <v>2023</v>
      </c>
      <c r="I4" s="7" t="n">
        <v>2024</v>
      </c>
      <c r="J4" s="7" t="n">
        <v>2025</v>
      </c>
      <c r="K4" s="7" t="n">
        <v>2026</v>
      </c>
      <c r="L4" s="7" t="n">
        <v>2027</v>
      </c>
      <c r="M4" s="7" t="n">
        <v>2028</v>
      </c>
      <c r="N4" s="7" t="n">
        <v>2029</v>
      </c>
      <c r="O4" s="7" t="n">
        <v>2030</v>
      </c>
      <c r="P4" s="7" t="n">
        <v>2031</v>
      </c>
      <c r="Q4" s="7" t="n">
        <v>2032</v>
      </c>
      <c r="R4" s="7" t="n">
        <v>2033</v>
      </c>
      <c r="S4" s="7" t="n">
        <v>2034</v>
      </c>
      <c r="T4" s="7" t="n">
        <v>2035</v>
      </c>
      <c r="U4" s="7" t="n">
        <v>2036</v>
      </c>
      <c r="V4" s="7" t="n">
        <v>2037</v>
      </c>
      <c r="W4" s="7" t="n">
        <v>2038</v>
      </c>
      <c r="X4" s="7" t="n">
        <v>2039</v>
      </c>
      <c r="Y4" s="7" t="n">
        <v>2040</v>
      </c>
      <c r="Z4" s="7" t="n">
        <v>2041</v>
      </c>
      <c r="AA4" s="7" t="n">
        <v>2042</v>
      </c>
      <c r="AB4" s="7" t="n">
        <v>2043</v>
      </c>
      <c r="AC4" s="7" t="n">
        <v>2044</v>
      </c>
      <c r="AD4" s="7" t="n">
        <v>2045</v>
      </c>
      <c r="AE4" s="7" t="n">
        <v>2046</v>
      </c>
      <c r="AF4" s="7" t="n">
        <v>2047</v>
      </c>
      <c r="AG4" s="7" t="n">
        <v>2048</v>
      </c>
      <c r="AH4" s="7" t="n">
        <v>2049</v>
      </c>
      <c r="AI4" s="7" t="n">
        <v>2050</v>
      </c>
    </row>
    <row r="5" ht="14.25" customHeight="1" s="74">
      <c r="A5" s="2" t="n"/>
      <c r="B5" s="2" t="n"/>
      <c r="C5" s="7" t="inlineStr">
        <is>
          <t>hard coal</t>
        </is>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c r="AG5" s="50" t="n">
        <v>0</v>
      </c>
      <c r="AH5" s="50" t="n">
        <v>0</v>
      </c>
      <c r="AI5" s="50" t="n">
        <v>0</v>
      </c>
    </row>
    <row r="6" ht="14.25" customHeight="1" s="74">
      <c r="A6" s="2" t="n"/>
      <c r="B6" s="20" t="inlineStr">
        <is>
          <t>RST000:dgg_FuelCells</t>
        </is>
      </c>
      <c r="C6" s="7" t="inlineStr">
        <is>
          <t>natural gas nonpeaker</t>
        </is>
      </c>
      <c r="D6" s="51" t="n">
        <v>0</v>
      </c>
      <c r="E6" s="51" t="n">
        <v>0</v>
      </c>
      <c r="F6" s="51" t="n">
        <v>0</v>
      </c>
      <c r="G6" s="51" t="n">
        <v>0</v>
      </c>
      <c r="H6" s="51" t="n">
        <v>0</v>
      </c>
      <c r="I6" s="51" t="n">
        <v>0</v>
      </c>
      <c r="J6" s="51" t="n">
        <v>0</v>
      </c>
      <c r="K6" s="51" t="n">
        <v>0</v>
      </c>
      <c r="L6" s="51" t="n">
        <v>0</v>
      </c>
      <c r="M6" s="51" t="n">
        <v>0</v>
      </c>
      <c r="N6" s="51" t="n">
        <v>0</v>
      </c>
      <c r="O6" s="51" t="n">
        <v>0</v>
      </c>
      <c r="P6" s="51" t="n">
        <v>0</v>
      </c>
      <c r="Q6" s="51" t="n">
        <v>0</v>
      </c>
      <c r="R6" s="51" t="n">
        <v>0.8011844331641286</v>
      </c>
      <c r="S6" s="51" t="n">
        <v>4.005922165820643</v>
      </c>
      <c r="T6" s="51" t="n">
        <v>11.2165820642978</v>
      </c>
      <c r="U6" s="51" t="n">
        <v>24.03553299492386</v>
      </c>
      <c r="V6" s="51" t="n">
        <v>48.87225042301184</v>
      </c>
      <c r="W6" s="51" t="n">
        <v>95.3409475465313</v>
      </c>
      <c r="X6" s="51" t="n">
        <v>180.2664974619289</v>
      </c>
      <c r="Y6" s="51" t="n">
        <v>337.2986463620981</v>
      </c>
      <c r="Z6" s="51" t="n">
        <v>622.520304568528</v>
      </c>
      <c r="AA6" s="51" t="n">
        <v>908.5431472081218</v>
      </c>
      <c r="AB6" s="51" t="n">
        <v>1196.969543147208</v>
      </c>
      <c r="AC6" s="51" t="n">
        <v>1488.600676818951</v>
      </c>
      <c r="AD6" s="51" t="n">
        <v>1782.635363790186</v>
      </c>
      <c r="AE6" s="51" t="n">
        <v>2079.073604060914</v>
      </c>
      <c r="AF6" s="51" t="n">
        <v>2377.114213197969</v>
      </c>
      <c r="AG6" s="51" t="n">
        <v>2676.757191201354</v>
      </c>
      <c r="AH6" s="51" t="n">
        <v>2976.400169204738</v>
      </c>
      <c r="AI6" s="51" t="n">
        <v>3276.844331641286</v>
      </c>
    </row>
    <row r="7" ht="14.25" customHeight="1" s="74">
      <c r="A7" s="2" t="n"/>
      <c r="B7" s="2" t="n"/>
      <c r="C7" s="7" t="inlineStr">
        <is>
          <t>nuclear</t>
        </is>
      </c>
      <c r="D7" s="50" t="n">
        <v>0</v>
      </c>
      <c r="E7" s="50" t="n">
        <v>0</v>
      </c>
      <c r="F7" s="50" t="n">
        <v>0</v>
      </c>
      <c r="G7" s="50" t="n">
        <v>0</v>
      </c>
      <c r="H7" s="50" t="n">
        <v>0</v>
      </c>
      <c r="I7" s="50" t="n">
        <v>0</v>
      </c>
      <c r="J7" s="50" t="n">
        <v>0</v>
      </c>
      <c r="K7" s="50" t="n">
        <v>0</v>
      </c>
      <c r="L7" s="50" t="n">
        <v>0</v>
      </c>
      <c r="M7" s="50" t="n">
        <v>0</v>
      </c>
      <c r="N7" s="50" t="n">
        <v>0</v>
      </c>
      <c r="O7" s="50" t="n">
        <v>0</v>
      </c>
      <c r="P7" s="50" t="n">
        <v>0</v>
      </c>
      <c r="Q7" s="50" t="n">
        <v>0</v>
      </c>
      <c r="R7" s="50" t="n">
        <v>0</v>
      </c>
      <c r="S7" s="50" t="n">
        <v>0</v>
      </c>
      <c r="T7" s="50" t="n">
        <v>0</v>
      </c>
      <c r="U7" s="50" t="n">
        <v>0</v>
      </c>
      <c r="V7" s="50" t="n">
        <v>0</v>
      </c>
      <c r="W7" s="50" t="n">
        <v>0</v>
      </c>
      <c r="X7" s="50" t="n">
        <v>0</v>
      </c>
      <c r="Y7" s="50" t="n">
        <v>0</v>
      </c>
      <c r="Z7" s="50" t="n">
        <v>0</v>
      </c>
      <c r="AA7" s="50" t="n">
        <v>0</v>
      </c>
      <c r="AB7" s="50" t="n">
        <v>0</v>
      </c>
      <c r="AC7" s="50" t="n">
        <v>0</v>
      </c>
      <c r="AD7" s="50" t="n">
        <v>0</v>
      </c>
      <c r="AE7" s="50" t="n">
        <v>0</v>
      </c>
      <c r="AF7" s="50" t="n">
        <v>0</v>
      </c>
      <c r="AG7" s="50" t="n">
        <v>0</v>
      </c>
      <c r="AH7" s="50" t="n">
        <v>0</v>
      </c>
      <c r="AI7" s="50" t="n">
        <v>0</v>
      </c>
    </row>
    <row r="8" ht="14.25" customHeight="1" s="74">
      <c r="A8" s="2" t="n"/>
      <c r="B8" s="2" t="n"/>
      <c r="C8" s="7" t="inlineStr">
        <is>
          <t>hydro</t>
        </is>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c r="AG8" s="50" t="n">
        <v>0</v>
      </c>
      <c r="AH8" s="50" t="n">
        <v>0</v>
      </c>
      <c r="AI8" s="50" t="n">
        <v>0</v>
      </c>
    </row>
    <row r="9" ht="14.25" customHeight="1" s="74">
      <c r="A9" s="2" t="n"/>
      <c r="B9" s="20" t="inlineStr">
        <is>
          <t>RST000:dgg_WindHuffHuff</t>
        </is>
      </c>
      <c r="C9" s="7" t="inlineStr">
        <is>
          <t>onshore wind</t>
        </is>
      </c>
      <c r="D9" s="51" t="n">
        <v>14722.56514382403</v>
      </c>
      <c r="E9" s="51" t="n">
        <v>14722.56514382403</v>
      </c>
      <c r="F9" s="51" t="n">
        <v>14722.56514382403</v>
      </c>
      <c r="G9" s="51" t="n">
        <v>14722.56514382403</v>
      </c>
      <c r="H9" s="51" t="n">
        <v>14722.56514382403</v>
      </c>
      <c r="I9" s="51" t="n">
        <v>14722.56514382403</v>
      </c>
      <c r="J9" s="51" t="n">
        <v>14722.56514382403</v>
      </c>
      <c r="K9" s="51" t="n">
        <v>14722.56514382403</v>
      </c>
      <c r="L9" s="51" t="n">
        <v>14722.56514382403</v>
      </c>
      <c r="M9" s="51" t="n">
        <v>14722.56514382403</v>
      </c>
      <c r="N9" s="51" t="n">
        <v>14722.56514382403</v>
      </c>
      <c r="O9" s="51" t="n">
        <v>14722.56514382403</v>
      </c>
      <c r="P9" s="51" t="n">
        <v>14722.56514382403</v>
      </c>
      <c r="Q9" s="51" t="n">
        <v>14722.56514382403</v>
      </c>
      <c r="R9" s="51" t="n">
        <v>14723.36632825719</v>
      </c>
      <c r="S9" s="51" t="n">
        <v>14725.76988155668</v>
      </c>
      <c r="T9" s="51" t="n">
        <v>14730.57698815567</v>
      </c>
      <c r="U9" s="51" t="n">
        <v>14740.19120135364</v>
      </c>
      <c r="V9" s="51" t="n">
        <v>14758.61844331641</v>
      </c>
      <c r="W9" s="51" t="n">
        <v>14792.26818950931</v>
      </c>
      <c r="X9" s="51" t="n">
        <v>14854.76057529611</v>
      </c>
      <c r="Y9" s="51" t="n">
        <v>14970.13113367174</v>
      </c>
      <c r="Z9" s="51" t="n">
        <v>15180.04145516074</v>
      </c>
      <c r="AA9" s="51" t="n">
        <v>15389.95177664975</v>
      </c>
      <c r="AB9" s="51" t="n">
        <v>15601.46446700508</v>
      </c>
      <c r="AC9" s="51" t="n">
        <v>15815.3807106599</v>
      </c>
      <c r="AD9" s="51" t="n">
        <v>16030.89932318105</v>
      </c>
      <c r="AE9" s="51" t="n">
        <v>16248.02030456853</v>
      </c>
      <c r="AF9" s="51" t="n">
        <v>16465.94247038917</v>
      </c>
      <c r="AG9" s="51" t="n">
        <v>16685.46700507615</v>
      </c>
      <c r="AH9" s="51" t="n">
        <v>16904.19035532995</v>
      </c>
      <c r="AI9" s="51" t="n">
        <v>17124.51607445008</v>
      </c>
    </row>
    <row r="10" ht="14.25" customHeight="1" s="74">
      <c r="A10" s="2" t="n"/>
      <c r="B10" s="20" t="inlineStr">
        <is>
          <t>RST000:dgg_SolarPhoto</t>
        </is>
      </c>
      <c r="C10" s="7" t="inlineStr">
        <is>
          <t>solar PV</t>
        </is>
      </c>
      <c r="D10" s="51" t="n">
        <v>17461559.94416244</v>
      </c>
      <c r="E10" s="51" t="n">
        <v>19973253.11252115</v>
      </c>
      <c r="F10" s="51" t="n">
        <v>22441871.40101523</v>
      </c>
      <c r="G10" s="51" t="n">
        <v>24825707.55160744</v>
      </c>
      <c r="H10" s="51" t="n">
        <v>27213173.86886632</v>
      </c>
      <c r="I10" s="51" t="n">
        <v>29609795.32064298</v>
      </c>
      <c r="J10" s="51" t="n">
        <v>32023935.47123519</v>
      </c>
      <c r="K10" s="51" t="n">
        <v>34465783.78426395</v>
      </c>
      <c r="L10" s="51" t="n">
        <v>36933488.72250423</v>
      </c>
      <c r="M10" s="51" t="n">
        <v>39430633.98392554</v>
      </c>
      <c r="N10" s="51" t="n">
        <v>41962649.19543147</v>
      </c>
      <c r="O10" s="51" t="n">
        <v>44543176.12436548</v>
      </c>
      <c r="P10" s="51" t="n">
        <v>47161258.57360406</v>
      </c>
      <c r="Q10" s="51" t="n">
        <v>49804714.53384095</v>
      </c>
      <c r="R10" s="51" t="n">
        <v>52477610.81725889</v>
      </c>
      <c r="S10" s="51" t="n">
        <v>55184090.34856176</v>
      </c>
      <c r="T10" s="51" t="n">
        <v>57916351.99492386</v>
      </c>
      <c r="U10" s="51" t="n">
        <v>60668779.4534687</v>
      </c>
      <c r="V10" s="51" t="n">
        <v>63454623.51353638</v>
      </c>
      <c r="W10" s="51" t="n">
        <v>66274166.9932318</v>
      </c>
      <c r="X10" s="51" t="n">
        <v>69122138.90016921</v>
      </c>
      <c r="Y10" s="51" t="n">
        <v>72010081.89847715</v>
      </c>
      <c r="Z10" s="51" t="n">
        <v>74921691.88494079</v>
      </c>
      <c r="AA10" s="51" t="n">
        <v>77864574.5033841</v>
      </c>
      <c r="AB10" s="51" t="n">
        <v>80836991.98477158</v>
      </c>
      <c r="AC10" s="51" t="n">
        <v>83838866.61421318</v>
      </c>
      <c r="AD10" s="51" t="n">
        <v>86882648.79780035</v>
      </c>
      <c r="AE10" s="51" t="n">
        <v>89970080.31049068</v>
      </c>
      <c r="AF10" s="51" t="n">
        <v>93103099.21742809</v>
      </c>
      <c r="AG10" s="51" t="n">
        <v>96275513.96531302</v>
      </c>
      <c r="AH10" s="51" t="n">
        <v>99494371.77241963</v>
      </c>
      <c r="AI10" s="51" t="n">
        <v>102753040.4340101</v>
      </c>
    </row>
    <row r="11" ht="14.25" customHeight="1" s="74">
      <c r="A11" s="2" t="n"/>
      <c r="B11" s="2" t="n"/>
      <c r="C11" s="7" t="inlineStr">
        <is>
          <t>solar thermal</t>
        </is>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c r="AG11" s="50" t="n">
        <v>0</v>
      </c>
      <c r="AH11" s="50" t="n">
        <v>0</v>
      </c>
      <c r="AI11" s="50" t="n">
        <v>0</v>
      </c>
    </row>
    <row r="12" ht="14.25" customHeight="1" s="74">
      <c r="A12" s="2" t="n"/>
      <c r="B12" s="2" t="n"/>
      <c r="C12" s="7" t="inlineStr">
        <is>
          <t>biomass</t>
        </is>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c r="AG12" s="50" t="n">
        <v>0</v>
      </c>
      <c r="AH12" s="50" t="n">
        <v>0</v>
      </c>
      <c r="AI12" s="50" t="n">
        <v>0</v>
      </c>
    </row>
    <row r="13" ht="14.25" customHeight="1" s="74">
      <c r="A13" s="2" t="n"/>
      <c r="B13" s="2" t="n"/>
      <c r="C13" s="7" t="inlineStr">
        <is>
          <t>geothermal</t>
        </is>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c r="AG13" s="50" t="n">
        <v>0</v>
      </c>
      <c r="AH13" s="50" t="n">
        <v>0</v>
      </c>
      <c r="AI13" s="50" t="n">
        <v>0</v>
      </c>
    </row>
    <row r="14" ht="14.25" customHeight="1" s="74">
      <c r="A14" s="2" t="n"/>
      <c r="B14" s="2" t="n"/>
      <c r="C14" s="7" t="inlineStr">
        <is>
          <t>petroleum</t>
        </is>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c r="AG14" s="50" t="n">
        <v>0</v>
      </c>
      <c r="AH14" s="50" t="n">
        <v>0</v>
      </c>
      <c r="AI14" s="50" t="n">
        <v>0</v>
      </c>
    </row>
    <row r="15" ht="14.25" customHeight="1" s="74">
      <c r="A15" s="2" t="n"/>
      <c r="B15" s="2" t="n"/>
      <c r="C15" s="7" t="inlineStr">
        <is>
          <t>natural gas peaker</t>
        </is>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c r="AG15" s="50" t="n">
        <v>0</v>
      </c>
      <c r="AH15" s="50" t="n">
        <v>0</v>
      </c>
      <c r="AI15" s="50" t="n">
        <v>0</v>
      </c>
    </row>
    <row r="16" ht="14.25" customHeight="1" s="74">
      <c r="A16" s="2" t="n"/>
      <c r="B16" s="2" t="n"/>
      <c r="C16" s="7" t="inlineStr">
        <is>
          <t>lignite</t>
        </is>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c r="AG16" s="50" t="n">
        <v>0</v>
      </c>
      <c r="AH16" s="50" t="n">
        <v>0</v>
      </c>
      <c r="AI16" s="50" t="n">
        <v>0</v>
      </c>
    </row>
    <row r="17" ht="14.25" customHeight="1" s="74">
      <c r="A17" s="2" t="n"/>
      <c r="B17" s="2" t="n"/>
      <c r="C17" s="7" t="inlineStr">
        <is>
          <t>offshore wind</t>
        </is>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c r="AG17" s="50" t="n">
        <v>0</v>
      </c>
      <c r="AH17" s="50" t="n">
        <v>0</v>
      </c>
      <c r="AI17" s="50" t="n">
        <v>0</v>
      </c>
    </row>
    <row r="18" ht="14.25" customHeight="1" s="74">
      <c r="A18" s="2" t="n"/>
      <c r="B18" s="2" t="n"/>
      <c r="C18" s="7" t="inlineStr">
        <is>
          <t>crude oil</t>
        </is>
      </c>
      <c r="D18" s="50" t="n">
        <v>0</v>
      </c>
      <c r="E18" s="50" t="n">
        <v>0</v>
      </c>
      <c r="F18" s="50" t="n">
        <v>0</v>
      </c>
      <c r="G18" s="50" t="n">
        <v>0</v>
      </c>
      <c r="H18" s="50" t="n">
        <v>0</v>
      </c>
      <c r="I18" s="50" t="n">
        <v>0</v>
      </c>
      <c r="J18" s="50" t="n">
        <v>0</v>
      </c>
      <c r="K18" s="50" t="n">
        <v>0</v>
      </c>
      <c r="L18" s="50" t="n">
        <v>0</v>
      </c>
      <c r="M18" s="50" t="n">
        <v>0</v>
      </c>
      <c r="N18" s="50" t="n">
        <v>0</v>
      </c>
      <c r="O18" s="50" t="n">
        <v>0</v>
      </c>
      <c r="P18" s="50" t="n">
        <v>0</v>
      </c>
      <c r="Q18" s="50" t="n">
        <v>0</v>
      </c>
      <c r="R18" s="50" t="n">
        <v>0</v>
      </c>
      <c r="S18" s="50" t="n">
        <v>0</v>
      </c>
      <c r="T18" s="50" t="n">
        <v>0</v>
      </c>
      <c r="U18" s="50" t="n">
        <v>0</v>
      </c>
      <c r="V18" s="50" t="n">
        <v>0</v>
      </c>
      <c r="W18" s="50" t="n">
        <v>0</v>
      </c>
      <c r="X18" s="50" t="n">
        <v>0</v>
      </c>
      <c r="Y18" s="50" t="n">
        <v>0</v>
      </c>
      <c r="Z18" s="50" t="n">
        <v>0</v>
      </c>
      <c r="AA18" s="50" t="n">
        <v>0</v>
      </c>
      <c r="AB18" s="50" t="n">
        <v>0</v>
      </c>
      <c r="AC18" s="50" t="n">
        <v>0</v>
      </c>
      <c r="AD18" s="50" t="n">
        <v>0</v>
      </c>
      <c r="AE18" s="50" t="n">
        <v>0</v>
      </c>
      <c r="AF18" s="50" t="n">
        <v>0</v>
      </c>
      <c r="AG18" s="50" t="n">
        <v>0</v>
      </c>
      <c r="AH18" s="50" t="n">
        <v>0</v>
      </c>
      <c r="AI18" s="50" t="n">
        <v>0</v>
      </c>
    </row>
    <row r="19" ht="14.25" customHeight="1" s="74">
      <c r="A19" s="2" t="n"/>
      <c r="B19" s="2" t="n"/>
      <c r="C19" s="7" t="inlineStr">
        <is>
          <t>heavy or residual fuel oil</t>
        </is>
      </c>
      <c r="D19" s="50" t="n">
        <v>0</v>
      </c>
      <c r="E19" s="50" t="n">
        <v>0</v>
      </c>
      <c r="F19" s="50" t="n">
        <v>0</v>
      </c>
      <c r="G19" s="50" t="n">
        <v>0</v>
      </c>
      <c r="H19" s="50" t="n">
        <v>0</v>
      </c>
      <c r="I19" s="50" t="n">
        <v>0</v>
      </c>
      <c r="J19" s="50" t="n">
        <v>0</v>
      </c>
      <c r="K19" s="50" t="n">
        <v>0</v>
      </c>
      <c r="L19" s="50" t="n">
        <v>0</v>
      </c>
      <c r="M19" s="50" t="n">
        <v>0</v>
      </c>
      <c r="N19" s="50" t="n">
        <v>0</v>
      </c>
      <c r="O19" s="50" t="n">
        <v>0</v>
      </c>
      <c r="P19" s="50" t="n">
        <v>0</v>
      </c>
      <c r="Q19" s="50" t="n">
        <v>0</v>
      </c>
      <c r="R19" s="50" t="n">
        <v>0</v>
      </c>
      <c r="S19" s="50" t="n">
        <v>0</v>
      </c>
      <c r="T19" s="50" t="n">
        <v>0</v>
      </c>
      <c r="U19" s="50" t="n">
        <v>0</v>
      </c>
      <c r="V19" s="50" t="n">
        <v>0</v>
      </c>
      <c r="W19" s="50" t="n">
        <v>0</v>
      </c>
      <c r="X19" s="50" t="n">
        <v>0</v>
      </c>
      <c r="Y19" s="50" t="n">
        <v>0</v>
      </c>
      <c r="Z19" s="50" t="n">
        <v>0</v>
      </c>
      <c r="AA19" s="50" t="n">
        <v>0</v>
      </c>
      <c r="AB19" s="50" t="n">
        <v>0</v>
      </c>
      <c r="AC19" s="50" t="n">
        <v>0</v>
      </c>
      <c r="AD19" s="50" t="n">
        <v>0</v>
      </c>
      <c r="AE19" s="50" t="n">
        <v>0</v>
      </c>
      <c r="AF19" s="50" t="n">
        <v>0</v>
      </c>
      <c r="AG19" s="50" t="n">
        <v>0</v>
      </c>
      <c r="AH19" s="50" t="n">
        <v>0</v>
      </c>
      <c r="AI19" s="50" t="n">
        <v>0</v>
      </c>
    </row>
    <row r="20" ht="14.25" customHeight="1" s="74">
      <c r="A20" s="2" t="n"/>
      <c r="B20" s="2" t="n"/>
      <c r="C20" s="7" t="inlineStr">
        <is>
          <t>municipal solid waste</t>
        </is>
      </c>
      <c r="D20" s="50" t="n">
        <v>0</v>
      </c>
      <c r="E20" s="50" t="n">
        <v>0</v>
      </c>
      <c r="F20" s="50" t="n">
        <v>0</v>
      </c>
      <c r="G20" s="50" t="n">
        <v>0</v>
      </c>
      <c r="H20" s="50" t="n">
        <v>0</v>
      </c>
      <c r="I20" s="50" t="n">
        <v>0</v>
      </c>
      <c r="J20" s="50" t="n">
        <v>0</v>
      </c>
      <c r="K20" s="50" t="n">
        <v>0</v>
      </c>
      <c r="L20" s="50" t="n">
        <v>0</v>
      </c>
      <c r="M20" s="50" t="n">
        <v>0</v>
      </c>
      <c r="N20" s="50" t="n">
        <v>0</v>
      </c>
      <c r="O20" s="50" t="n">
        <v>0</v>
      </c>
      <c r="P20" s="50" t="n">
        <v>0</v>
      </c>
      <c r="Q20" s="50" t="n">
        <v>0</v>
      </c>
      <c r="R20" s="50" t="n">
        <v>0</v>
      </c>
      <c r="S20" s="50" t="n">
        <v>0</v>
      </c>
      <c r="T20" s="50" t="n">
        <v>0</v>
      </c>
      <c r="U20" s="50" t="n">
        <v>0</v>
      </c>
      <c r="V20" s="50" t="n">
        <v>0</v>
      </c>
      <c r="W20" s="50" t="n">
        <v>0</v>
      </c>
      <c r="X20" s="50" t="n">
        <v>0</v>
      </c>
      <c r="Y20" s="50" t="n">
        <v>0</v>
      </c>
      <c r="Z20" s="50" t="n">
        <v>0</v>
      </c>
      <c r="AA20" s="50" t="n">
        <v>0</v>
      </c>
      <c r="AB20" s="50" t="n">
        <v>0</v>
      </c>
      <c r="AC20" s="50" t="n">
        <v>0</v>
      </c>
      <c r="AD20" s="50" t="n">
        <v>0</v>
      </c>
      <c r="AE20" s="50" t="n">
        <v>0</v>
      </c>
      <c r="AF20" s="50" t="n">
        <v>0</v>
      </c>
      <c r="AG20" s="50" t="n">
        <v>0</v>
      </c>
      <c r="AH20" s="50" t="n">
        <v>0</v>
      </c>
      <c r="AI20" s="50" t="n">
        <v>0</v>
      </c>
    </row>
    <row r="21" ht="14.25" customHeight="1" s="74">
      <c r="A21" s="2" t="n"/>
      <c r="B21" s="2" t="n"/>
      <c r="C21" s="2" t="n"/>
      <c r="D21" s="2" t="n"/>
    </row>
    <row r="22" ht="14.25" customHeight="1" s="74">
      <c r="A22" s="2" t="n"/>
      <c r="B22" s="1" t="inlineStr">
        <is>
          <t>BDEQ-BEOfDS-rural-residential</t>
        </is>
      </c>
      <c r="C22" s="2" t="n"/>
      <c r="D22" s="2" t="n"/>
    </row>
    <row r="23" ht="14.25" customHeight="1" s="74">
      <c r="A23" s="2" t="n"/>
      <c r="B23" s="2" t="n"/>
      <c r="C23" s="1" t="inlineStr">
        <is>
          <t>MW*hour</t>
        </is>
      </c>
      <c r="D23" s="7" t="n">
        <v>2019</v>
      </c>
      <c r="E23" s="7" t="n">
        <v>2020</v>
      </c>
      <c r="F23" s="7" t="n">
        <v>2021</v>
      </c>
      <c r="G23" s="7" t="n">
        <v>2022</v>
      </c>
      <c r="H23" s="7" t="n">
        <v>2023</v>
      </c>
      <c r="I23" s="7" t="n">
        <v>2024</v>
      </c>
      <c r="J23" s="7" t="n">
        <v>2025</v>
      </c>
      <c r="K23" s="7" t="n">
        <v>2026</v>
      </c>
      <c r="L23" s="7" t="n">
        <v>2027</v>
      </c>
      <c r="M23" s="7" t="n">
        <v>2028</v>
      </c>
      <c r="N23" s="7" t="n">
        <v>2029</v>
      </c>
      <c r="O23" s="7" t="n">
        <v>2030</v>
      </c>
      <c r="P23" s="7" t="n">
        <v>2031</v>
      </c>
      <c r="Q23" s="7" t="n">
        <v>2032</v>
      </c>
      <c r="R23" s="7" t="n">
        <v>2033</v>
      </c>
      <c r="S23" s="7" t="n">
        <v>2034</v>
      </c>
      <c r="T23" s="7" t="n">
        <v>2035</v>
      </c>
      <c r="U23" s="7" t="n">
        <v>2036</v>
      </c>
      <c r="V23" s="7" t="n">
        <v>2037</v>
      </c>
      <c r="W23" s="7" t="n">
        <v>2038</v>
      </c>
      <c r="X23" s="7" t="n">
        <v>2039</v>
      </c>
      <c r="Y23" s="7" t="n">
        <v>2040</v>
      </c>
      <c r="Z23" s="7" t="n">
        <v>2041</v>
      </c>
      <c r="AA23" s="7" t="n">
        <v>2042</v>
      </c>
      <c r="AB23" s="7" t="n">
        <v>2043</v>
      </c>
      <c r="AC23" s="7" t="n">
        <v>2044</v>
      </c>
      <c r="AD23" s="7" t="n">
        <v>2045</v>
      </c>
      <c r="AE23" s="7" t="n">
        <v>2046</v>
      </c>
      <c r="AF23" s="7" t="n">
        <v>2047</v>
      </c>
      <c r="AG23" s="7" t="n">
        <v>2048</v>
      </c>
      <c r="AH23" s="7" t="n">
        <v>2049</v>
      </c>
      <c r="AI23" s="7" t="n">
        <v>2050</v>
      </c>
    </row>
    <row r="24" ht="14.25" customHeight="1" s="74">
      <c r="A24" s="2" t="n"/>
      <c r="B24" s="2" t="n"/>
      <c r="C24" s="7" t="inlineStr">
        <is>
          <t>hard coal</t>
        </is>
      </c>
      <c r="D24" s="50" t="n">
        <v>0</v>
      </c>
      <c r="E24" s="50" t="n">
        <v>1</v>
      </c>
      <c r="F24" s="50" t="n">
        <v>0</v>
      </c>
      <c r="G24" s="50" t="n">
        <v>0</v>
      </c>
      <c r="H24" s="50" t="n">
        <v>0</v>
      </c>
      <c r="I24" s="50" t="n">
        <v>0</v>
      </c>
      <c r="J24" s="50" t="n">
        <v>0</v>
      </c>
      <c r="K24" s="50" t="n">
        <v>0</v>
      </c>
      <c r="L24" s="50" t="n">
        <v>0</v>
      </c>
      <c r="M24" s="50" t="n">
        <v>0</v>
      </c>
      <c r="N24" s="50" t="n">
        <v>0</v>
      </c>
      <c r="O24" s="50" t="n">
        <v>0</v>
      </c>
      <c r="P24" s="50" t="n">
        <v>0</v>
      </c>
      <c r="Q24" s="50" t="n">
        <v>0</v>
      </c>
      <c r="R24" s="50" t="n">
        <v>0</v>
      </c>
      <c r="S24" s="50" t="n">
        <v>0</v>
      </c>
      <c r="T24" s="50" t="n">
        <v>0</v>
      </c>
      <c r="U24" s="50" t="n">
        <v>0</v>
      </c>
      <c r="V24" s="50" t="n">
        <v>0</v>
      </c>
      <c r="W24" s="50" t="n">
        <v>0</v>
      </c>
      <c r="X24" s="50" t="n">
        <v>0</v>
      </c>
      <c r="Y24" s="50" t="n">
        <v>0</v>
      </c>
      <c r="Z24" s="50" t="n">
        <v>0</v>
      </c>
      <c r="AA24" s="50" t="n">
        <v>0</v>
      </c>
      <c r="AB24" s="50" t="n">
        <v>0</v>
      </c>
      <c r="AC24" s="50" t="n">
        <v>0</v>
      </c>
      <c r="AD24" s="50" t="n">
        <v>0</v>
      </c>
      <c r="AE24" s="50" t="n">
        <v>0</v>
      </c>
      <c r="AF24" s="50" t="n">
        <v>0</v>
      </c>
      <c r="AG24" s="50" t="n">
        <v>0</v>
      </c>
      <c r="AH24" s="50" t="n">
        <v>0</v>
      </c>
      <c r="AI24" s="50" t="n">
        <v>0</v>
      </c>
    </row>
    <row r="25" ht="14.25" customHeight="1" s="74">
      <c r="A25" s="2" t="n"/>
      <c r="B25" s="20" t="inlineStr">
        <is>
          <t>RST000:dgg_FuelCells</t>
        </is>
      </c>
      <c r="C25" s="7" t="inlineStr">
        <is>
          <t>natural gas nonpeaker</t>
        </is>
      </c>
      <c r="D25" s="51" t="n">
        <v>0</v>
      </c>
      <c r="E25" s="51" t="n">
        <v>0</v>
      </c>
      <c r="F25" s="51" t="n">
        <v>0</v>
      </c>
      <c r="G25" s="51" t="n">
        <v>0</v>
      </c>
      <c r="H25" s="51" t="n">
        <v>0</v>
      </c>
      <c r="I25" s="51" t="n">
        <v>0</v>
      </c>
      <c r="J25" s="51" t="n">
        <v>0</v>
      </c>
      <c r="K25" s="51" t="n">
        <v>0</v>
      </c>
      <c r="L25" s="51" t="n">
        <v>0</v>
      </c>
      <c r="M25" s="51" t="n">
        <v>0</v>
      </c>
      <c r="N25" s="51" t="n">
        <v>0</v>
      </c>
      <c r="O25" s="51" t="n">
        <v>0</v>
      </c>
      <c r="P25" s="51" t="n">
        <v>0</v>
      </c>
      <c r="Q25" s="51" t="n">
        <v>0</v>
      </c>
      <c r="R25" s="51" t="n">
        <v>0.1988155668358714</v>
      </c>
      <c r="S25" s="51" t="n">
        <v>0.9940778341793571</v>
      </c>
      <c r="T25" s="51" t="n">
        <v>2.783417935702199</v>
      </c>
      <c r="U25" s="51" t="n">
        <v>5.964467005076142</v>
      </c>
      <c r="V25" s="51" t="n">
        <v>12.12774957698816</v>
      </c>
      <c r="W25" s="51" t="n">
        <v>23.6590524534687</v>
      </c>
      <c r="X25" s="51" t="n">
        <v>44.73350253807106</v>
      </c>
      <c r="Y25" s="51" t="n">
        <v>83.70135363790186</v>
      </c>
      <c r="Z25" s="51" t="n">
        <v>154.4796954314721</v>
      </c>
      <c r="AA25" s="51" t="n">
        <v>225.4568527918782</v>
      </c>
      <c r="AB25" s="51" t="n">
        <v>297.0304568527919</v>
      </c>
      <c r="AC25" s="51" t="n">
        <v>369.3993231810491</v>
      </c>
      <c r="AD25" s="51" t="n">
        <v>442.3646362098139</v>
      </c>
      <c r="AE25" s="51" t="n">
        <v>515.9263959390863</v>
      </c>
      <c r="AF25" s="51" t="n">
        <v>589.8857868020305</v>
      </c>
      <c r="AG25" s="51" t="n">
        <v>664.2428087986464</v>
      </c>
      <c r="AH25" s="51" t="n">
        <v>738.5998307952623</v>
      </c>
      <c r="AI25" s="51" t="n">
        <v>813.155668358714</v>
      </c>
    </row>
    <row r="26" ht="14.25" customHeight="1" s="74">
      <c r="A26" s="2" t="n"/>
      <c r="B26" s="2" t="n"/>
      <c r="C26" s="7" t="inlineStr">
        <is>
          <t>nuclear</t>
        </is>
      </c>
      <c r="D26" s="50" t="n">
        <v>0</v>
      </c>
      <c r="E26" s="50" t="n">
        <v>0</v>
      </c>
      <c r="F26" s="50" t="n">
        <v>0</v>
      </c>
      <c r="G26" s="50" t="n">
        <v>0</v>
      </c>
      <c r="H26" s="50" t="n">
        <v>0</v>
      </c>
      <c r="I26" s="50" t="n">
        <v>0</v>
      </c>
      <c r="J26" s="50" t="n">
        <v>0</v>
      </c>
      <c r="K26" s="50" t="n">
        <v>0</v>
      </c>
      <c r="L26" s="50" t="n">
        <v>0</v>
      </c>
      <c r="M26" s="50" t="n">
        <v>0</v>
      </c>
      <c r="N26" s="50" t="n">
        <v>0</v>
      </c>
      <c r="O26" s="50" t="n">
        <v>0</v>
      </c>
      <c r="P26" s="50" t="n">
        <v>0</v>
      </c>
      <c r="Q26" s="50" t="n">
        <v>0</v>
      </c>
      <c r="R26" s="50" t="n">
        <v>0</v>
      </c>
      <c r="S26" s="50" t="n">
        <v>0</v>
      </c>
      <c r="T26" s="50" t="n">
        <v>0</v>
      </c>
      <c r="U26" s="50" t="n">
        <v>0</v>
      </c>
      <c r="V26" s="50" t="n">
        <v>0</v>
      </c>
      <c r="W26" s="50" t="n">
        <v>0</v>
      </c>
      <c r="X26" s="50" t="n">
        <v>0</v>
      </c>
      <c r="Y26" s="50" t="n">
        <v>0</v>
      </c>
      <c r="Z26" s="50" t="n">
        <v>0</v>
      </c>
      <c r="AA26" s="50" t="n">
        <v>0</v>
      </c>
      <c r="AB26" s="50" t="n">
        <v>0</v>
      </c>
      <c r="AC26" s="50" t="n">
        <v>0</v>
      </c>
      <c r="AD26" s="50" t="n">
        <v>0</v>
      </c>
      <c r="AE26" s="50" t="n">
        <v>0</v>
      </c>
      <c r="AF26" s="50" t="n">
        <v>0</v>
      </c>
      <c r="AG26" s="50" t="n">
        <v>0</v>
      </c>
      <c r="AH26" s="50" t="n">
        <v>0</v>
      </c>
      <c r="AI26" s="50" t="n">
        <v>0</v>
      </c>
    </row>
    <row r="27" ht="14.25" customHeight="1" s="74">
      <c r="A27" s="2" t="n"/>
      <c r="B27" s="2" t="n"/>
      <c r="C27" s="7" t="inlineStr">
        <is>
          <t>hydro</t>
        </is>
      </c>
      <c r="D27" s="50" t="n">
        <v>0</v>
      </c>
      <c r="E27" s="50" t="n">
        <v>0</v>
      </c>
      <c r="F27" s="50" t="n">
        <v>0</v>
      </c>
      <c r="G27" s="50" t="n">
        <v>0</v>
      </c>
      <c r="H27" s="50" t="n">
        <v>0</v>
      </c>
      <c r="I27" s="50" t="n">
        <v>0</v>
      </c>
      <c r="J27" s="50" t="n">
        <v>0</v>
      </c>
      <c r="K27" s="50" t="n">
        <v>0</v>
      </c>
      <c r="L27" s="50" t="n">
        <v>0</v>
      </c>
      <c r="M27" s="50" t="n">
        <v>0</v>
      </c>
      <c r="N27" s="50" t="n">
        <v>0</v>
      </c>
      <c r="O27" s="50" t="n">
        <v>0</v>
      </c>
      <c r="P27" s="50" t="n">
        <v>0</v>
      </c>
      <c r="Q27" s="50" t="n">
        <v>0</v>
      </c>
      <c r="R27" s="50" t="n">
        <v>0</v>
      </c>
      <c r="S27" s="50" t="n">
        <v>0</v>
      </c>
      <c r="T27" s="50" t="n">
        <v>0</v>
      </c>
      <c r="U27" s="50" t="n">
        <v>0</v>
      </c>
      <c r="V27" s="50" t="n">
        <v>0</v>
      </c>
      <c r="W27" s="50" t="n">
        <v>0</v>
      </c>
      <c r="X27" s="50" t="n">
        <v>0</v>
      </c>
      <c r="Y27" s="50" t="n">
        <v>0</v>
      </c>
      <c r="Z27" s="50" t="n">
        <v>0</v>
      </c>
      <c r="AA27" s="50" t="n">
        <v>0</v>
      </c>
      <c r="AB27" s="50" t="n">
        <v>0</v>
      </c>
      <c r="AC27" s="50" t="n">
        <v>0</v>
      </c>
      <c r="AD27" s="50" t="n">
        <v>0</v>
      </c>
      <c r="AE27" s="50" t="n">
        <v>0</v>
      </c>
      <c r="AF27" s="50" t="n">
        <v>0</v>
      </c>
      <c r="AG27" s="50" t="n">
        <v>0</v>
      </c>
      <c r="AH27" s="50" t="n">
        <v>0</v>
      </c>
      <c r="AI27" s="50" t="n">
        <v>0</v>
      </c>
    </row>
    <row r="28" ht="14.25" customHeight="1" s="74">
      <c r="A28" s="2" t="n"/>
      <c r="B28" s="20" t="inlineStr">
        <is>
          <t>RST000:dgg_WindHuffHuff</t>
        </is>
      </c>
      <c r="C28" s="7" t="inlineStr">
        <is>
          <t>onshore wind</t>
        </is>
      </c>
      <c r="D28" s="51" t="n">
        <v>3653.434856175973</v>
      </c>
      <c r="E28" s="51" t="n">
        <v>3653.434856175973</v>
      </c>
      <c r="F28" s="51" t="n">
        <v>3653.434856175973</v>
      </c>
      <c r="G28" s="51" t="n">
        <v>3653.434856175973</v>
      </c>
      <c r="H28" s="51" t="n">
        <v>3653.434856175973</v>
      </c>
      <c r="I28" s="51" t="n">
        <v>3653.434856175973</v>
      </c>
      <c r="J28" s="51" t="n">
        <v>3653.434856175973</v>
      </c>
      <c r="K28" s="51" t="n">
        <v>3653.434856175973</v>
      </c>
      <c r="L28" s="51" t="n">
        <v>3653.434856175973</v>
      </c>
      <c r="M28" s="51" t="n">
        <v>3653.434856175973</v>
      </c>
      <c r="N28" s="51" t="n">
        <v>3653.434856175973</v>
      </c>
      <c r="O28" s="51" t="n">
        <v>3653.434856175973</v>
      </c>
      <c r="P28" s="51" t="n">
        <v>3653.434856175973</v>
      </c>
      <c r="Q28" s="51" t="n">
        <v>3653.434856175973</v>
      </c>
      <c r="R28" s="51" t="n">
        <v>3653.633671742809</v>
      </c>
      <c r="S28" s="51" t="n">
        <v>3654.230118443316</v>
      </c>
      <c r="T28" s="51" t="n">
        <v>3655.423011844332</v>
      </c>
      <c r="U28" s="51" t="n">
        <v>3657.808798646362</v>
      </c>
      <c r="V28" s="51" t="n">
        <v>3662.381556683587</v>
      </c>
      <c r="W28" s="51" t="n">
        <v>3670.731810490694</v>
      </c>
      <c r="X28" s="51" t="n">
        <v>3686.239424703891</v>
      </c>
      <c r="Y28" s="51" t="n">
        <v>3714.868866328257</v>
      </c>
      <c r="Z28" s="51" t="n">
        <v>3766.958544839255</v>
      </c>
      <c r="AA28" s="51" t="n">
        <v>3819.048223350254</v>
      </c>
      <c r="AB28" s="51" t="n">
        <v>3871.535532994924</v>
      </c>
      <c r="AC28" s="51" t="n">
        <v>3924.619289340101</v>
      </c>
      <c r="AD28" s="51" t="n">
        <v>3978.100676818951</v>
      </c>
      <c r="AE28" s="51" t="n">
        <v>4031.979695431472</v>
      </c>
      <c r="AF28" s="51" t="n">
        <v>4086.057529610829</v>
      </c>
      <c r="AG28" s="51" t="n">
        <v>4140.532994923858</v>
      </c>
      <c r="AH28" s="51" t="n">
        <v>4194.809644670051</v>
      </c>
      <c r="AI28" s="51" t="n">
        <v>4249.483925549916</v>
      </c>
    </row>
    <row r="29" ht="14.25" customHeight="1" s="74">
      <c r="A29" s="2" t="n"/>
      <c r="B29" s="20" t="inlineStr">
        <is>
          <t>RST000:dgg_SolarPhoto</t>
        </is>
      </c>
      <c r="C29" s="7" t="inlineStr">
        <is>
          <t>solar PV</t>
        </is>
      </c>
      <c r="D29" s="51" t="n">
        <v>4333122.055837563</v>
      </c>
      <c r="E29" s="51" t="n">
        <v>4956403.88747885</v>
      </c>
      <c r="F29" s="51" t="n">
        <v>5568996.598984771</v>
      </c>
      <c r="G29" s="51" t="n">
        <v>6160550.448392555</v>
      </c>
      <c r="H29" s="51" t="n">
        <v>6753005.131133671</v>
      </c>
      <c r="I29" s="51" t="n">
        <v>7347731.679357022</v>
      </c>
      <c r="J29" s="51" t="n">
        <v>7946805.528764805</v>
      </c>
      <c r="K29" s="51" t="n">
        <v>8552755.215736041</v>
      </c>
      <c r="L29" s="51" t="n">
        <v>9165121.27749577</v>
      </c>
      <c r="M29" s="51" t="n">
        <v>9784793.016074449</v>
      </c>
      <c r="N29" s="51" t="n">
        <v>10413117.80456853</v>
      </c>
      <c r="O29" s="51" t="n">
        <v>11053480.87563452</v>
      </c>
      <c r="P29" s="51" t="n">
        <v>11703163.42639594</v>
      </c>
      <c r="Q29" s="51" t="n">
        <v>12359142.46615905</v>
      </c>
      <c r="R29" s="51" t="n">
        <v>13022427.18274112</v>
      </c>
      <c r="S29" s="51" t="n">
        <v>13694045.65143824</v>
      </c>
      <c r="T29" s="51" t="n">
        <v>14372062.00507614</v>
      </c>
      <c r="U29" s="51" t="n">
        <v>15055082.5465313</v>
      </c>
      <c r="V29" s="51" t="n">
        <v>15746395.48646362</v>
      </c>
      <c r="W29" s="51" t="n">
        <v>16446071.00676819</v>
      </c>
      <c r="X29" s="51" t="n">
        <v>17152801.0998308</v>
      </c>
      <c r="Y29" s="51" t="n">
        <v>17869450.10152284</v>
      </c>
      <c r="Z29" s="51" t="n">
        <v>18591972.11505922</v>
      </c>
      <c r="AA29" s="51" t="n">
        <v>19322254.49661591</v>
      </c>
      <c r="AB29" s="51" t="n">
        <v>20059866.01522842</v>
      </c>
      <c r="AC29" s="51" t="n">
        <v>20804787.3857868</v>
      </c>
      <c r="AD29" s="51" t="n">
        <v>21560108.20219966</v>
      </c>
      <c r="AE29" s="51" t="n">
        <v>22326260.68950931</v>
      </c>
      <c r="AF29" s="51" t="n">
        <v>23103725.78257191</v>
      </c>
      <c r="AG29" s="51" t="n">
        <v>23890967.03468697</v>
      </c>
      <c r="AH29" s="51" t="n">
        <v>24689733.22758037</v>
      </c>
      <c r="AI29" s="51" t="n">
        <v>25498378.56598984</v>
      </c>
    </row>
    <row r="30" ht="14.25" customHeight="1" s="74">
      <c r="A30" s="2" t="n"/>
      <c r="B30" s="2" t="n"/>
      <c r="C30" s="7" t="inlineStr">
        <is>
          <t>solar thermal</t>
        </is>
      </c>
      <c r="D30" s="50" t="n">
        <v>0</v>
      </c>
      <c r="E30" s="50" t="n">
        <v>0</v>
      </c>
      <c r="F30" s="50" t="n">
        <v>0</v>
      </c>
      <c r="G30" s="50" t="n">
        <v>0</v>
      </c>
      <c r="H30" s="50" t="n">
        <v>0</v>
      </c>
      <c r="I30" s="50" t="n">
        <v>0</v>
      </c>
      <c r="J30" s="50" t="n">
        <v>0</v>
      </c>
      <c r="K30" s="50" t="n">
        <v>0</v>
      </c>
      <c r="L30" s="50" t="n">
        <v>0</v>
      </c>
      <c r="M30" s="50" t="n">
        <v>0</v>
      </c>
      <c r="N30" s="50" t="n">
        <v>0</v>
      </c>
      <c r="O30" s="50" t="n">
        <v>0</v>
      </c>
      <c r="P30" s="50" t="n">
        <v>0</v>
      </c>
      <c r="Q30" s="50" t="n">
        <v>0</v>
      </c>
      <c r="R30" s="50" t="n">
        <v>0</v>
      </c>
      <c r="S30" s="50" t="n">
        <v>0</v>
      </c>
      <c r="T30" s="50" t="n">
        <v>0</v>
      </c>
      <c r="U30" s="50" t="n">
        <v>0</v>
      </c>
      <c r="V30" s="50" t="n">
        <v>0</v>
      </c>
      <c r="W30" s="50" t="n">
        <v>0</v>
      </c>
      <c r="X30" s="50" t="n">
        <v>0</v>
      </c>
      <c r="Y30" s="50" t="n">
        <v>0</v>
      </c>
      <c r="Z30" s="50" t="n">
        <v>0</v>
      </c>
      <c r="AA30" s="50" t="n">
        <v>0</v>
      </c>
      <c r="AB30" s="50" t="n">
        <v>0</v>
      </c>
      <c r="AC30" s="50" t="n">
        <v>0</v>
      </c>
      <c r="AD30" s="50" t="n">
        <v>0</v>
      </c>
      <c r="AE30" s="50" t="n">
        <v>0</v>
      </c>
      <c r="AF30" s="50" t="n">
        <v>0</v>
      </c>
      <c r="AG30" s="50" t="n">
        <v>0</v>
      </c>
      <c r="AH30" s="50" t="n">
        <v>0</v>
      </c>
      <c r="AI30" s="50" t="n">
        <v>0</v>
      </c>
    </row>
    <row r="31" ht="14.25" customHeight="1" s="74">
      <c r="A31" s="2" t="n"/>
      <c r="B31" s="2" t="n"/>
      <c r="C31" s="7" t="inlineStr">
        <is>
          <t>biomass</t>
        </is>
      </c>
      <c r="D31" s="50" t="n">
        <v>0</v>
      </c>
      <c r="E31" s="50" t="n">
        <v>0</v>
      </c>
      <c r="F31" s="50" t="n">
        <v>0</v>
      </c>
      <c r="G31" s="50" t="n">
        <v>0</v>
      </c>
      <c r="H31" s="50" t="n">
        <v>0</v>
      </c>
      <c r="I31" s="50" t="n">
        <v>0</v>
      </c>
      <c r="J31" s="50" t="n">
        <v>0</v>
      </c>
      <c r="K31" s="50" t="n">
        <v>0</v>
      </c>
      <c r="L31" s="50" t="n">
        <v>0</v>
      </c>
      <c r="M31" s="50" t="n">
        <v>0</v>
      </c>
      <c r="N31" s="50" t="n">
        <v>0</v>
      </c>
      <c r="O31" s="50" t="n">
        <v>0</v>
      </c>
      <c r="P31" s="50" t="n">
        <v>0</v>
      </c>
      <c r="Q31" s="50" t="n">
        <v>0</v>
      </c>
      <c r="R31" s="50" t="n">
        <v>0</v>
      </c>
      <c r="S31" s="50" t="n">
        <v>0</v>
      </c>
      <c r="T31" s="50" t="n">
        <v>0</v>
      </c>
      <c r="U31" s="50" t="n">
        <v>0</v>
      </c>
      <c r="V31" s="50" t="n">
        <v>0</v>
      </c>
      <c r="W31" s="50" t="n">
        <v>0</v>
      </c>
      <c r="X31" s="50" t="n">
        <v>0</v>
      </c>
      <c r="Y31" s="50" t="n">
        <v>0</v>
      </c>
      <c r="Z31" s="50" t="n">
        <v>0</v>
      </c>
      <c r="AA31" s="50" t="n">
        <v>0</v>
      </c>
      <c r="AB31" s="50" t="n">
        <v>0</v>
      </c>
      <c r="AC31" s="50" t="n">
        <v>0</v>
      </c>
      <c r="AD31" s="50" t="n">
        <v>0</v>
      </c>
      <c r="AE31" s="50" t="n">
        <v>0</v>
      </c>
      <c r="AF31" s="50" t="n">
        <v>0</v>
      </c>
      <c r="AG31" s="50" t="n">
        <v>0</v>
      </c>
      <c r="AH31" s="50" t="n">
        <v>0</v>
      </c>
      <c r="AI31" s="50" t="n">
        <v>0</v>
      </c>
    </row>
    <row r="32" ht="14.25" customHeight="1" s="74">
      <c r="A32" s="2" t="n"/>
      <c r="B32" s="2" t="n"/>
      <c r="C32" s="7" t="inlineStr">
        <is>
          <t>geothermal</t>
        </is>
      </c>
      <c r="D32" s="50" t="n">
        <v>0</v>
      </c>
      <c r="E32" s="50" t="n">
        <v>0</v>
      </c>
      <c r="F32" s="50" t="n">
        <v>0</v>
      </c>
      <c r="G32" s="50" t="n">
        <v>0</v>
      </c>
      <c r="H32" s="50" t="n">
        <v>0</v>
      </c>
      <c r="I32" s="50" t="n">
        <v>0</v>
      </c>
      <c r="J32" s="50" t="n">
        <v>0</v>
      </c>
      <c r="K32" s="50" t="n">
        <v>0</v>
      </c>
      <c r="L32" s="50" t="n">
        <v>0</v>
      </c>
      <c r="M32" s="50" t="n">
        <v>0</v>
      </c>
      <c r="N32" s="50" t="n">
        <v>0</v>
      </c>
      <c r="O32" s="50" t="n">
        <v>0</v>
      </c>
      <c r="P32" s="50" t="n">
        <v>0</v>
      </c>
      <c r="Q32" s="50" t="n">
        <v>0</v>
      </c>
      <c r="R32" s="50" t="n">
        <v>0</v>
      </c>
      <c r="S32" s="50" t="n">
        <v>0</v>
      </c>
      <c r="T32" s="50" t="n">
        <v>0</v>
      </c>
      <c r="U32" s="50" t="n">
        <v>0</v>
      </c>
      <c r="V32" s="50" t="n">
        <v>0</v>
      </c>
      <c r="W32" s="50" t="n">
        <v>0</v>
      </c>
      <c r="X32" s="50" t="n">
        <v>0</v>
      </c>
      <c r="Y32" s="50" t="n">
        <v>0</v>
      </c>
      <c r="Z32" s="50" t="n">
        <v>0</v>
      </c>
      <c r="AA32" s="50" t="n">
        <v>0</v>
      </c>
      <c r="AB32" s="50" t="n">
        <v>0</v>
      </c>
      <c r="AC32" s="50" t="n">
        <v>0</v>
      </c>
      <c r="AD32" s="50" t="n">
        <v>0</v>
      </c>
      <c r="AE32" s="50" t="n">
        <v>0</v>
      </c>
      <c r="AF32" s="50" t="n">
        <v>0</v>
      </c>
      <c r="AG32" s="50" t="n">
        <v>0</v>
      </c>
      <c r="AH32" s="50" t="n">
        <v>0</v>
      </c>
      <c r="AI32" s="50" t="n">
        <v>0</v>
      </c>
    </row>
    <row r="33" ht="14.25" customHeight="1" s="74">
      <c r="A33" s="2" t="n"/>
      <c r="B33" s="2" t="n"/>
      <c r="C33" s="7" t="inlineStr">
        <is>
          <t>petroleum</t>
        </is>
      </c>
      <c r="D33" s="50" t="n">
        <v>0</v>
      </c>
      <c r="E33" s="50" t="n">
        <v>0</v>
      </c>
      <c r="F33" s="50" t="n">
        <v>0</v>
      </c>
      <c r="G33" s="50" t="n">
        <v>0</v>
      </c>
      <c r="H33" s="50" t="n">
        <v>0</v>
      </c>
      <c r="I33" s="50" t="n">
        <v>0</v>
      </c>
      <c r="J33" s="50" t="n">
        <v>0</v>
      </c>
      <c r="K33" s="50" t="n">
        <v>0</v>
      </c>
      <c r="L33" s="50" t="n">
        <v>0</v>
      </c>
      <c r="M33" s="50" t="n">
        <v>0</v>
      </c>
      <c r="N33" s="50" t="n">
        <v>0</v>
      </c>
      <c r="O33" s="50" t="n">
        <v>0</v>
      </c>
      <c r="P33" s="50" t="n">
        <v>0</v>
      </c>
      <c r="Q33" s="50" t="n">
        <v>0</v>
      </c>
      <c r="R33" s="50" t="n">
        <v>0</v>
      </c>
      <c r="S33" s="50" t="n">
        <v>0</v>
      </c>
      <c r="T33" s="50" t="n">
        <v>0</v>
      </c>
      <c r="U33" s="50" t="n">
        <v>0</v>
      </c>
      <c r="V33" s="50" t="n">
        <v>0</v>
      </c>
      <c r="W33" s="50" t="n">
        <v>0</v>
      </c>
      <c r="X33" s="50" t="n">
        <v>0</v>
      </c>
      <c r="Y33" s="50" t="n">
        <v>0</v>
      </c>
      <c r="Z33" s="50" t="n">
        <v>0</v>
      </c>
      <c r="AA33" s="50" t="n">
        <v>0</v>
      </c>
      <c r="AB33" s="50" t="n">
        <v>0</v>
      </c>
      <c r="AC33" s="50" t="n">
        <v>0</v>
      </c>
      <c r="AD33" s="50" t="n">
        <v>0</v>
      </c>
      <c r="AE33" s="50" t="n">
        <v>0</v>
      </c>
      <c r="AF33" s="50" t="n">
        <v>0</v>
      </c>
      <c r="AG33" s="50" t="n">
        <v>0</v>
      </c>
      <c r="AH33" s="50" t="n">
        <v>0</v>
      </c>
      <c r="AI33" s="50" t="n">
        <v>0</v>
      </c>
    </row>
    <row r="34" ht="14.25" customHeight="1" s="74">
      <c r="A34" s="2" t="n"/>
      <c r="B34" s="2" t="n"/>
      <c r="C34" s="7" t="inlineStr">
        <is>
          <t>natural gas peaker</t>
        </is>
      </c>
      <c r="D34" s="50" t="n">
        <v>0</v>
      </c>
      <c r="E34" s="50" t="n">
        <v>0</v>
      </c>
      <c r="F34" s="50" t="n">
        <v>0</v>
      </c>
      <c r="G34" s="50" t="n">
        <v>0</v>
      </c>
      <c r="H34" s="50" t="n">
        <v>0</v>
      </c>
      <c r="I34" s="50" t="n">
        <v>0</v>
      </c>
      <c r="J34" s="50" t="n">
        <v>0</v>
      </c>
      <c r="K34" s="50" t="n">
        <v>0</v>
      </c>
      <c r="L34" s="50" t="n">
        <v>0</v>
      </c>
      <c r="M34" s="50" t="n">
        <v>0</v>
      </c>
      <c r="N34" s="50" t="n">
        <v>0</v>
      </c>
      <c r="O34" s="50" t="n">
        <v>0</v>
      </c>
      <c r="P34" s="50" t="n">
        <v>0</v>
      </c>
      <c r="Q34" s="50" t="n">
        <v>0</v>
      </c>
      <c r="R34" s="50" t="n">
        <v>0</v>
      </c>
      <c r="S34" s="50" t="n">
        <v>0</v>
      </c>
      <c r="T34" s="50" t="n">
        <v>0</v>
      </c>
      <c r="U34" s="50" t="n">
        <v>0</v>
      </c>
      <c r="V34" s="50" t="n">
        <v>0</v>
      </c>
      <c r="W34" s="50" t="n">
        <v>0</v>
      </c>
      <c r="X34" s="50" t="n">
        <v>0</v>
      </c>
      <c r="Y34" s="50" t="n">
        <v>0</v>
      </c>
      <c r="Z34" s="50" t="n">
        <v>0</v>
      </c>
      <c r="AA34" s="50" t="n">
        <v>0</v>
      </c>
      <c r="AB34" s="50" t="n">
        <v>0</v>
      </c>
      <c r="AC34" s="50" t="n">
        <v>0</v>
      </c>
      <c r="AD34" s="50" t="n">
        <v>0</v>
      </c>
      <c r="AE34" s="50" t="n">
        <v>0</v>
      </c>
      <c r="AF34" s="50" t="n">
        <v>0</v>
      </c>
      <c r="AG34" s="50" t="n">
        <v>0</v>
      </c>
      <c r="AH34" s="50" t="n">
        <v>0</v>
      </c>
      <c r="AI34" s="50" t="n">
        <v>0</v>
      </c>
    </row>
    <row r="35" ht="14.25" customHeight="1" s="74">
      <c r="A35" s="2" t="n"/>
      <c r="B35" s="2" t="n"/>
      <c r="C35" s="7" t="inlineStr">
        <is>
          <t>lignite</t>
        </is>
      </c>
      <c r="D35" s="50" t="n">
        <v>0</v>
      </c>
      <c r="E35" s="50" t="n">
        <v>0</v>
      </c>
      <c r="F35" s="50" t="n">
        <v>0</v>
      </c>
      <c r="G35" s="50" t="n">
        <v>0</v>
      </c>
      <c r="H35" s="50" t="n">
        <v>0</v>
      </c>
      <c r="I35" s="50" t="n">
        <v>0</v>
      </c>
      <c r="J35" s="50" t="n">
        <v>0</v>
      </c>
      <c r="K35" s="50" t="n">
        <v>0</v>
      </c>
      <c r="L35" s="50" t="n">
        <v>0</v>
      </c>
      <c r="M35" s="50" t="n">
        <v>0</v>
      </c>
      <c r="N35" s="50" t="n">
        <v>0</v>
      </c>
      <c r="O35" s="50" t="n">
        <v>0</v>
      </c>
      <c r="P35" s="50" t="n">
        <v>0</v>
      </c>
      <c r="Q35" s="50" t="n">
        <v>0</v>
      </c>
      <c r="R35" s="50" t="n">
        <v>0</v>
      </c>
      <c r="S35" s="50" t="n">
        <v>0</v>
      </c>
      <c r="T35" s="50" t="n">
        <v>0</v>
      </c>
      <c r="U35" s="50" t="n">
        <v>0</v>
      </c>
      <c r="V35" s="50" t="n">
        <v>0</v>
      </c>
      <c r="W35" s="50" t="n">
        <v>0</v>
      </c>
      <c r="X35" s="50" t="n">
        <v>0</v>
      </c>
      <c r="Y35" s="50" t="n">
        <v>0</v>
      </c>
      <c r="Z35" s="50" t="n">
        <v>0</v>
      </c>
      <c r="AA35" s="50" t="n">
        <v>0</v>
      </c>
      <c r="AB35" s="50" t="n">
        <v>0</v>
      </c>
      <c r="AC35" s="50" t="n">
        <v>0</v>
      </c>
      <c r="AD35" s="50" t="n">
        <v>0</v>
      </c>
      <c r="AE35" s="50" t="n">
        <v>0</v>
      </c>
      <c r="AF35" s="50" t="n">
        <v>0</v>
      </c>
      <c r="AG35" s="50" t="n">
        <v>0</v>
      </c>
      <c r="AH35" s="50" t="n">
        <v>0</v>
      </c>
      <c r="AI35" s="50" t="n">
        <v>0</v>
      </c>
    </row>
    <row r="36" ht="14.25" customHeight="1" s="74">
      <c r="A36" s="2" t="n"/>
      <c r="B36" s="2" t="n"/>
      <c r="C36" s="7" t="inlineStr">
        <is>
          <t>offshore wind</t>
        </is>
      </c>
      <c r="D36" s="50" t="n">
        <v>0</v>
      </c>
      <c r="E36" s="50" t="n">
        <v>0</v>
      </c>
      <c r="F36" s="50" t="n">
        <v>0</v>
      </c>
      <c r="G36" s="50" t="n">
        <v>0</v>
      </c>
      <c r="H36" s="50" t="n">
        <v>0</v>
      </c>
      <c r="I36" s="50" t="n">
        <v>0</v>
      </c>
      <c r="J36" s="50" t="n">
        <v>0</v>
      </c>
      <c r="K36" s="50" t="n">
        <v>0</v>
      </c>
      <c r="L36" s="50" t="n">
        <v>0</v>
      </c>
      <c r="M36" s="50" t="n">
        <v>0</v>
      </c>
      <c r="N36" s="50" t="n">
        <v>0</v>
      </c>
      <c r="O36" s="50" t="n">
        <v>0</v>
      </c>
      <c r="P36" s="50" t="n">
        <v>0</v>
      </c>
      <c r="Q36" s="50" t="n">
        <v>0</v>
      </c>
      <c r="R36" s="50" t="n">
        <v>0</v>
      </c>
      <c r="S36" s="50" t="n">
        <v>0</v>
      </c>
      <c r="T36" s="50" t="n">
        <v>0</v>
      </c>
      <c r="U36" s="50" t="n">
        <v>0</v>
      </c>
      <c r="V36" s="50" t="n">
        <v>0</v>
      </c>
      <c r="W36" s="50" t="n">
        <v>0</v>
      </c>
      <c r="X36" s="50" t="n">
        <v>0</v>
      </c>
      <c r="Y36" s="50" t="n">
        <v>0</v>
      </c>
      <c r="Z36" s="50" t="n">
        <v>0</v>
      </c>
      <c r="AA36" s="50" t="n">
        <v>0</v>
      </c>
      <c r="AB36" s="50" t="n">
        <v>0</v>
      </c>
      <c r="AC36" s="50" t="n">
        <v>0</v>
      </c>
      <c r="AD36" s="50" t="n">
        <v>0</v>
      </c>
      <c r="AE36" s="50" t="n">
        <v>0</v>
      </c>
      <c r="AF36" s="50" t="n">
        <v>0</v>
      </c>
      <c r="AG36" s="50" t="n">
        <v>0</v>
      </c>
      <c r="AH36" s="50" t="n">
        <v>0</v>
      </c>
      <c r="AI36" s="50" t="n">
        <v>0</v>
      </c>
    </row>
    <row r="37" ht="14.25" customHeight="1" s="74">
      <c r="A37" s="2" t="n"/>
      <c r="B37" s="2" t="n"/>
      <c r="C37" s="7" t="inlineStr">
        <is>
          <t>crude oil</t>
        </is>
      </c>
      <c r="D37" s="50" t="n">
        <v>0</v>
      </c>
      <c r="E37" s="50" t="n">
        <v>0</v>
      </c>
      <c r="F37" s="50" t="n">
        <v>0</v>
      </c>
      <c r="G37" s="50" t="n">
        <v>0</v>
      </c>
      <c r="H37" s="50" t="n">
        <v>0</v>
      </c>
      <c r="I37" s="50" t="n">
        <v>0</v>
      </c>
      <c r="J37" s="50" t="n">
        <v>0</v>
      </c>
      <c r="K37" s="50" t="n">
        <v>0</v>
      </c>
      <c r="L37" s="50" t="n">
        <v>0</v>
      </c>
      <c r="M37" s="50" t="n">
        <v>0</v>
      </c>
      <c r="N37" s="50" t="n">
        <v>0</v>
      </c>
      <c r="O37" s="50" t="n">
        <v>0</v>
      </c>
      <c r="P37" s="50" t="n">
        <v>0</v>
      </c>
      <c r="Q37" s="50" t="n">
        <v>0</v>
      </c>
      <c r="R37" s="50" t="n">
        <v>0</v>
      </c>
      <c r="S37" s="50" t="n">
        <v>0</v>
      </c>
      <c r="T37" s="50" t="n">
        <v>0</v>
      </c>
      <c r="U37" s="50" t="n">
        <v>0</v>
      </c>
      <c r="V37" s="50" t="n">
        <v>0</v>
      </c>
      <c r="W37" s="50" t="n">
        <v>0</v>
      </c>
      <c r="X37" s="50" t="n">
        <v>0</v>
      </c>
      <c r="Y37" s="50" t="n">
        <v>0</v>
      </c>
      <c r="Z37" s="50" t="n">
        <v>0</v>
      </c>
      <c r="AA37" s="50" t="n">
        <v>0</v>
      </c>
      <c r="AB37" s="50" t="n">
        <v>0</v>
      </c>
      <c r="AC37" s="50" t="n">
        <v>0</v>
      </c>
      <c r="AD37" s="50" t="n">
        <v>0</v>
      </c>
      <c r="AE37" s="50" t="n">
        <v>0</v>
      </c>
      <c r="AF37" s="50" t="n">
        <v>0</v>
      </c>
      <c r="AG37" s="50" t="n">
        <v>0</v>
      </c>
      <c r="AH37" s="50" t="n">
        <v>0</v>
      </c>
      <c r="AI37" s="50" t="n">
        <v>0</v>
      </c>
    </row>
    <row r="38" ht="14.25" customHeight="1" s="74">
      <c r="A38" s="2" t="n"/>
      <c r="B38" s="2" t="n"/>
      <c r="C38" s="7" t="inlineStr">
        <is>
          <t>heavy or residual fuel oil</t>
        </is>
      </c>
      <c r="D38" s="50" t="n">
        <v>0</v>
      </c>
      <c r="E38" s="50" t="n">
        <v>0</v>
      </c>
      <c r="F38" s="50" t="n">
        <v>0</v>
      </c>
      <c r="G38" s="50" t="n">
        <v>0</v>
      </c>
      <c r="H38" s="50" t="n">
        <v>0</v>
      </c>
      <c r="I38" s="50" t="n">
        <v>0</v>
      </c>
      <c r="J38" s="50" t="n">
        <v>0</v>
      </c>
      <c r="K38" s="50" t="n">
        <v>0</v>
      </c>
      <c r="L38" s="50" t="n">
        <v>0</v>
      </c>
      <c r="M38" s="50" t="n">
        <v>0</v>
      </c>
      <c r="N38" s="50" t="n">
        <v>0</v>
      </c>
      <c r="O38" s="50" t="n">
        <v>0</v>
      </c>
      <c r="P38" s="50" t="n">
        <v>0</v>
      </c>
      <c r="Q38" s="50" t="n">
        <v>0</v>
      </c>
      <c r="R38" s="50" t="n">
        <v>0</v>
      </c>
      <c r="S38" s="50" t="n">
        <v>0</v>
      </c>
      <c r="T38" s="50" t="n">
        <v>0</v>
      </c>
      <c r="U38" s="50" t="n">
        <v>0</v>
      </c>
      <c r="V38" s="50" t="n">
        <v>0</v>
      </c>
      <c r="W38" s="50" t="n">
        <v>0</v>
      </c>
      <c r="X38" s="50" t="n">
        <v>0</v>
      </c>
      <c r="Y38" s="50" t="n">
        <v>0</v>
      </c>
      <c r="Z38" s="50" t="n">
        <v>0</v>
      </c>
      <c r="AA38" s="50" t="n">
        <v>0</v>
      </c>
      <c r="AB38" s="50" t="n">
        <v>0</v>
      </c>
      <c r="AC38" s="50" t="n">
        <v>0</v>
      </c>
      <c r="AD38" s="50" t="n">
        <v>0</v>
      </c>
      <c r="AE38" s="50" t="n">
        <v>0</v>
      </c>
      <c r="AF38" s="50" t="n">
        <v>0</v>
      </c>
      <c r="AG38" s="50" t="n">
        <v>0</v>
      </c>
      <c r="AH38" s="50" t="n">
        <v>0</v>
      </c>
      <c r="AI38" s="50" t="n">
        <v>0</v>
      </c>
    </row>
    <row r="39" ht="14.25" customHeight="1" s="74">
      <c r="A39" s="2" t="n"/>
      <c r="B39" s="2" t="n"/>
      <c r="C39" s="7" t="inlineStr">
        <is>
          <t>municipal solid waste</t>
        </is>
      </c>
      <c r="D39" s="50" t="n">
        <v>0</v>
      </c>
      <c r="E39" s="50" t="n">
        <v>0</v>
      </c>
      <c r="F39" s="50" t="n">
        <v>0</v>
      </c>
      <c r="G39" s="50" t="n">
        <v>0</v>
      </c>
      <c r="H39" s="50" t="n">
        <v>0</v>
      </c>
      <c r="I39" s="50" t="n">
        <v>0</v>
      </c>
      <c r="J39" s="50" t="n">
        <v>0</v>
      </c>
      <c r="K39" s="50" t="n">
        <v>0</v>
      </c>
      <c r="L39" s="50" t="n">
        <v>0</v>
      </c>
      <c r="M39" s="50" t="n">
        <v>0</v>
      </c>
      <c r="N39" s="50" t="n">
        <v>0</v>
      </c>
      <c r="O39" s="50" t="n">
        <v>0</v>
      </c>
      <c r="P39" s="50" t="n">
        <v>0</v>
      </c>
      <c r="Q39" s="50" t="n">
        <v>0</v>
      </c>
      <c r="R39" s="50" t="n">
        <v>0</v>
      </c>
      <c r="S39" s="50" t="n">
        <v>0</v>
      </c>
      <c r="T39" s="50" t="n">
        <v>0</v>
      </c>
      <c r="U39" s="50" t="n">
        <v>0</v>
      </c>
      <c r="V39" s="50" t="n">
        <v>0</v>
      </c>
      <c r="W39" s="50" t="n">
        <v>0</v>
      </c>
      <c r="X39" s="50" t="n">
        <v>0</v>
      </c>
      <c r="Y39" s="50" t="n">
        <v>0</v>
      </c>
      <c r="Z39" s="50" t="n">
        <v>0</v>
      </c>
      <c r="AA39" s="50" t="n">
        <v>0</v>
      </c>
      <c r="AB39" s="50" t="n">
        <v>0</v>
      </c>
      <c r="AC39" s="50" t="n">
        <v>0</v>
      </c>
      <c r="AD39" s="50" t="n">
        <v>0</v>
      </c>
      <c r="AE39" s="50" t="n">
        <v>0</v>
      </c>
      <c r="AF39" s="50" t="n">
        <v>0</v>
      </c>
      <c r="AG39" s="50" t="n">
        <v>0</v>
      </c>
      <c r="AH39" s="50" t="n">
        <v>0</v>
      </c>
      <c r="AI39" s="50" t="n">
        <v>0</v>
      </c>
    </row>
    <row r="40" ht="14.25" customHeight="1" s="74">
      <c r="A40" s="2" t="n"/>
      <c r="B40" s="48" t="inlineStr">
        <is>
          <t>Generating Capacity (gigawatts)</t>
        </is>
      </c>
      <c r="C40" s="2" t="n"/>
      <c r="D40" s="2" t="n"/>
    </row>
    <row r="41" ht="14.25" customHeight="1" s="74">
      <c r="A41" s="2" t="n"/>
      <c r="B41" s="1" t="inlineStr">
        <is>
          <t>BDEQ-BDESC-urban-residential</t>
        </is>
      </c>
      <c r="C41" s="2" t="n"/>
      <c r="D41" s="2" t="n"/>
    </row>
    <row r="42" ht="14.25" customHeight="1" s="74">
      <c r="A42" s="2" t="n"/>
      <c r="B42" s="2" t="n"/>
      <c r="C42" s="1" t="inlineStr">
        <is>
          <t>MW</t>
        </is>
      </c>
      <c r="D42" s="7" t="n">
        <v>2019</v>
      </c>
      <c r="E42" s="7" t="n">
        <v>2020</v>
      </c>
      <c r="F42" s="7" t="n">
        <v>2021</v>
      </c>
      <c r="G42" s="7" t="n">
        <v>2022</v>
      </c>
      <c r="H42" s="7" t="n">
        <v>2023</v>
      </c>
      <c r="I42" s="7" t="n">
        <v>2024</v>
      </c>
      <c r="J42" s="7" t="n">
        <v>2025</v>
      </c>
      <c r="K42" s="7" t="n">
        <v>2026</v>
      </c>
      <c r="L42" s="7" t="n">
        <v>2027</v>
      </c>
      <c r="M42" s="7" t="n">
        <v>2028</v>
      </c>
      <c r="N42" s="7" t="n">
        <v>2029</v>
      </c>
      <c r="O42" s="7" t="n">
        <v>2030</v>
      </c>
      <c r="P42" s="7" t="n">
        <v>2031</v>
      </c>
      <c r="Q42" s="7" t="n">
        <v>2032</v>
      </c>
      <c r="R42" s="7" t="n">
        <v>2033</v>
      </c>
      <c r="S42" s="7" t="n">
        <v>2034</v>
      </c>
      <c r="T42" s="7" t="n">
        <v>2035</v>
      </c>
      <c r="U42" s="7" t="n">
        <v>2036</v>
      </c>
      <c r="V42" s="7" t="n">
        <v>2037</v>
      </c>
      <c r="W42" s="7" t="n">
        <v>2038</v>
      </c>
      <c r="X42" s="7" t="n">
        <v>2039</v>
      </c>
      <c r="Y42" s="7" t="n">
        <v>2040</v>
      </c>
      <c r="Z42" s="7" t="n">
        <v>2041</v>
      </c>
      <c r="AA42" s="7" t="n">
        <v>2042</v>
      </c>
      <c r="AB42" s="7" t="n">
        <v>2043</v>
      </c>
      <c r="AC42" s="7" t="n">
        <v>2044</v>
      </c>
      <c r="AD42" s="7" t="n">
        <v>2045</v>
      </c>
      <c r="AE42" s="7" t="n">
        <v>2046</v>
      </c>
      <c r="AF42" s="7" t="n">
        <v>2047</v>
      </c>
      <c r="AG42" s="7" t="n">
        <v>2048</v>
      </c>
      <c r="AH42" s="7" t="n">
        <v>2049</v>
      </c>
      <c r="AI42" s="7" t="n">
        <v>2050</v>
      </c>
    </row>
    <row r="43" ht="14.25" customHeight="1" s="74">
      <c r="A43" s="2" t="n"/>
      <c r="B43" s="2" t="n"/>
      <c r="C43" s="7" t="inlineStr">
        <is>
          <t>hard coal</t>
        </is>
      </c>
      <c r="D43" s="50" t="n">
        <v>0</v>
      </c>
      <c r="E43" s="50" t="n">
        <v>0</v>
      </c>
      <c r="F43" s="50" t="n">
        <v>0</v>
      </c>
      <c r="G43" s="50" t="n">
        <v>0</v>
      </c>
      <c r="H43" s="50" t="n">
        <v>0</v>
      </c>
      <c r="I43" s="50" t="n">
        <v>0</v>
      </c>
      <c r="J43" s="50" t="n">
        <v>0</v>
      </c>
      <c r="K43" s="50" t="n">
        <v>0</v>
      </c>
      <c r="L43" s="50" t="n">
        <v>0</v>
      </c>
      <c r="M43" s="50" t="n">
        <v>0</v>
      </c>
      <c r="N43" s="50" t="n">
        <v>0</v>
      </c>
      <c r="O43" s="50" t="n">
        <v>0</v>
      </c>
      <c r="P43" s="50" t="n">
        <v>0</v>
      </c>
      <c r="Q43" s="50" t="n">
        <v>0</v>
      </c>
      <c r="R43" s="50" t="n">
        <v>0</v>
      </c>
      <c r="S43" s="50" t="n">
        <v>0</v>
      </c>
      <c r="T43" s="50" t="n">
        <v>0</v>
      </c>
      <c r="U43" s="50" t="n">
        <v>0</v>
      </c>
      <c r="V43" s="50" t="n">
        <v>0</v>
      </c>
      <c r="W43" s="50" t="n">
        <v>0</v>
      </c>
      <c r="X43" s="50" t="n">
        <v>0</v>
      </c>
      <c r="Y43" s="50" t="n">
        <v>0</v>
      </c>
      <c r="Z43" s="50" t="n">
        <v>0</v>
      </c>
      <c r="AA43" s="50" t="n">
        <v>0</v>
      </c>
      <c r="AB43" s="50" t="n">
        <v>0</v>
      </c>
      <c r="AC43" s="50" t="n">
        <v>0</v>
      </c>
      <c r="AD43" s="50" t="n">
        <v>0</v>
      </c>
      <c r="AE43" s="50" t="n">
        <v>0</v>
      </c>
      <c r="AF43" s="50" t="n">
        <v>0</v>
      </c>
      <c r="AG43" s="50" t="n">
        <v>0</v>
      </c>
      <c r="AH43" s="50" t="n">
        <v>0</v>
      </c>
      <c r="AI43" s="50" t="n">
        <v>0</v>
      </c>
    </row>
    <row r="44" ht="14.25" customHeight="1" s="74">
      <c r="A44" s="2" t="n"/>
      <c r="B44" s="20" t="inlineStr">
        <is>
          <t>RST000:dgc_FuelsCells</t>
        </is>
      </c>
      <c r="C44" s="7" t="inlineStr">
        <is>
          <t>natural gas nonpeaker</t>
        </is>
      </c>
      <c r="D44" s="51" t="n">
        <v>0</v>
      </c>
      <c r="E44" s="51" t="n">
        <v>0</v>
      </c>
      <c r="F44" s="51" t="n">
        <v>0</v>
      </c>
      <c r="G44" s="51" t="n">
        <v>0</v>
      </c>
      <c r="H44" s="51" t="n">
        <v>0</v>
      </c>
      <c r="I44" s="51" t="n">
        <v>0</v>
      </c>
      <c r="J44" s="51" t="n">
        <v>0</v>
      </c>
      <c r="K44" s="51" t="n">
        <v>0</v>
      </c>
      <c r="L44" s="51" t="n">
        <v>0</v>
      </c>
      <c r="M44" s="51" t="n">
        <v>0</v>
      </c>
      <c r="N44" s="51" t="n">
        <v>0</v>
      </c>
      <c r="O44" s="51" t="n">
        <v>0</v>
      </c>
      <c r="P44" s="51" t="n">
        <v>0</v>
      </c>
      <c r="Q44" s="51" t="n">
        <v>0</v>
      </c>
      <c r="R44" s="51" t="n">
        <v>0</v>
      </c>
      <c r="S44" s="51" t="n">
        <v>0.001602368866328257</v>
      </c>
      <c r="T44" s="51" t="n">
        <v>0.004005922165820643</v>
      </c>
      <c r="U44" s="51" t="n">
        <v>0.008813028764805414</v>
      </c>
      <c r="V44" s="51" t="n">
        <v>0.01762605752961083</v>
      </c>
      <c r="W44" s="51" t="n">
        <v>0.03445093062605753</v>
      </c>
      <c r="X44" s="51" t="n">
        <v>0.06489593908629442</v>
      </c>
      <c r="Y44" s="51" t="n">
        <v>0.1209788494077834</v>
      </c>
      <c r="Z44" s="51" t="n">
        <v>0.2235304568527919</v>
      </c>
      <c r="AA44" s="51" t="n">
        <v>0.3260820642978003</v>
      </c>
      <c r="AB44" s="51" t="n">
        <v>0.4294348561759729</v>
      </c>
      <c r="AC44" s="51" t="n">
        <v>0.5335888324873097</v>
      </c>
      <c r="AD44" s="51" t="n">
        <v>0.6385439932318104</v>
      </c>
      <c r="AE44" s="51" t="n">
        <v>0.7451015228426396</v>
      </c>
      <c r="AF44" s="51" t="n">
        <v>0.8524602368866329</v>
      </c>
      <c r="AG44" s="51" t="n">
        <v>0.9590177664974617</v>
      </c>
      <c r="AH44" s="51" t="n">
        <v>1.066376480541455</v>
      </c>
      <c r="AI44" s="51" t="n">
        <v>1.174536379018613</v>
      </c>
    </row>
    <row r="45" ht="14.25" customHeight="1" s="74">
      <c r="A45" s="2" t="n"/>
      <c r="B45" s="2" t="n"/>
      <c r="C45" s="7" t="inlineStr">
        <is>
          <t>nuclear</t>
        </is>
      </c>
      <c r="D45" s="50" t="n">
        <v>0</v>
      </c>
      <c r="E45" s="50" t="n">
        <v>0</v>
      </c>
      <c r="F45" s="50" t="n">
        <v>0</v>
      </c>
      <c r="G45" s="50" t="n">
        <v>0</v>
      </c>
      <c r="H45" s="50" t="n">
        <v>0</v>
      </c>
      <c r="I45" s="50" t="n">
        <v>0</v>
      </c>
      <c r="J45" s="50" t="n">
        <v>0</v>
      </c>
      <c r="K45" s="50" t="n">
        <v>0</v>
      </c>
      <c r="L45" s="50" t="n">
        <v>0</v>
      </c>
      <c r="M45" s="50" t="n">
        <v>0</v>
      </c>
      <c r="N45" s="50" t="n">
        <v>0</v>
      </c>
      <c r="O45" s="50" t="n">
        <v>0</v>
      </c>
      <c r="P45" s="50" t="n">
        <v>0</v>
      </c>
      <c r="Q45" s="50" t="n">
        <v>0</v>
      </c>
      <c r="R45" s="50" t="n">
        <v>0</v>
      </c>
      <c r="S45" s="50" t="n">
        <v>0</v>
      </c>
      <c r="T45" s="50" t="n">
        <v>0</v>
      </c>
      <c r="U45" s="50" t="n">
        <v>0</v>
      </c>
      <c r="V45" s="50" t="n">
        <v>0</v>
      </c>
      <c r="W45" s="50" t="n">
        <v>0</v>
      </c>
      <c r="X45" s="50" t="n">
        <v>0</v>
      </c>
      <c r="Y45" s="50" t="n">
        <v>0</v>
      </c>
      <c r="Z45" s="50" t="n">
        <v>0</v>
      </c>
      <c r="AA45" s="50" t="n">
        <v>0</v>
      </c>
      <c r="AB45" s="50" t="n">
        <v>0</v>
      </c>
      <c r="AC45" s="50" t="n">
        <v>0</v>
      </c>
      <c r="AD45" s="50" t="n">
        <v>0</v>
      </c>
      <c r="AE45" s="50" t="n">
        <v>0</v>
      </c>
      <c r="AF45" s="50" t="n">
        <v>0</v>
      </c>
      <c r="AG45" s="50" t="n">
        <v>0</v>
      </c>
      <c r="AH45" s="50" t="n">
        <v>0</v>
      </c>
      <c r="AI45" s="50" t="n">
        <v>0</v>
      </c>
    </row>
    <row r="46" ht="14.25" customHeight="1" s="74">
      <c r="A46" s="2" t="n"/>
      <c r="B46" s="2" t="n"/>
      <c r="C46" s="7" t="inlineStr">
        <is>
          <t>hydro</t>
        </is>
      </c>
      <c r="D46" s="50" t="n">
        <v>0</v>
      </c>
      <c r="E46" s="50" t="n">
        <v>0</v>
      </c>
      <c r="F46" s="50" t="n">
        <v>0</v>
      </c>
      <c r="G46" s="50" t="n">
        <v>0</v>
      </c>
      <c r="H46" s="50" t="n">
        <v>0</v>
      </c>
      <c r="I46" s="50" t="n">
        <v>0</v>
      </c>
      <c r="J46" s="50" t="n">
        <v>0</v>
      </c>
      <c r="K46" s="50" t="n">
        <v>0</v>
      </c>
      <c r="L46" s="50" t="n">
        <v>0</v>
      </c>
      <c r="M46" s="50" t="n">
        <v>0</v>
      </c>
      <c r="N46" s="50" t="n">
        <v>0</v>
      </c>
      <c r="O46" s="50" t="n">
        <v>0</v>
      </c>
      <c r="P46" s="50" t="n">
        <v>0</v>
      </c>
      <c r="Q46" s="50" t="n">
        <v>0</v>
      </c>
      <c r="R46" s="50" t="n">
        <v>0</v>
      </c>
      <c r="S46" s="50" t="n">
        <v>0</v>
      </c>
      <c r="T46" s="50" t="n">
        <v>0</v>
      </c>
      <c r="U46" s="50" t="n">
        <v>0</v>
      </c>
      <c r="V46" s="50" t="n">
        <v>0</v>
      </c>
      <c r="W46" s="50" t="n">
        <v>0</v>
      </c>
      <c r="X46" s="50" t="n">
        <v>0</v>
      </c>
      <c r="Y46" s="50" t="n">
        <v>0</v>
      </c>
      <c r="Z46" s="50" t="n">
        <v>0</v>
      </c>
      <c r="AA46" s="50" t="n">
        <v>0</v>
      </c>
      <c r="AB46" s="50" t="n">
        <v>0</v>
      </c>
      <c r="AC46" s="50" t="n">
        <v>0</v>
      </c>
      <c r="AD46" s="50" t="n">
        <v>0</v>
      </c>
      <c r="AE46" s="50" t="n">
        <v>0</v>
      </c>
      <c r="AF46" s="50" t="n">
        <v>0</v>
      </c>
      <c r="AG46" s="50" t="n">
        <v>0</v>
      </c>
      <c r="AH46" s="50" t="n">
        <v>0</v>
      </c>
      <c r="AI46" s="50" t="n">
        <v>0</v>
      </c>
    </row>
    <row r="47" ht="14.25" customHeight="1" s="74">
      <c r="A47" s="2" t="n"/>
      <c r="B47" s="20" t="inlineStr">
        <is>
          <t>RST000:dgc_WindHuffHuff</t>
        </is>
      </c>
      <c r="C47" s="7" t="inlineStr">
        <is>
          <t>onshore wind</t>
        </is>
      </c>
      <c r="D47" s="51" t="n">
        <v>11.28067681895093</v>
      </c>
      <c r="E47" s="51" t="n">
        <v>11.28067681895093</v>
      </c>
      <c r="F47" s="51" t="n">
        <v>11.28067681895093</v>
      </c>
      <c r="G47" s="51" t="n">
        <v>11.28067681895093</v>
      </c>
      <c r="H47" s="51" t="n">
        <v>11.28067681895093</v>
      </c>
      <c r="I47" s="51" t="n">
        <v>11.28067681895093</v>
      </c>
      <c r="J47" s="51" t="n">
        <v>11.28067681895093</v>
      </c>
      <c r="K47" s="51" t="n">
        <v>11.28067681895093</v>
      </c>
      <c r="L47" s="51" t="n">
        <v>11.28067681895093</v>
      </c>
      <c r="M47" s="51" t="n">
        <v>11.28067681895093</v>
      </c>
      <c r="N47" s="51" t="n">
        <v>11.28067681895093</v>
      </c>
      <c r="O47" s="51" t="n">
        <v>11.28067681895093</v>
      </c>
      <c r="P47" s="51" t="n">
        <v>11.28067681895093</v>
      </c>
      <c r="Q47" s="51" t="n">
        <v>11.28067681895093</v>
      </c>
      <c r="R47" s="51" t="n">
        <v>11.28147800338409</v>
      </c>
      <c r="S47" s="51" t="n">
        <v>11.28388155668359</v>
      </c>
      <c r="T47" s="51" t="n">
        <v>11.28868866328257</v>
      </c>
      <c r="U47" s="51" t="n">
        <v>11.29830287648054</v>
      </c>
      <c r="V47" s="51" t="n">
        <v>11.31592893401015</v>
      </c>
      <c r="W47" s="51" t="n">
        <v>11.34957868020305</v>
      </c>
      <c r="X47" s="51" t="n">
        <v>11.41046869712352</v>
      </c>
      <c r="Y47" s="51" t="n">
        <v>11.5226345177665</v>
      </c>
      <c r="Z47" s="51" t="n">
        <v>11.72693654822335</v>
      </c>
      <c r="AA47" s="51" t="n">
        <v>11.93203976311337</v>
      </c>
      <c r="AB47" s="51" t="n">
        <v>12.13874534686971</v>
      </c>
      <c r="AC47" s="51" t="n">
        <v>12.34785448392555</v>
      </c>
      <c r="AD47" s="51" t="n">
        <v>12.55856598984772</v>
      </c>
      <c r="AE47" s="51" t="n">
        <v>12.77087986463621</v>
      </c>
      <c r="AF47" s="51" t="n">
        <v>12.98479610829103</v>
      </c>
      <c r="AG47" s="51" t="n">
        <v>13.19951353637902</v>
      </c>
      <c r="AH47" s="51" t="n">
        <v>13.41423096446701</v>
      </c>
      <c r="AI47" s="51" t="n">
        <v>13.62974957698816</v>
      </c>
    </row>
    <row r="48" ht="14.25" customHeight="1" s="74">
      <c r="A48" s="2" t="n"/>
      <c r="B48" s="20" t="inlineStr">
        <is>
          <t>RST000:dgc_SolarPhoto</t>
        </is>
      </c>
      <c r="C48" s="7" t="inlineStr">
        <is>
          <t>solar PV</t>
        </is>
      </c>
      <c r="D48" s="51" t="n">
        <v>12315.14612944162</v>
      </c>
      <c r="E48" s="51" t="n">
        <v>14252.65124534687</v>
      </c>
      <c r="F48" s="51" t="n">
        <v>16163.32068866329</v>
      </c>
      <c r="G48" s="51" t="n">
        <v>18022.25044247039</v>
      </c>
      <c r="H48" s="51" t="n">
        <v>19883.63262182741</v>
      </c>
      <c r="I48" s="51" t="n">
        <v>21750.64552538071</v>
      </c>
      <c r="J48" s="51" t="n">
        <v>23628.40952284264</v>
      </c>
      <c r="K48" s="51" t="n">
        <v>25523.39818443316</v>
      </c>
      <c r="L48" s="51" t="n">
        <v>27434.29195939086</v>
      </c>
      <c r="M48" s="51" t="n">
        <v>29363.27006937394</v>
      </c>
      <c r="N48" s="51" t="n">
        <v>31313.62618358714</v>
      </c>
      <c r="O48" s="51" t="n">
        <v>33293.85205583756</v>
      </c>
      <c r="P48" s="51" t="n">
        <v>35297.29304822335</v>
      </c>
      <c r="Q48" s="51" t="n">
        <v>37316.28422927242</v>
      </c>
      <c r="R48" s="51" t="n">
        <v>39353.34131810491</v>
      </c>
      <c r="S48" s="51" t="n">
        <v>41411.0369179357</v>
      </c>
      <c r="T48" s="51" t="n">
        <v>43484.36602961083</v>
      </c>
      <c r="U48" s="51" t="n">
        <v>45569.80023688663</v>
      </c>
      <c r="V48" s="51" t="n">
        <v>47675.58693231811</v>
      </c>
      <c r="W48" s="51" t="n">
        <v>49801.84709475465</v>
      </c>
      <c r="X48" s="51" t="n">
        <v>51945.28064551608</v>
      </c>
      <c r="Y48" s="51" t="n">
        <v>54112.97566328258</v>
      </c>
      <c r="Z48" s="51" t="n">
        <v>56294.90612605752</v>
      </c>
      <c r="AA48" s="51" t="n">
        <v>58495.93842808798</v>
      </c>
      <c r="AB48" s="51" t="n">
        <v>60714.91085194586</v>
      </c>
      <c r="AC48" s="51" t="n">
        <v>62951.75048984772</v>
      </c>
      <c r="AD48" s="51" t="n">
        <v>65214.13429103214</v>
      </c>
      <c r="AE48" s="51" t="n">
        <v>67503.21756345178</v>
      </c>
      <c r="AF48" s="51" t="n">
        <v>69820.19246954314</v>
      </c>
      <c r="AG48" s="51" t="n">
        <v>72161.14121742808</v>
      </c>
      <c r="AH48" s="51" t="n">
        <v>74530.48874873096</v>
      </c>
      <c r="AI48" s="51" t="n">
        <v>76924.06650084602</v>
      </c>
    </row>
    <row r="49" ht="14.25" customHeight="1" s="74">
      <c r="A49" s="2" t="n"/>
      <c r="B49" s="2" t="n"/>
      <c r="C49" s="7" t="inlineStr">
        <is>
          <t>solar thermal</t>
        </is>
      </c>
      <c r="D49" s="50" t="n">
        <v>0</v>
      </c>
      <c r="E49" s="50" t="n">
        <v>0</v>
      </c>
      <c r="F49" s="50" t="n">
        <v>0</v>
      </c>
      <c r="G49" s="50" t="n">
        <v>0</v>
      </c>
      <c r="H49" s="50" t="n">
        <v>0</v>
      </c>
      <c r="I49" s="50" t="n">
        <v>0</v>
      </c>
      <c r="J49" s="50" t="n">
        <v>0</v>
      </c>
      <c r="K49" s="50" t="n">
        <v>0</v>
      </c>
      <c r="L49" s="50" t="n">
        <v>0</v>
      </c>
      <c r="M49" s="50" t="n">
        <v>0</v>
      </c>
      <c r="N49" s="50" t="n">
        <v>0</v>
      </c>
      <c r="O49" s="50" t="n">
        <v>0</v>
      </c>
      <c r="P49" s="50" t="n">
        <v>0</v>
      </c>
      <c r="Q49" s="50" t="n">
        <v>0</v>
      </c>
      <c r="R49" s="50" t="n">
        <v>0</v>
      </c>
      <c r="S49" s="50" t="n">
        <v>0</v>
      </c>
      <c r="T49" s="50" t="n">
        <v>0</v>
      </c>
      <c r="U49" s="50" t="n">
        <v>0</v>
      </c>
      <c r="V49" s="50" t="n">
        <v>0</v>
      </c>
      <c r="W49" s="50" t="n">
        <v>0</v>
      </c>
      <c r="X49" s="50" t="n">
        <v>0</v>
      </c>
      <c r="Y49" s="50" t="n">
        <v>0</v>
      </c>
      <c r="Z49" s="50" t="n">
        <v>0</v>
      </c>
      <c r="AA49" s="50" t="n">
        <v>0</v>
      </c>
      <c r="AB49" s="50" t="n">
        <v>0</v>
      </c>
      <c r="AC49" s="50" t="n">
        <v>0</v>
      </c>
      <c r="AD49" s="50" t="n">
        <v>0</v>
      </c>
      <c r="AE49" s="50" t="n">
        <v>0</v>
      </c>
      <c r="AF49" s="50" t="n">
        <v>0</v>
      </c>
      <c r="AG49" s="50" t="n">
        <v>0</v>
      </c>
      <c r="AH49" s="50" t="n">
        <v>0</v>
      </c>
      <c r="AI49" s="50" t="n">
        <v>0</v>
      </c>
    </row>
    <row r="50" ht="14.25" customHeight="1" s="74">
      <c r="A50" s="2" t="n"/>
      <c r="B50" s="2" t="n"/>
      <c r="C50" s="7" t="inlineStr">
        <is>
          <t>biomass</t>
        </is>
      </c>
      <c r="D50" s="50" t="n">
        <v>0</v>
      </c>
      <c r="E50" s="50" t="n">
        <v>0</v>
      </c>
      <c r="F50" s="50" t="n">
        <v>0</v>
      </c>
      <c r="G50" s="50" t="n">
        <v>0</v>
      </c>
      <c r="H50" s="50" t="n">
        <v>0</v>
      </c>
      <c r="I50" s="50" t="n">
        <v>0</v>
      </c>
      <c r="J50" s="50" t="n">
        <v>0</v>
      </c>
      <c r="K50" s="50" t="n">
        <v>0</v>
      </c>
      <c r="L50" s="50" t="n">
        <v>0</v>
      </c>
      <c r="M50" s="50" t="n">
        <v>0</v>
      </c>
      <c r="N50" s="50" t="n">
        <v>0</v>
      </c>
      <c r="O50" s="50" t="n">
        <v>0</v>
      </c>
      <c r="P50" s="50" t="n">
        <v>0</v>
      </c>
      <c r="Q50" s="50" t="n">
        <v>0</v>
      </c>
      <c r="R50" s="50" t="n">
        <v>0</v>
      </c>
      <c r="S50" s="50" t="n">
        <v>0</v>
      </c>
      <c r="T50" s="50" t="n">
        <v>0</v>
      </c>
      <c r="U50" s="50" t="n">
        <v>0</v>
      </c>
      <c r="V50" s="50" t="n">
        <v>0</v>
      </c>
      <c r="W50" s="50" t="n">
        <v>0</v>
      </c>
      <c r="X50" s="50" t="n">
        <v>0</v>
      </c>
      <c r="Y50" s="50" t="n">
        <v>0</v>
      </c>
      <c r="Z50" s="50" t="n">
        <v>0</v>
      </c>
      <c r="AA50" s="50" t="n">
        <v>0</v>
      </c>
      <c r="AB50" s="50" t="n">
        <v>0</v>
      </c>
      <c r="AC50" s="50" t="n">
        <v>0</v>
      </c>
      <c r="AD50" s="50" t="n">
        <v>0</v>
      </c>
      <c r="AE50" s="50" t="n">
        <v>0</v>
      </c>
      <c r="AF50" s="50" t="n">
        <v>0</v>
      </c>
      <c r="AG50" s="50" t="n">
        <v>0</v>
      </c>
      <c r="AH50" s="50" t="n">
        <v>0</v>
      </c>
      <c r="AI50" s="50" t="n">
        <v>0</v>
      </c>
    </row>
    <row r="51" ht="14.25" customHeight="1" s="74">
      <c r="A51" s="2" t="n"/>
      <c r="B51" s="2" t="n"/>
      <c r="C51" s="7" t="inlineStr">
        <is>
          <t>geothermal</t>
        </is>
      </c>
      <c r="D51" s="50" t="n">
        <v>0</v>
      </c>
      <c r="E51" s="50" t="n">
        <v>0</v>
      </c>
      <c r="F51" s="50" t="n">
        <v>0</v>
      </c>
      <c r="G51" s="50" t="n">
        <v>0</v>
      </c>
      <c r="H51" s="50" t="n">
        <v>0</v>
      </c>
      <c r="I51" s="50" t="n">
        <v>0</v>
      </c>
      <c r="J51" s="50" t="n">
        <v>0</v>
      </c>
      <c r="K51" s="50" t="n">
        <v>0</v>
      </c>
      <c r="L51" s="50" t="n">
        <v>0</v>
      </c>
      <c r="M51" s="50" t="n">
        <v>0</v>
      </c>
      <c r="N51" s="50" t="n">
        <v>0</v>
      </c>
      <c r="O51" s="50" t="n">
        <v>0</v>
      </c>
      <c r="P51" s="50" t="n">
        <v>0</v>
      </c>
      <c r="Q51" s="50" t="n">
        <v>0</v>
      </c>
      <c r="R51" s="50" t="n">
        <v>0</v>
      </c>
      <c r="S51" s="50" t="n">
        <v>0</v>
      </c>
      <c r="T51" s="50" t="n">
        <v>0</v>
      </c>
      <c r="U51" s="50" t="n">
        <v>0</v>
      </c>
      <c r="V51" s="50" t="n">
        <v>0</v>
      </c>
      <c r="W51" s="50" t="n">
        <v>0</v>
      </c>
      <c r="X51" s="50" t="n">
        <v>0</v>
      </c>
      <c r="Y51" s="50" t="n">
        <v>0</v>
      </c>
      <c r="Z51" s="50" t="n">
        <v>0</v>
      </c>
      <c r="AA51" s="50" t="n">
        <v>0</v>
      </c>
      <c r="AB51" s="50" t="n">
        <v>0</v>
      </c>
      <c r="AC51" s="50" t="n">
        <v>0</v>
      </c>
      <c r="AD51" s="50" t="n">
        <v>0</v>
      </c>
      <c r="AE51" s="50" t="n">
        <v>0</v>
      </c>
      <c r="AF51" s="50" t="n">
        <v>0</v>
      </c>
      <c r="AG51" s="50" t="n">
        <v>0</v>
      </c>
      <c r="AH51" s="50" t="n">
        <v>0</v>
      </c>
      <c r="AI51" s="50" t="n">
        <v>0</v>
      </c>
    </row>
    <row r="52" ht="14.25" customHeight="1" s="74">
      <c r="A52" s="2" t="n"/>
      <c r="B52" s="2" t="n"/>
      <c r="C52" s="7" t="inlineStr">
        <is>
          <t>petroleum</t>
        </is>
      </c>
      <c r="D52" s="50" t="n">
        <v>0</v>
      </c>
      <c r="E52" s="50" t="n">
        <v>0</v>
      </c>
      <c r="F52" s="50" t="n">
        <v>0</v>
      </c>
      <c r="G52" s="50" t="n">
        <v>0</v>
      </c>
      <c r="H52" s="50" t="n">
        <v>0</v>
      </c>
      <c r="I52" s="50" t="n">
        <v>0</v>
      </c>
      <c r="J52" s="50" t="n">
        <v>0</v>
      </c>
      <c r="K52" s="50" t="n">
        <v>0</v>
      </c>
      <c r="L52" s="50" t="n">
        <v>0</v>
      </c>
      <c r="M52" s="50" t="n">
        <v>0</v>
      </c>
      <c r="N52" s="50" t="n">
        <v>0</v>
      </c>
      <c r="O52" s="50" t="n">
        <v>0</v>
      </c>
      <c r="P52" s="50" t="n">
        <v>0</v>
      </c>
      <c r="Q52" s="50" t="n">
        <v>0</v>
      </c>
      <c r="R52" s="50" t="n">
        <v>0</v>
      </c>
      <c r="S52" s="50" t="n">
        <v>0</v>
      </c>
      <c r="T52" s="50" t="n">
        <v>0</v>
      </c>
      <c r="U52" s="50" t="n">
        <v>0</v>
      </c>
      <c r="V52" s="50" t="n">
        <v>0</v>
      </c>
      <c r="W52" s="50" t="n">
        <v>0</v>
      </c>
      <c r="X52" s="50" t="n">
        <v>0</v>
      </c>
      <c r="Y52" s="50" t="n">
        <v>0</v>
      </c>
      <c r="Z52" s="50" t="n">
        <v>0</v>
      </c>
      <c r="AA52" s="50" t="n">
        <v>0</v>
      </c>
      <c r="AB52" s="50" t="n">
        <v>0</v>
      </c>
      <c r="AC52" s="50" t="n">
        <v>0</v>
      </c>
      <c r="AD52" s="50" t="n">
        <v>0</v>
      </c>
      <c r="AE52" s="50" t="n">
        <v>0</v>
      </c>
      <c r="AF52" s="50" t="n">
        <v>0</v>
      </c>
      <c r="AG52" s="50" t="n">
        <v>0</v>
      </c>
      <c r="AH52" s="50" t="n">
        <v>0</v>
      </c>
      <c r="AI52" s="50" t="n">
        <v>0</v>
      </c>
    </row>
    <row r="53" ht="14.25" customHeight="1" s="74">
      <c r="A53" s="2" t="n"/>
      <c r="B53" s="2" t="n"/>
      <c r="C53" s="7" t="inlineStr">
        <is>
          <t>natural gas peaker</t>
        </is>
      </c>
      <c r="D53" s="50" t="n">
        <v>0</v>
      </c>
      <c r="E53" s="50" t="n">
        <v>0</v>
      </c>
      <c r="F53" s="50" t="n">
        <v>0</v>
      </c>
      <c r="G53" s="50" t="n">
        <v>0</v>
      </c>
      <c r="H53" s="50" t="n">
        <v>0</v>
      </c>
      <c r="I53" s="50" t="n">
        <v>0</v>
      </c>
      <c r="J53" s="50" t="n">
        <v>0</v>
      </c>
      <c r="K53" s="50" t="n">
        <v>0</v>
      </c>
      <c r="L53" s="50" t="n">
        <v>0</v>
      </c>
      <c r="M53" s="50" t="n">
        <v>0</v>
      </c>
      <c r="N53" s="50" t="n">
        <v>0</v>
      </c>
      <c r="O53" s="50" t="n">
        <v>0</v>
      </c>
      <c r="P53" s="50" t="n">
        <v>0</v>
      </c>
      <c r="Q53" s="50" t="n">
        <v>0</v>
      </c>
      <c r="R53" s="50" t="n">
        <v>0</v>
      </c>
      <c r="S53" s="50" t="n">
        <v>0</v>
      </c>
      <c r="T53" s="50" t="n">
        <v>0</v>
      </c>
      <c r="U53" s="50" t="n">
        <v>0</v>
      </c>
      <c r="V53" s="50" t="n">
        <v>0</v>
      </c>
      <c r="W53" s="50" t="n">
        <v>0</v>
      </c>
      <c r="X53" s="50" t="n">
        <v>0</v>
      </c>
      <c r="Y53" s="50" t="n">
        <v>0</v>
      </c>
      <c r="Z53" s="50" t="n">
        <v>0</v>
      </c>
      <c r="AA53" s="50" t="n">
        <v>0</v>
      </c>
      <c r="AB53" s="50" t="n">
        <v>0</v>
      </c>
      <c r="AC53" s="50" t="n">
        <v>0</v>
      </c>
      <c r="AD53" s="50" t="n">
        <v>0</v>
      </c>
      <c r="AE53" s="50" t="n">
        <v>0</v>
      </c>
      <c r="AF53" s="50" t="n">
        <v>0</v>
      </c>
      <c r="AG53" s="50" t="n">
        <v>0</v>
      </c>
      <c r="AH53" s="50" t="n">
        <v>0</v>
      </c>
      <c r="AI53" s="50" t="n">
        <v>0</v>
      </c>
    </row>
    <row r="54" ht="14.25" customHeight="1" s="74">
      <c r="A54" s="2" t="n"/>
      <c r="B54" s="2" t="n"/>
      <c r="C54" s="7" t="inlineStr">
        <is>
          <t>lignite</t>
        </is>
      </c>
      <c r="D54" s="50" t="n">
        <v>0</v>
      </c>
      <c r="E54" s="50" t="n">
        <v>0</v>
      </c>
      <c r="F54" s="50" t="n">
        <v>0</v>
      </c>
      <c r="G54" s="50" t="n">
        <v>0</v>
      </c>
      <c r="H54" s="50" t="n">
        <v>0</v>
      </c>
      <c r="I54" s="50" t="n">
        <v>0</v>
      </c>
      <c r="J54" s="50" t="n">
        <v>0</v>
      </c>
      <c r="K54" s="50" t="n">
        <v>0</v>
      </c>
      <c r="L54" s="50" t="n">
        <v>0</v>
      </c>
      <c r="M54" s="50" t="n">
        <v>0</v>
      </c>
      <c r="N54" s="50" t="n">
        <v>0</v>
      </c>
      <c r="O54" s="50" t="n">
        <v>0</v>
      </c>
      <c r="P54" s="50" t="n">
        <v>0</v>
      </c>
      <c r="Q54" s="50" t="n">
        <v>0</v>
      </c>
      <c r="R54" s="50" t="n">
        <v>0</v>
      </c>
      <c r="S54" s="50" t="n">
        <v>0</v>
      </c>
      <c r="T54" s="50" t="n">
        <v>0</v>
      </c>
      <c r="U54" s="50" t="n">
        <v>0</v>
      </c>
      <c r="V54" s="50" t="n">
        <v>0</v>
      </c>
      <c r="W54" s="50" t="n">
        <v>0</v>
      </c>
      <c r="X54" s="50" t="n">
        <v>0</v>
      </c>
      <c r="Y54" s="50" t="n">
        <v>0</v>
      </c>
      <c r="Z54" s="50" t="n">
        <v>0</v>
      </c>
      <c r="AA54" s="50" t="n">
        <v>0</v>
      </c>
      <c r="AB54" s="50" t="n">
        <v>0</v>
      </c>
      <c r="AC54" s="50" t="n">
        <v>0</v>
      </c>
      <c r="AD54" s="50" t="n">
        <v>0</v>
      </c>
      <c r="AE54" s="50" t="n">
        <v>0</v>
      </c>
      <c r="AF54" s="50" t="n">
        <v>0</v>
      </c>
      <c r="AG54" s="50" t="n">
        <v>0</v>
      </c>
      <c r="AH54" s="50" t="n">
        <v>0</v>
      </c>
      <c r="AI54" s="50" t="n">
        <v>0</v>
      </c>
    </row>
    <row r="55" ht="14.25" customHeight="1" s="74">
      <c r="A55" s="2" t="n"/>
      <c r="B55" s="2" t="n"/>
      <c r="C55" s="7" t="inlineStr">
        <is>
          <t>offshore wind</t>
        </is>
      </c>
      <c r="D55" s="50" t="n">
        <v>0</v>
      </c>
      <c r="E55" s="50" t="n">
        <v>0</v>
      </c>
      <c r="F55" s="50" t="n">
        <v>0</v>
      </c>
      <c r="G55" s="50" t="n">
        <v>0</v>
      </c>
      <c r="H55" s="50" t="n">
        <v>0</v>
      </c>
      <c r="I55" s="50" t="n">
        <v>0</v>
      </c>
      <c r="J55" s="50" t="n">
        <v>0</v>
      </c>
      <c r="K55" s="50" t="n">
        <v>0</v>
      </c>
      <c r="L55" s="50" t="n">
        <v>0</v>
      </c>
      <c r="M55" s="50" t="n">
        <v>0</v>
      </c>
      <c r="N55" s="50" t="n">
        <v>0</v>
      </c>
      <c r="O55" s="50" t="n">
        <v>0</v>
      </c>
      <c r="P55" s="50" t="n">
        <v>0</v>
      </c>
      <c r="Q55" s="50" t="n">
        <v>0</v>
      </c>
      <c r="R55" s="50" t="n">
        <v>0</v>
      </c>
      <c r="S55" s="50" t="n">
        <v>0</v>
      </c>
      <c r="T55" s="50" t="n">
        <v>0</v>
      </c>
      <c r="U55" s="50" t="n">
        <v>0</v>
      </c>
      <c r="V55" s="50" t="n">
        <v>0</v>
      </c>
      <c r="W55" s="50" t="n">
        <v>0</v>
      </c>
      <c r="X55" s="50" t="n">
        <v>0</v>
      </c>
      <c r="Y55" s="50" t="n">
        <v>0</v>
      </c>
      <c r="Z55" s="50" t="n">
        <v>0</v>
      </c>
      <c r="AA55" s="50" t="n">
        <v>0</v>
      </c>
      <c r="AB55" s="50" t="n">
        <v>0</v>
      </c>
      <c r="AC55" s="50" t="n">
        <v>0</v>
      </c>
      <c r="AD55" s="50" t="n">
        <v>0</v>
      </c>
      <c r="AE55" s="50" t="n">
        <v>0</v>
      </c>
      <c r="AF55" s="50" t="n">
        <v>0</v>
      </c>
      <c r="AG55" s="50" t="n">
        <v>0</v>
      </c>
      <c r="AH55" s="50" t="n">
        <v>0</v>
      </c>
      <c r="AI55" s="50" t="n">
        <v>0</v>
      </c>
    </row>
    <row r="56" ht="14.25" customHeight="1" s="74">
      <c r="A56" s="2" t="n"/>
      <c r="B56" s="2" t="n"/>
      <c r="C56" s="7" t="inlineStr">
        <is>
          <t>crude oil</t>
        </is>
      </c>
      <c r="D56" s="50" t="n">
        <v>0</v>
      </c>
      <c r="E56" s="50" t="n">
        <v>0</v>
      </c>
      <c r="F56" s="50" t="n">
        <v>0</v>
      </c>
      <c r="G56" s="50" t="n">
        <v>0</v>
      </c>
      <c r="H56" s="50" t="n">
        <v>0</v>
      </c>
      <c r="I56" s="50" t="n">
        <v>0</v>
      </c>
      <c r="J56" s="50" t="n">
        <v>0</v>
      </c>
      <c r="K56" s="50" t="n">
        <v>0</v>
      </c>
      <c r="L56" s="50" t="n">
        <v>0</v>
      </c>
      <c r="M56" s="50" t="n">
        <v>0</v>
      </c>
      <c r="N56" s="50" t="n">
        <v>0</v>
      </c>
      <c r="O56" s="50" t="n">
        <v>0</v>
      </c>
      <c r="P56" s="50" t="n">
        <v>0</v>
      </c>
      <c r="Q56" s="50" t="n">
        <v>0</v>
      </c>
      <c r="R56" s="50" t="n">
        <v>0</v>
      </c>
      <c r="S56" s="50" t="n">
        <v>0</v>
      </c>
      <c r="T56" s="50" t="n">
        <v>0</v>
      </c>
      <c r="U56" s="50" t="n">
        <v>0</v>
      </c>
      <c r="V56" s="50" t="n">
        <v>0</v>
      </c>
      <c r="W56" s="50" t="n">
        <v>0</v>
      </c>
      <c r="X56" s="50" t="n">
        <v>0</v>
      </c>
      <c r="Y56" s="50" t="n">
        <v>0</v>
      </c>
      <c r="Z56" s="50" t="n">
        <v>0</v>
      </c>
      <c r="AA56" s="50" t="n">
        <v>0</v>
      </c>
      <c r="AB56" s="50" t="n">
        <v>0</v>
      </c>
      <c r="AC56" s="50" t="n">
        <v>0</v>
      </c>
      <c r="AD56" s="50" t="n">
        <v>0</v>
      </c>
      <c r="AE56" s="50" t="n">
        <v>0</v>
      </c>
      <c r="AF56" s="50" t="n">
        <v>0</v>
      </c>
      <c r="AG56" s="50" t="n">
        <v>0</v>
      </c>
      <c r="AH56" s="50" t="n">
        <v>0</v>
      </c>
      <c r="AI56" s="50" t="n">
        <v>0</v>
      </c>
    </row>
    <row r="57" ht="14.25" customHeight="1" s="74">
      <c r="A57" s="2" t="n"/>
      <c r="B57" s="2" t="n"/>
      <c r="C57" s="7" t="inlineStr">
        <is>
          <t>heavy or residual fuel oil</t>
        </is>
      </c>
      <c r="D57" s="50" t="n">
        <v>0</v>
      </c>
      <c r="E57" s="50" t="n">
        <v>0</v>
      </c>
      <c r="F57" s="50" t="n">
        <v>0</v>
      </c>
      <c r="G57" s="50" t="n">
        <v>0</v>
      </c>
      <c r="H57" s="50" t="n">
        <v>0</v>
      </c>
      <c r="I57" s="50" t="n">
        <v>0</v>
      </c>
      <c r="J57" s="50" t="n">
        <v>0</v>
      </c>
      <c r="K57" s="50" t="n">
        <v>0</v>
      </c>
      <c r="L57" s="50" t="n">
        <v>0</v>
      </c>
      <c r="M57" s="50" t="n">
        <v>0</v>
      </c>
      <c r="N57" s="50" t="n">
        <v>0</v>
      </c>
      <c r="O57" s="50" t="n">
        <v>0</v>
      </c>
      <c r="P57" s="50" t="n">
        <v>0</v>
      </c>
      <c r="Q57" s="50" t="n">
        <v>0</v>
      </c>
      <c r="R57" s="50" t="n">
        <v>0</v>
      </c>
      <c r="S57" s="50" t="n">
        <v>0</v>
      </c>
      <c r="T57" s="50" t="n">
        <v>0</v>
      </c>
      <c r="U57" s="50" t="n">
        <v>0</v>
      </c>
      <c r="V57" s="50" t="n">
        <v>0</v>
      </c>
      <c r="W57" s="50" t="n">
        <v>0</v>
      </c>
      <c r="X57" s="50" t="n">
        <v>0</v>
      </c>
      <c r="Y57" s="50" t="n">
        <v>0</v>
      </c>
      <c r="Z57" s="50" t="n">
        <v>0</v>
      </c>
      <c r="AA57" s="50" t="n">
        <v>0</v>
      </c>
      <c r="AB57" s="50" t="n">
        <v>0</v>
      </c>
      <c r="AC57" s="50" t="n">
        <v>0</v>
      </c>
      <c r="AD57" s="50" t="n">
        <v>0</v>
      </c>
      <c r="AE57" s="50" t="n">
        <v>0</v>
      </c>
      <c r="AF57" s="50" t="n">
        <v>0</v>
      </c>
      <c r="AG57" s="50" t="n">
        <v>0</v>
      </c>
      <c r="AH57" s="50" t="n">
        <v>0</v>
      </c>
      <c r="AI57" s="50" t="n">
        <v>0</v>
      </c>
    </row>
    <row r="58" ht="14.25" customHeight="1" s="74">
      <c r="A58" s="2" t="n"/>
      <c r="B58" s="2" t="n"/>
      <c r="C58" s="7" t="inlineStr">
        <is>
          <t>municipal solid waste</t>
        </is>
      </c>
      <c r="D58" s="50" t="n">
        <v>0</v>
      </c>
      <c r="E58" s="50" t="n">
        <v>0</v>
      </c>
      <c r="F58" s="50" t="n">
        <v>0</v>
      </c>
      <c r="G58" s="50" t="n">
        <v>0</v>
      </c>
      <c r="H58" s="50" t="n">
        <v>0</v>
      </c>
      <c r="I58" s="50" t="n">
        <v>0</v>
      </c>
      <c r="J58" s="50" t="n">
        <v>0</v>
      </c>
      <c r="K58" s="50" t="n">
        <v>0</v>
      </c>
      <c r="L58" s="50" t="n">
        <v>0</v>
      </c>
      <c r="M58" s="50" t="n">
        <v>0</v>
      </c>
      <c r="N58" s="50" t="n">
        <v>0</v>
      </c>
      <c r="O58" s="50" t="n">
        <v>0</v>
      </c>
      <c r="P58" s="50" t="n">
        <v>0</v>
      </c>
      <c r="Q58" s="50" t="n">
        <v>0</v>
      </c>
      <c r="R58" s="50" t="n">
        <v>0</v>
      </c>
      <c r="S58" s="50" t="n">
        <v>0</v>
      </c>
      <c r="T58" s="50" t="n">
        <v>0</v>
      </c>
      <c r="U58" s="50" t="n">
        <v>0</v>
      </c>
      <c r="V58" s="50" t="n">
        <v>0</v>
      </c>
      <c r="W58" s="50" t="n">
        <v>0</v>
      </c>
      <c r="X58" s="50" t="n">
        <v>0</v>
      </c>
      <c r="Y58" s="50" t="n">
        <v>0</v>
      </c>
      <c r="Z58" s="50" t="n">
        <v>0</v>
      </c>
      <c r="AA58" s="50" t="n">
        <v>0</v>
      </c>
      <c r="AB58" s="50" t="n">
        <v>0</v>
      </c>
      <c r="AC58" s="50" t="n">
        <v>0</v>
      </c>
      <c r="AD58" s="50" t="n">
        <v>0</v>
      </c>
      <c r="AE58" s="50" t="n">
        <v>0</v>
      </c>
      <c r="AF58" s="50" t="n">
        <v>0</v>
      </c>
      <c r="AG58" s="50" t="n">
        <v>0</v>
      </c>
      <c r="AH58" s="50" t="n">
        <v>0</v>
      </c>
      <c r="AI58" s="50" t="n">
        <v>0</v>
      </c>
    </row>
    <row r="59" ht="14.25" customHeight="1" s="74">
      <c r="A59" s="2" t="n"/>
      <c r="B59" s="2" t="n"/>
      <c r="C59" s="2" t="n"/>
      <c r="D59" s="2" t="n"/>
    </row>
    <row r="60" ht="14.25" customHeight="1" s="74">
      <c r="A60" s="2" t="n"/>
      <c r="B60" s="1" t="inlineStr">
        <is>
          <t>BDEQ-BDESC-rural-residential</t>
        </is>
      </c>
      <c r="C60" s="2" t="n"/>
      <c r="D60" s="2" t="n"/>
    </row>
    <row r="61" ht="14.25" customHeight="1" s="74">
      <c r="A61" s="2" t="n"/>
      <c r="B61" s="2" t="n"/>
      <c r="C61" s="1" t="inlineStr">
        <is>
          <t>MW</t>
        </is>
      </c>
      <c r="D61" s="7" t="n">
        <v>2019</v>
      </c>
      <c r="E61" s="7" t="n">
        <v>2020</v>
      </c>
      <c r="F61" s="7" t="n">
        <v>2021</v>
      </c>
      <c r="G61" s="7" t="n">
        <v>2022</v>
      </c>
      <c r="H61" s="7" t="n">
        <v>2023</v>
      </c>
      <c r="I61" s="7" t="n">
        <v>2024</v>
      </c>
      <c r="J61" s="7" t="n">
        <v>2025</v>
      </c>
      <c r="K61" s="7" t="n">
        <v>2026</v>
      </c>
      <c r="L61" s="7" t="n">
        <v>2027</v>
      </c>
      <c r="M61" s="7" t="n">
        <v>2028</v>
      </c>
      <c r="N61" s="7" t="n">
        <v>2029</v>
      </c>
      <c r="O61" s="7" t="n">
        <v>2030</v>
      </c>
      <c r="P61" s="7" t="n">
        <v>2031</v>
      </c>
      <c r="Q61" s="7" t="n">
        <v>2032</v>
      </c>
      <c r="R61" s="7" t="n">
        <v>2033</v>
      </c>
      <c r="S61" s="7" t="n">
        <v>2034</v>
      </c>
      <c r="T61" s="7" t="n">
        <v>2035</v>
      </c>
      <c r="U61" s="7" t="n">
        <v>2036</v>
      </c>
      <c r="V61" s="7" t="n">
        <v>2037</v>
      </c>
      <c r="W61" s="7" t="n">
        <v>2038</v>
      </c>
      <c r="X61" s="7" t="n">
        <v>2039</v>
      </c>
      <c r="Y61" s="7" t="n">
        <v>2040</v>
      </c>
      <c r="Z61" s="7" t="n">
        <v>2041</v>
      </c>
      <c r="AA61" s="7" t="n">
        <v>2042</v>
      </c>
      <c r="AB61" s="7" t="n">
        <v>2043</v>
      </c>
      <c r="AC61" s="7" t="n">
        <v>2044</v>
      </c>
      <c r="AD61" s="7" t="n">
        <v>2045</v>
      </c>
      <c r="AE61" s="7" t="n">
        <v>2046</v>
      </c>
      <c r="AF61" s="7" t="n">
        <v>2047</v>
      </c>
      <c r="AG61" s="7" t="n">
        <v>2048</v>
      </c>
      <c r="AH61" s="7" t="n">
        <v>2049</v>
      </c>
      <c r="AI61" s="7" t="n">
        <v>2050</v>
      </c>
    </row>
    <row r="62" ht="14.25" customHeight="1" s="74">
      <c r="A62" s="2" t="n"/>
      <c r="B62" s="2" t="n"/>
      <c r="C62" s="7" t="inlineStr">
        <is>
          <t>hard coal</t>
        </is>
      </c>
      <c r="D62" s="50" t="n">
        <v>0</v>
      </c>
      <c r="E62" s="50" t="n">
        <v>0</v>
      </c>
      <c r="F62" s="50" t="n">
        <v>0</v>
      </c>
      <c r="G62" s="50" t="n">
        <v>0</v>
      </c>
      <c r="H62" s="50" t="n">
        <v>0</v>
      </c>
      <c r="I62" s="50" t="n">
        <v>0</v>
      </c>
      <c r="J62" s="50" t="n">
        <v>0</v>
      </c>
      <c r="K62" s="50" t="n">
        <v>0</v>
      </c>
      <c r="L62" s="50" t="n">
        <v>0</v>
      </c>
      <c r="M62" s="50" t="n">
        <v>0</v>
      </c>
      <c r="N62" s="50" t="n">
        <v>0</v>
      </c>
      <c r="O62" s="50" t="n">
        <v>0</v>
      </c>
      <c r="P62" s="50" t="n">
        <v>0</v>
      </c>
      <c r="Q62" s="50" t="n">
        <v>0</v>
      </c>
      <c r="R62" s="50" t="n">
        <v>0</v>
      </c>
      <c r="S62" s="50" t="n">
        <v>0</v>
      </c>
      <c r="T62" s="50" t="n">
        <v>0</v>
      </c>
      <c r="U62" s="50" t="n">
        <v>0</v>
      </c>
      <c r="V62" s="50" t="n">
        <v>0</v>
      </c>
      <c r="W62" s="50" t="n">
        <v>0</v>
      </c>
      <c r="X62" s="50" t="n">
        <v>0</v>
      </c>
      <c r="Y62" s="50" t="n">
        <v>0</v>
      </c>
      <c r="Z62" s="50" t="n">
        <v>0</v>
      </c>
      <c r="AA62" s="50" t="n">
        <v>0</v>
      </c>
      <c r="AB62" s="50" t="n">
        <v>0</v>
      </c>
      <c r="AC62" s="50" t="n">
        <v>0</v>
      </c>
      <c r="AD62" s="50" t="n">
        <v>0</v>
      </c>
      <c r="AE62" s="50" t="n">
        <v>0</v>
      </c>
      <c r="AF62" s="50" t="n">
        <v>0</v>
      </c>
      <c r="AG62" s="50" t="n">
        <v>0</v>
      </c>
      <c r="AH62" s="50" t="n">
        <v>0</v>
      </c>
      <c r="AI62" s="50" t="n">
        <v>0</v>
      </c>
    </row>
    <row r="63" ht="14.25" customHeight="1" s="74">
      <c r="A63" s="2" t="n"/>
      <c r="B63" s="20" t="inlineStr">
        <is>
          <t>RST000:dgc_FuelsCells</t>
        </is>
      </c>
      <c r="C63" s="7" t="inlineStr">
        <is>
          <t>natural gas nonpeaker</t>
        </is>
      </c>
      <c r="D63" s="51" t="n">
        <v>0</v>
      </c>
      <c r="E63" s="51" t="n">
        <v>0</v>
      </c>
      <c r="F63" s="51" t="n">
        <v>0</v>
      </c>
      <c r="G63" s="51" t="n">
        <v>0</v>
      </c>
      <c r="H63" s="51" t="n">
        <v>0</v>
      </c>
      <c r="I63" s="51" t="n">
        <v>0</v>
      </c>
      <c r="J63" s="51" t="n">
        <v>0</v>
      </c>
      <c r="K63" s="51" t="n">
        <v>0</v>
      </c>
      <c r="L63" s="51" t="n">
        <v>0</v>
      </c>
      <c r="M63" s="51" t="n">
        <v>0</v>
      </c>
      <c r="N63" s="51" t="n">
        <v>0</v>
      </c>
      <c r="O63" s="51" t="n">
        <v>0</v>
      </c>
      <c r="P63" s="51" t="n">
        <v>0</v>
      </c>
      <c r="Q63" s="51" t="n">
        <v>0</v>
      </c>
      <c r="R63" s="51" t="n">
        <v>0</v>
      </c>
      <c r="S63" s="51" t="n">
        <v>0.0003976311336717428</v>
      </c>
      <c r="T63" s="51" t="n">
        <v>0.000994077834179357</v>
      </c>
      <c r="U63" s="51" t="n">
        <v>0.002186971235194585</v>
      </c>
      <c r="V63" s="51" t="n">
        <v>0.004373942470389171</v>
      </c>
      <c r="W63" s="51" t="n">
        <v>0.00854906937394247</v>
      </c>
      <c r="X63" s="51" t="n">
        <v>0.01610406091370558</v>
      </c>
      <c r="Y63" s="51" t="n">
        <v>0.03002115059221658</v>
      </c>
      <c r="Z63" s="51" t="n">
        <v>0.05546954314720812</v>
      </c>
      <c r="AA63" s="51" t="n">
        <v>0.08091793570219967</v>
      </c>
      <c r="AB63" s="51" t="n">
        <v>0.1065651438240271</v>
      </c>
      <c r="AC63" s="51" t="n">
        <v>0.1324111675126904</v>
      </c>
      <c r="AD63" s="51" t="n">
        <v>0.1584560067681895</v>
      </c>
      <c r="AE63" s="51" t="n">
        <v>0.1848984771573604</v>
      </c>
      <c r="AF63" s="51" t="n">
        <v>0.2115397631133672</v>
      </c>
      <c r="AG63" s="51" t="n">
        <v>0.237982233502538</v>
      </c>
      <c r="AH63" s="51" t="n">
        <v>0.2646235194585448</v>
      </c>
      <c r="AI63" s="51" t="n">
        <v>0.2914636209813875</v>
      </c>
    </row>
    <row r="64" ht="14.25" customHeight="1" s="74">
      <c r="A64" s="2" t="n"/>
      <c r="B64" s="2" t="n"/>
      <c r="C64" s="7" t="inlineStr">
        <is>
          <t>nuclear</t>
        </is>
      </c>
      <c r="D64" s="50" t="n">
        <v>0</v>
      </c>
      <c r="E64" s="50" t="n">
        <v>0</v>
      </c>
      <c r="F64" s="50" t="n">
        <v>0</v>
      </c>
      <c r="G64" s="50" t="n">
        <v>0</v>
      </c>
      <c r="H64" s="50" t="n">
        <v>0</v>
      </c>
      <c r="I64" s="50" t="n">
        <v>0</v>
      </c>
      <c r="J64" s="50" t="n">
        <v>0</v>
      </c>
      <c r="K64" s="50" t="n">
        <v>0</v>
      </c>
      <c r="L64" s="50" t="n">
        <v>0</v>
      </c>
      <c r="M64" s="50" t="n">
        <v>0</v>
      </c>
      <c r="N64" s="50" t="n">
        <v>0</v>
      </c>
      <c r="O64" s="50" t="n">
        <v>0</v>
      </c>
      <c r="P64" s="50" t="n">
        <v>0</v>
      </c>
      <c r="Q64" s="50" t="n">
        <v>0</v>
      </c>
      <c r="R64" s="50" t="n">
        <v>0</v>
      </c>
      <c r="S64" s="50" t="n">
        <v>0</v>
      </c>
      <c r="T64" s="50" t="n">
        <v>0</v>
      </c>
      <c r="U64" s="50" t="n">
        <v>0</v>
      </c>
      <c r="V64" s="50" t="n">
        <v>0</v>
      </c>
      <c r="W64" s="50" t="n">
        <v>0</v>
      </c>
      <c r="X64" s="50" t="n">
        <v>0</v>
      </c>
      <c r="Y64" s="50" t="n">
        <v>0</v>
      </c>
      <c r="Z64" s="50" t="n">
        <v>0</v>
      </c>
      <c r="AA64" s="50" t="n">
        <v>0</v>
      </c>
      <c r="AB64" s="50" t="n">
        <v>0</v>
      </c>
      <c r="AC64" s="50" t="n">
        <v>0</v>
      </c>
      <c r="AD64" s="50" t="n">
        <v>0</v>
      </c>
      <c r="AE64" s="50" t="n">
        <v>0</v>
      </c>
      <c r="AF64" s="50" t="n">
        <v>0</v>
      </c>
      <c r="AG64" s="50" t="n">
        <v>0</v>
      </c>
      <c r="AH64" s="50" t="n">
        <v>0</v>
      </c>
      <c r="AI64" s="50" t="n">
        <v>0</v>
      </c>
    </row>
    <row r="65" ht="14.25" customHeight="1" s="74">
      <c r="A65" s="2" t="n"/>
      <c r="B65" s="2" t="n"/>
      <c r="C65" s="7" t="inlineStr">
        <is>
          <t>hydro</t>
        </is>
      </c>
      <c r="D65" s="50" t="n">
        <v>0</v>
      </c>
      <c r="E65" s="50" t="n">
        <v>0</v>
      </c>
      <c r="F65" s="50" t="n">
        <v>0</v>
      </c>
      <c r="G65" s="50" t="n">
        <v>0</v>
      </c>
      <c r="H65" s="50" t="n">
        <v>0</v>
      </c>
      <c r="I65" s="50" t="n">
        <v>0</v>
      </c>
      <c r="J65" s="50" t="n">
        <v>0</v>
      </c>
      <c r="K65" s="50" t="n">
        <v>0</v>
      </c>
      <c r="L65" s="50" t="n">
        <v>0</v>
      </c>
      <c r="M65" s="50" t="n">
        <v>0</v>
      </c>
      <c r="N65" s="50" t="n">
        <v>0</v>
      </c>
      <c r="O65" s="50" t="n">
        <v>0</v>
      </c>
      <c r="P65" s="50" t="n">
        <v>0</v>
      </c>
      <c r="Q65" s="50" t="n">
        <v>0</v>
      </c>
      <c r="R65" s="50" t="n">
        <v>0</v>
      </c>
      <c r="S65" s="50" t="n">
        <v>0</v>
      </c>
      <c r="T65" s="50" t="n">
        <v>0</v>
      </c>
      <c r="U65" s="50" t="n">
        <v>0</v>
      </c>
      <c r="V65" s="50" t="n">
        <v>0</v>
      </c>
      <c r="W65" s="50" t="n">
        <v>0</v>
      </c>
      <c r="X65" s="50" t="n">
        <v>0</v>
      </c>
      <c r="Y65" s="50" t="n">
        <v>0</v>
      </c>
      <c r="Z65" s="50" t="n">
        <v>0</v>
      </c>
      <c r="AA65" s="50" t="n">
        <v>0</v>
      </c>
      <c r="AB65" s="50" t="n">
        <v>0</v>
      </c>
      <c r="AC65" s="50" t="n">
        <v>0</v>
      </c>
      <c r="AD65" s="50" t="n">
        <v>0</v>
      </c>
      <c r="AE65" s="50" t="n">
        <v>0</v>
      </c>
      <c r="AF65" s="50" t="n">
        <v>0</v>
      </c>
      <c r="AG65" s="50" t="n">
        <v>0</v>
      </c>
      <c r="AH65" s="50" t="n">
        <v>0</v>
      </c>
      <c r="AI65" s="50" t="n">
        <v>0</v>
      </c>
    </row>
    <row r="66" ht="14.25" customHeight="1" s="74">
      <c r="A66" s="2" t="n"/>
      <c r="B66" s="20" t="inlineStr">
        <is>
          <t>RST000:dgc_WindHuffHuff</t>
        </is>
      </c>
      <c r="C66" s="7" t="inlineStr">
        <is>
          <t>onshore wind</t>
        </is>
      </c>
      <c r="D66" s="51" t="n">
        <v>2.799323181049069</v>
      </c>
      <c r="E66" s="51" t="n">
        <v>2.799323181049069</v>
      </c>
      <c r="F66" s="51" t="n">
        <v>2.799323181049069</v>
      </c>
      <c r="G66" s="51" t="n">
        <v>2.799323181049069</v>
      </c>
      <c r="H66" s="51" t="n">
        <v>2.799323181049069</v>
      </c>
      <c r="I66" s="51" t="n">
        <v>2.799323181049069</v>
      </c>
      <c r="J66" s="51" t="n">
        <v>2.799323181049069</v>
      </c>
      <c r="K66" s="51" t="n">
        <v>2.799323181049069</v>
      </c>
      <c r="L66" s="51" t="n">
        <v>2.799323181049069</v>
      </c>
      <c r="M66" s="51" t="n">
        <v>2.799323181049069</v>
      </c>
      <c r="N66" s="51" t="n">
        <v>2.799323181049069</v>
      </c>
      <c r="O66" s="51" t="n">
        <v>2.799323181049069</v>
      </c>
      <c r="P66" s="51" t="n">
        <v>2.799323181049069</v>
      </c>
      <c r="Q66" s="51" t="n">
        <v>2.799323181049069</v>
      </c>
      <c r="R66" s="51" t="n">
        <v>2.799521996615905</v>
      </c>
      <c r="S66" s="51" t="n">
        <v>2.800118443316413</v>
      </c>
      <c r="T66" s="51" t="n">
        <v>2.801311336717428</v>
      </c>
      <c r="U66" s="51" t="n">
        <v>2.803697123519458</v>
      </c>
      <c r="V66" s="51" t="n">
        <v>2.808071065989847</v>
      </c>
      <c r="W66" s="51" t="n">
        <v>2.816421319796954</v>
      </c>
      <c r="X66" s="51" t="n">
        <v>2.83153130287648</v>
      </c>
      <c r="Y66" s="51" t="n">
        <v>2.859365482233503</v>
      </c>
      <c r="Z66" s="51" t="n">
        <v>2.91006345177665</v>
      </c>
      <c r="AA66" s="51" t="n">
        <v>2.960960236886633</v>
      </c>
      <c r="AB66" s="51" t="n">
        <v>3.012254653130288</v>
      </c>
      <c r="AC66" s="51" t="n">
        <v>3.06414551607445</v>
      </c>
      <c r="AD66" s="51" t="n">
        <v>3.116434010152284</v>
      </c>
      <c r="AE66" s="51" t="n">
        <v>3.16912013536379</v>
      </c>
      <c r="AF66" s="51" t="n">
        <v>3.222203891708968</v>
      </c>
      <c r="AG66" s="51" t="n">
        <v>3.275486463620982</v>
      </c>
      <c r="AH66" s="51" t="n">
        <v>3.328769035532995</v>
      </c>
      <c r="AI66" s="51" t="n">
        <v>3.382250423011844</v>
      </c>
    </row>
    <row r="67" ht="14.25" customHeight="1" s="74">
      <c r="A67" s="2" t="n"/>
      <c r="B67" s="20" t="inlineStr">
        <is>
          <t>RST000:dgc_SolarPhoto</t>
        </is>
      </c>
      <c r="C67" s="7" t="inlineStr">
        <is>
          <t>solar PV</t>
        </is>
      </c>
      <c r="D67" s="51" t="n">
        <v>3056.028870558375</v>
      </c>
      <c r="E67" s="51" t="n">
        <v>3536.82475465313</v>
      </c>
      <c r="F67" s="51" t="n">
        <v>4010.961311336718</v>
      </c>
      <c r="G67" s="51" t="n">
        <v>4472.258557529611</v>
      </c>
      <c r="H67" s="51" t="n">
        <v>4934.164378172589</v>
      </c>
      <c r="I67" s="51" t="n">
        <v>5397.467474619289</v>
      </c>
      <c r="J67" s="51" t="n">
        <v>5863.43847715736</v>
      </c>
      <c r="K67" s="51" t="n">
        <v>6333.683815566836</v>
      </c>
      <c r="L67" s="51" t="n">
        <v>6807.876040609136</v>
      </c>
      <c r="M67" s="51" t="n">
        <v>7286.555930626057</v>
      </c>
      <c r="N67" s="51" t="n">
        <v>7770.540816412859</v>
      </c>
      <c r="O67" s="51" t="n">
        <v>8261.937944162437</v>
      </c>
      <c r="P67" s="51" t="n">
        <v>8759.09595177665</v>
      </c>
      <c r="Q67" s="51" t="n">
        <v>9260.112770727579</v>
      </c>
      <c r="R67" s="51" t="n">
        <v>9765.612681895094</v>
      </c>
      <c r="S67" s="51" t="n">
        <v>10276.2340820643</v>
      </c>
      <c r="T67" s="51" t="n">
        <v>10790.73497038917</v>
      </c>
      <c r="U67" s="51" t="n">
        <v>11308.23976311337</v>
      </c>
      <c r="V67" s="51" t="n">
        <v>11830.7950676819</v>
      </c>
      <c r="W67" s="51" t="n">
        <v>12358.43090524535</v>
      </c>
      <c r="X67" s="51" t="n">
        <v>12890.32835448393</v>
      </c>
      <c r="Y67" s="51" t="n">
        <v>13428.24633671743</v>
      </c>
      <c r="Z67" s="51" t="n">
        <v>13969.69687394247</v>
      </c>
      <c r="AA67" s="51" t="n">
        <v>14515.88757191201</v>
      </c>
      <c r="AB67" s="51" t="n">
        <v>15066.53014805415</v>
      </c>
      <c r="AC67" s="51" t="n">
        <v>15621.60651015229</v>
      </c>
      <c r="AD67" s="51" t="n">
        <v>16183.02170896785</v>
      </c>
      <c r="AE67" s="51" t="n">
        <v>16751.06243654822</v>
      </c>
      <c r="AF67" s="51" t="n">
        <v>17326.02453045685</v>
      </c>
      <c r="AG67" s="51" t="n">
        <v>17906.93578257191</v>
      </c>
      <c r="AH67" s="51" t="n">
        <v>18494.89425126903</v>
      </c>
      <c r="AI67" s="51" t="n">
        <v>19088.86549915398</v>
      </c>
    </row>
    <row r="68" ht="14.25" customHeight="1" s="74">
      <c r="A68" s="2" t="n"/>
      <c r="B68" s="2" t="n"/>
      <c r="C68" s="7" t="inlineStr">
        <is>
          <t>solar thermal</t>
        </is>
      </c>
      <c r="D68" s="50" t="n">
        <v>0</v>
      </c>
      <c r="E68" s="50" t="n">
        <v>0</v>
      </c>
      <c r="F68" s="50" t="n">
        <v>0</v>
      </c>
      <c r="G68" s="50" t="n">
        <v>0</v>
      </c>
      <c r="H68" s="50" t="n">
        <v>0</v>
      </c>
      <c r="I68" s="50" t="n">
        <v>0</v>
      </c>
      <c r="J68" s="50" t="n">
        <v>0</v>
      </c>
      <c r="K68" s="50" t="n">
        <v>0</v>
      </c>
      <c r="L68" s="50" t="n">
        <v>0</v>
      </c>
      <c r="M68" s="50" t="n">
        <v>0</v>
      </c>
      <c r="N68" s="50" t="n">
        <v>0</v>
      </c>
      <c r="O68" s="50" t="n">
        <v>0</v>
      </c>
      <c r="P68" s="50" t="n">
        <v>0</v>
      </c>
      <c r="Q68" s="50" t="n">
        <v>0</v>
      </c>
      <c r="R68" s="50" t="n">
        <v>0</v>
      </c>
      <c r="S68" s="50" t="n">
        <v>0</v>
      </c>
      <c r="T68" s="50" t="n">
        <v>0</v>
      </c>
      <c r="U68" s="50" t="n">
        <v>0</v>
      </c>
      <c r="V68" s="50" t="n">
        <v>0</v>
      </c>
      <c r="W68" s="50" t="n">
        <v>0</v>
      </c>
      <c r="X68" s="50" t="n">
        <v>0</v>
      </c>
      <c r="Y68" s="50" t="n">
        <v>0</v>
      </c>
      <c r="Z68" s="50" t="n">
        <v>0</v>
      </c>
      <c r="AA68" s="50" t="n">
        <v>0</v>
      </c>
      <c r="AB68" s="50" t="n">
        <v>0</v>
      </c>
      <c r="AC68" s="50" t="n">
        <v>0</v>
      </c>
      <c r="AD68" s="50" t="n">
        <v>0</v>
      </c>
      <c r="AE68" s="50" t="n">
        <v>0</v>
      </c>
      <c r="AF68" s="50" t="n">
        <v>0</v>
      </c>
      <c r="AG68" s="50" t="n">
        <v>0</v>
      </c>
      <c r="AH68" s="50" t="n">
        <v>0</v>
      </c>
      <c r="AI68" s="50" t="n">
        <v>0</v>
      </c>
    </row>
    <row r="69" ht="14.25" customHeight="1" s="74">
      <c r="A69" s="2" t="n"/>
      <c r="B69" s="2" t="n"/>
      <c r="C69" s="7" t="inlineStr">
        <is>
          <t>biomass</t>
        </is>
      </c>
      <c r="D69" s="50" t="n">
        <v>0</v>
      </c>
      <c r="E69" s="50" t="n">
        <v>0</v>
      </c>
      <c r="F69" s="50" t="n">
        <v>0</v>
      </c>
      <c r="G69" s="50" t="n">
        <v>0</v>
      </c>
      <c r="H69" s="50" t="n">
        <v>0</v>
      </c>
      <c r="I69" s="50" t="n">
        <v>0</v>
      </c>
      <c r="J69" s="50" t="n">
        <v>0</v>
      </c>
      <c r="K69" s="50" t="n">
        <v>0</v>
      </c>
      <c r="L69" s="50" t="n">
        <v>0</v>
      </c>
      <c r="M69" s="50" t="n">
        <v>0</v>
      </c>
      <c r="N69" s="50" t="n">
        <v>0</v>
      </c>
      <c r="O69" s="50" t="n">
        <v>0</v>
      </c>
      <c r="P69" s="50" t="n">
        <v>0</v>
      </c>
      <c r="Q69" s="50" t="n">
        <v>0</v>
      </c>
      <c r="R69" s="50" t="n">
        <v>0</v>
      </c>
      <c r="S69" s="50" t="n">
        <v>0</v>
      </c>
      <c r="T69" s="50" t="n">
        <v>0</v>
      </c>
      <c r="U69" s="50" t="n">
        <v>0</v>
      </c>
      <c r="V69" s="50" t="n">
        <v>0</v>
      </c>
      <c r="W69" s="50" t="n">
        <v>0</v>
      </c>
      <c r="X69" s="50" t="n">
        <v>0</v>
      </c>
      <c r="Y69" s="50" t="n">
        <v>0</v>
      </c>
      <c r="Z69" s="50" t="n">
        <v>0</v>
      </c>
      <c r="AA69" s="50" t="n">
        <v>0</v>
      </c>
      <c r="AB69" s="50" t="n">
        <v>0</v>
      </c>
      <c r="AC69" s="50" t="n">
        <v>0</v>
      </c>
      <c r="AD69" s="50" t="n">
        <v>0</v>
      </c>
      <c r="AE69" s="50" t="n">
        <v>0</v>
      </c>
      <c r="AF69" s="50" t="n">
        <v>0</v>
      </c>
      <c r="AG69" s="50" t="n">
        <v>0</v>
      </c>
      <c r="AH69" s="50" t="n">
        <v>0</v>
      </c>
      <c r="AI69" s="50" t="n">
        <v>0</v>
      </c>
    </row>
    <row r="70" ht="14.25" customHeight="1" s="74">
      <c r="A70" s="2" t="n"/>
      <c r="B70" s="2" t="n"/>
      <c r="C70" s="7" t="inlineStr">
        <is>
          <t>geothermal</t>
        </is>
      </c>
      <c r="D70" s="50" t="n">
        <v>0</v>
      </c>
      <c r="E70" s="50" t="n">
        <v>0</v>
      </c>
      <c r="F70" s="50" t="n">
        <v>0</v>
      </c>
      <c r="G70" s="50" t="n">
        <v>0</v>
      </c>
      <c r="H70" s="50" t="n">
        <v>0</v>
      </c>
      <c r="I70" s="50" t="n">
        <v>0</v>
      </c>
      <c r="J70" s="50" t="n">
        <v>0</v>
      </c>
      <c r="K70" s="50" t="n">
        <v>0</v>
      </c>
      <c r="L70" s="50" t="n">
        <v>0</v>
      </c>
      <c r="M70" s="50" t="n">
        <v>0</v>
      </c>
      <c r="N70" s="50" t="n">
        <v>0</v>
      </c>
      <c r="O70" s="50" t="n">
        <v>0</v>
      </c>
      <c r="P70" s="50" t="n">
        <v>0</v>
      </c>
      <c r="Q70" s="50" t="n">
        <v>0</v>
      </c>
      <c r="R70" s="50" t="n">
        <v>0</v>
      </c>
      <c r="S70" s="50" t="n">
        <v>0</v>
      </c>
      <c r="T70" s="50" t="n">
        <v>0</v>
      </c>
      <c r="U70" s="50" t="n">
        <v>0</v>
      </c>
      <c r="V70" s="50" t="n">
        <v>0</v>
      </c>
      <c r="W70" s="50" t="n">
        <v>0</v>
      </c>
      <c r="X70" s="50" t="n">
        <v>0</v>
      </c>
      <c r="Y70" s="50" t="n">
        <v>0</v>
      </c>
      <c r="Z70" s="50" t="n">
        <v>0</v>
      </c>
      <c r="AA70" s="50" t="n">
        <v>0</v>
      </c>
      <c r="AB70" s="50" t="n">
        <v>0</v>
      </c>
      <c r="AC70" s="50" t="n">
        <v>0</v>
      </c>
      <c r="AD70" s="50" t="n">
        <v>0</v>
      </c>
      <c r="AE70" s="50" t="n">
        <v>0</v>
      </c>
      <c r="AF70" s="50" t="n">
        <v>0</v>
      </c>
      <c r="AG70" s="50" t="n">
        <v>0</v>
      </c>
      <c r="AH70" s="50" t="n">
        <v>0</v>
      </c>
      <c r="AI70" s="50" t="n">
        <v>0</v>
      </c>
    </row>
    <row r="71" ht="14.25" customHeight="1" s="74">
      <c r="A71" s="2" t="n"/>
      <c r="B71" s="2" t="n"/>
      <c r="C71" s="7" t="inlineStr">
        <is>
          <t>petroleum</t>
        </is>
      </c>
      <c r="D71" s="50" t="n">
        <v>0</v>
      </c>
      <c r="E71" s="50" t="n">
        <v>0</v>
      </c>
      <c r="F71" s="50" t="n">
        <v>0</v>
      </c>
      <c r="G71" s="50" t="n">
        <v>0</v>
      </c>
      <c r="H71" s="50" t="n">
        <v>0</v>
      </c>
      <c r="I71" s="50" t="n">
        <v>0</v>
      </c>
      <c r="J71" s="50" t="n">
        <v>0</v>
      </c>
      <c r="K71" s="50" t="n">
        <v>0</v>
      </c>
      <c r="L71" s="50" t="n">
        <v>0</v>
      </c>
      <c r="M71" s="50" t="n">
        <v>0</v>
      </c>
      <c r="N71" s="50" t="n">
        <v>0</v>
      </c>
      <c r="O71" s="50" t="n">
        <v>0</v>
      </c>
      <c r="P71" s="50" t="n">
        <v>0</v>
      </c>
      <c r="Q71" s="50" t="n">
        <v>0</v>
      </c>
      <c r="R71" s="50" t="n">
        <v>0</v>
      </c>
      <c r="S71" s="50" t="n">
        <v>0</v>
      </c>
      <c r="T71" s="50" t="n">
        <v>0</v>
      </c>
      <c r="U71" s="50" t="n">
        <v>0</v>
      </c>
      <c r="V71" s="50" t="n">
        <v>0</v>
      </c>
      <c r="W71" s="50" t="n">
        <v>0</v>
      </c>
      <c r="X71" s="50" t="n">
        <v>0</v>
      </c>
      <c r="Y71" s="50" t="n">
        <v>0</v>
      </c>
      <c r="Z71" s="50" t="n">
        <v>0</v>
      </c>
      <c r="AA71" s="50" t="n">
        <v>0</v>
      </c>
      <c r="AB71" s="50" t="n">
        <v>0</v>
      </c>
      <c r="AC71" s="50" t="n">
        <v>0</v>
      </c>
      <c r="AD71" s="50" t="n">
        <v>0</v>
      </c>
      <c r="AE71" s="50" t="n">
        <v>0</v>
      </c>
      <c r="AF71" s="50" t="n">
        <v>0</v>
      </c>
      <c r="AG71" s="50" t="n">
        <v>0</v>
      </c>
      <c r="AH71" s="50" t="n">
        <v>0</v>
      </c>
      <c r="AI71" s="50" t="n">
        <v>0</v>
      </c>
    </row>
    <row r="72" ht="14.25" customHeight="1" s="74">
      <c r="A72" s="2" t="n"/>
      <c r="B72" s="2" t="n"/>
      <c r="C72" s="7" t="inlineStr">
        <is>
          <t>natural gas peaker</t>
        </is>
      </c>
      <c r="D72" s="50" t="n">
        <v>0</v>
      </c>
      <c r="E72" s="50" t="n">
        <v>0</v>
      </c>
      <c r="F72" s="50" t="n">
        <v>0</v>
      </c>
      <c r="G72" s="50" t="n">
        <v>0</v>
      </c>
      <c r="H72" s="50" t="n">
        <v>0</v>
      </c>
      <c r="I72" s="50" t="n">
        <v>0</v>
      </c>
      <c r="J72" s="50" t="n">
        <v>0</v>
      </c>
      <c r="K72" s="50" t="n">
        <v>0</v>
      </c>
      <c r="L72" s="50" t="n">
        <v>0</v>
      </c>
      <c r="M72" s="50" t="n">
        <v>0</v>
      </c>
      <c r="N72" s="50" t="n">
        <v>0</v>
      </c>
      <c r="O72" s="50" t="n">
        <v>0</v>
      </c>
      <c r="P72" s="50" t="n">
        <v>0</v>
      </c>
      <c r="Q72" s="50" t="n">
        <v>0</v>
      </c>
      <c r="R72" s="50" t="n">
        <v>0</v>
      </c>
      <c r="S72" s="50" t="n">
        <v>0</v>
      </c>
      <c r="T72" s="50" t="n">
        <v>0</v>
      </c>
      <c r="U72" s="50" t="n">
        <v>0</v>
      </c>
      <c r="V72" s="50" t="n">
        <v>0</v>
      </c>
      <c r="W72" s="50" t="n">
        <v>0</v>
      </c>
      <c r="X72" s="50" t="n">
        <v>0</v>
      </c>
      <c r="Y72" s="50" t="n">
        <v>0</v>
      </c>
      <c r="Z72" s="50" t="n">
        <v>0</v>
      </c>
      <c r="AA72" s="50" t="n">
        <v>0</v>
      </c>
      <c r="AB72" s="50" t="n">
        <v>0</v>
      </c>
      <c r="AC72" s="50" t="n">
        <v>0</v>
      </c>
      <c r="AD72" s="50" t="n">
        <v>0</v>
      </c>
      <c r="AE72" s="50" t="n">
        <v>0</v>
      </c>
      <c r="AF72" s="50" t="n">
        <v>0</v>
      </c>
      <c r="AG72" s="50" t="n">
        <v>0</v>
      </c>
      <c r="AH72" s="50" t="n">
        <v>0</v>
      </c>
      <c r="AI72" s="50" t="n">
        <v>0</v>
      </c>
    </row>
    <row r="73" ht="14.25" customHeight="1" s="74">
      <c r="A73" s="2" t="n"/>
      <c r="B73" s="2" t="n"/>
      <c r="C73" s="7" t="inlineStr">
        <is>
          <t>lignite</t>
        </is>
      </c>
      <c r="D73" s="50" t="n">
        <v>0</v>
      </c>
      <c r="E73" s="50" t="n">
        <v>0</v>
      </c>
      <c r="F73" s="50" t="n">
        <v>0</v>
      </c>
      <c r="G73" s="50" t="n">
        <v>0</v>
      </c>
      <c r="H73" s="50" t="n">
        <v>0</v>
      </c>
      <c r="I73" s="50" t="n">
        <v>0</v>
      </c>
      <c r="J73" s="50" t="n">
        <v>0</v>
      </c>
      <c r="K73" s="50" t="n">
        <v>0</v>
      </c>
      <c r="L73" s="50" t="n">
        <v>0</v>
      </c>
      <c r="M73" s="50" t="n">
        <v>0</v>
      </c>
      <c r="N73" s="50" t="n">
        <v>0</v>
      </c>
      <c r="O73" s="50" t="n">
        <v>0</v>
      </c>
      <c r="P73" s="50" t="n">
        <v>0</v>
      </c>
      <c r="Q73" s="50" t="n">
        <v>0</v>
      </c>
      <c r="R73" s="50" t="n">
        <v>0</v>
      </c>
      <c r="S73" s="50" t="n">
        <v>0</v>
      </c>
      <c r="T73" s="50" t="n">
        <v>0</v>
      </c>
      <c r="U73" s="50" t="n">
        <v>0</v>
      </c>
      <c r="V73" s="50" t="n">
        <v>0</v>
      </c>
      <c r="W73" s="50" t="n">
        <v>0</v>
      </c>
      <c r="X73" s="50" t="n">
        <v>0</v>
      </c>
      <c r="Y73" s="50" t="n">
        <v>0</v>
      </c>
      <c r="Z73" s="50" t="n">
        <v>0</v>
      </c>
      <c r="AA73" s="50" t="n">
        <v>0</v>
      </c>
      <c r="AB73" s="50" t="n">
        <v>0</v>
      </c>
      <c r="AC73" s="50" t="n">
        <v>0</v>
      </c>
      <c r="AD73" s="50" t="n">
        <v>0</v>
      </c>
      <c r="AE73" s="50" t="n">
        <v>0</v>
      </c>
      <c r="AF73" s="50" t="n">
        <v>0</v>
      </c>
      <c r="AG73" s="50" t="n">
        <v>0</v>
      </c>
      <c r="AH73" s="50" t="n">
        <v>0</v>
      </c>
      <c r="AI73" s="50" t="n">
        <v>0</v>
      </c>
    </row>
    <row r="74" ht="14.25" customHeight="1" s="74">
      <c r="A74" s="2" t="n"/>
      <c r="B74" s="2" t="n"/>
      <c r="C74" s="7" t="inlineStr">
        <is>
          <t>offshore wind</t>
        </is>
      </c>
      <c r="D74" s="50" t="n">
        <v>0</v>
      </c>
      <c r="E74" s="50" t="n">
        <v>0</v>
      </c>
      <c r="F74" s="50" t="n">
        <v>0</v>
      </c>
      <c r="G74" s="50" t="n">
        <v>0</v>
      </c>
      <c r="H74" s="50" t="n">
        <v>0</v>
      </c>
      <c r="I74" s="50" t="n">
        <v>0</v>
      </c>
      <c r="J74" s="50" t="n">
        <v>0</v>
      </c>
      <c r="K74" s="50" t="n">
        <v>0</v>
      </c>
      <c r="L74" s="50" t="n">
        <v>0</v>
      </c>
      <c r="M74" s="50" t="n">
        <v>0</v>
      </c>
      <c r="N74" s="50" t="n">
        <v>0</v>
      </c>
      <c r="O74" s="50" t="n">
        <v>0</v>
      </c>
      <c r="P74" s="50" t="n">
        <v>0</v>
      </c>
      <c r="Q74" s="50" t="n">
        <v>0</v>
      </c>
      <c r="R74" s="50" t="n">
        <v>0</v>
      </c>
      <c r="S74" s="50" t="n">
        <v>0</v>
      </c>
      <c r="T74" s="50" t="n">
        <v>0</v>
      </c>
      <c r="U74" s="50" t="n">
        <v>0</v>
      </c>
      <c r="V74" s="50" t="n">
        <v>0</v>
      </c>
      <c r="W74" s="50" t="n">
        <v>0</v>
      </c>
      <c r="X74" s="50" t="n">
        <v>0</v>
      </c>
      <c r="Y74" s="50" t="n">
        <v>0</v>
      </c>
      <c r="Z74" s="50" t="n">
        <v>0</v>
      </c>
      <c r="AA74" s="50" t="n">
        <v>0</v>
      </c>
      <c r="AB74" s="50" t="n">
        <v>0</v>
      </c>
      <c r="AC74" s="50" t="n">
        <v>0</v>
      </c>
      <c r="AD74" s="50" t="n">
        <v>0</v>
      </c>
      <c r="AE74" s="50" t="n">
        <v>0</v>
      </c>
      <c r="AF74" s="50" t="n">
        <v>0</v>
      </c>
      <c r="AG74" s="50" t="n">
        <v>0</v>
      </c>
      <c r="AH74" s="50" t="n">
        <v>0</v>
      </c>
      <c r="AI74" s="50" t="n">
        <v>0</v>
      </c>
    </row>
    <row r="75" ht="14.25" customHeight="1" s="74">
      <c r="A75" s="2" t="n"/>
      <c r="B75" s="2" t="n"/>
      <c r="C75" s="7" t="inlineStr">
        <is>
          <t>crude oil</t>
        </is>
      </c>
      <c r="D75" s="50" t="n">
        <v>0</v>
      </c>
      <c r="E75" s="50" t="n">
        <v>0</v>
      </c>
      <c r="F75" s="50" t="n">
        <v>0</v>
      </c>
      <c r="G75" s="50" t="n">
        <v>0</v>
      </c>
      <c r="H75" s="50" t="n">
        <v>0</v>
      </c>
      <c r="I75" s="50" t="n">
        <v>0</v>
      </c>
      <c r="J75" s="50" t="n">
        <v>0</v>
      </c>
      <c r="K75" s="50" t="n">
        <v>0</v>
      </c>
      <c r="L75" s="50" t="n">
        <v>0</v>
      </c>
      <c r="M75" s="50" t="n">
        <v>0</v>
      </c>
      <c r="N75" s="50" t="n">
        <v>0</v>
      </c>
      <c r="O75" s="50" t="n">
        <v>0</v>
      </c>
      <c r="P75" s="50" t="n">
        <v>0</v>
      </c>
      <c r="Q75" s="50" t="n">
        <v>0</v>
      </c>
      <c r="R75" s="50" t="n">
        <v>0</v>
      </c>
      <c r="S75" s="50" t="n">
        <v>0</v>
      </c>
      <c r="T75" s="50" t="n">
        <v>0</v>
      </c>
      <c r="U75" s="50" t="n">
        <v>0</v>
      </c>
      <c r="V75" s="50" t="n">
        <v>0</v>
      </c>
      <c r="W75" s="50" t="n">
        <v>0</v>
      </c>
      <c r="X75" s="50" t="n">
        <v>0</v>
      </c>
      <c r="Y75" s="50" t="n">
        <v>0</v>
      </c>
      <c r="Z75" s="50" t="n">
        <v>0</v>
      </c>
      <c r="AA75" s="50" t="n">
        <v>0</v>
      </c>
      <c r="AB75" s="50" t="n">
        <v>0</v>
      </c>
      <c r="AC75" s="50" t="n">
        <v>0</v>
      </c>
      <c r="AD75" s="50" t="n">
        <v>0</v>
      </c>
      <c r="AE75" s="50" t="n">
        <v>0</v>
      </c>
      <c r="AF75" s="50" t="n">
        <v>0</v>
      </c>
      <c r="AG75" s="50" t="n">
        <v>0</v>
      </c>
      <c r="AH75" s="50" t="n">
        <v>0</v>
      </c>
      <c r="AI75" s="50" t="n">
        <v>0</v>
      </c>
    </row>
    <row r="76" ht="14.25" customHeight="1" s="74">
      <c r="A76" s="2" t="n"/>
      <c r="B76" s="2" t="n"/>
      <c r="C76" s="7" t="inlineStr">
        <is>
          <t>heavy or residual fuel oil</t>
        </is>
      </c>
      <c r="D76" s="50" t="n">
        <v>0</v>
      </c>
      <c r="E76" s="50" t="n">
        <v>0</v>
      </c>
      <c r="F76" s="50" t="n">
        <v>0</v>
      </c>
      <c r="G76" s="50" t="n">
        <v>0</v>
      </c>
      <c r="H76" s="50" t="n">
        <v>0</v>
      </c>
      <c r="I76" s="50" t="n">
        <v>0</v>
      </c>
      <c r="J76" s="50" t="n">
        <v>0</v>
      </c>
      <c r="K76" s="50" t="n">
        <v>0</v>
      </c>
      <c r="L76" s="50" t="n">
        <v>0</v>
      </c>
      <c r="M76" s="50" t="n">
        <v>0</v>
      </c>
      <c r="N76" s="50" t="n">
        <v>0</v>
      </c>
      <c r="O76" s="50" t="n">
        <v>0</v>
      </c>
      <c r="P76" s="50" t="n">
        <v>0</v>
      </c>
      <c r="Q76" s="50" t="n">
        <v>0</v>
      </c>
      <c r="R76" s="50" t="n">
        <v>0</v>
      </c>
      <c r="S76" s="50" t="n">
        <v>0</v>
      </c>
      <c r="T76" s="50" t="n">
        <v>0</v>
      </c>
      <c r="U76" s="50" t="n">
        <v>0</v>
      </c>
      <c r="V76" s="50" t="n">
        <v>0</v>
      </c>
      <c r="W76" s="50" t="n">
        <v>0</v>
      </c>
      <c r="X76" s="50" t="n">
        <v>0</v>
      </c>
      <c r="Y76" s="50" t="n">
        <v>0</v>
      </c>
      <c r="Z76" s="50" t="n">
        <v>0</v>
      </c>
      <c r="AA76" s="50" t="n">
        <v>0</v>
      </c>
      <c r="AB76" s="50" t="n">
        <v>0</v>
      </c>
      <c r="AC76" s="50" t="n">
        <v>0</v>
      </c>
      <c r="AD76" s="50" t="n">
        <v>0</v>
      </c>
      <c r="AE76" s="50" t="n">
        <v>0</v>
      </c>
      <c r="AF76" s="50" t="n">
        <v>0</v>
      </c>
      <c r="AG76" s="50" t="n">
        <v>0</v>
      </c>
      <c r="AH76" s="50" t="n">
        <v>0</v>
      </c>
      <c r="AI76" s="50" t="n">
        <v>0</v>
      </c>
    </row>
    <row r="77" ht="14.25" customHeight="1" s="74">
      <c r="A77" s="2" t="n"/>
      <c r="B77" s="2" t="n"/>
      <c r="C77" s="7" t="inlineStr">
        <is>
          <t>municipal solid waste</t>
        </is>
      </c>
      <c r="D77" s="50" t="n">
        <v>0</v>
      </c>
      <c r="E77" s="50" t="n">
        <v>0</v>
      </c>
      <c r="F77" s="50" t="n">
        <v>0</v>
      </c>
      <c r="G77" s="50" t="n">
        <v>0</v>
      </c>
      <c r="H77" s="50" t="n">
        <v>0</v>
      </c>
      <c r="I77" s="50" t="n">
        <v>0</v>
      </c>
      <c r="J77" s="50" t="n">
        <v>0</v>
      </c>
      <c r="K77" s="50" t="n">
        <v>0</v>
      </c>
      <c r="L77" s="50" t="n">
        <v>0</v>
      </c>
      <c r="M77" s="50" t="n">
        <v>0</v>
      </c>
      <c r="N77" s="50" t="n">
        <v>0</v>
      </c>
      <c r="O77" s="50" t="n">
        <v>0</v>
      </c>
      <c r="P77" s="50" t="n">
        <v>0</v>
      </c>
      <c r="Q77" s="50" t="n">
        <v>0</v>
      </c>
      <c r="R77" s="50" t="n">
        <v>0</v>
      </c>
      <c r="S77" s="50" t="n">
        <v>0</v>
      </c>
      <c r="T77" s="50" t="n">
        <v>0</v>
      </c>
      <c r="U77" s="50" t="n">
        <v>0</v>
      </c>
      <c r="V77" s="50" t="n">
        <v>0</v>
      </c>
      <c r="W77" s="50" t="n">
        <v>0</v>
      </c>
      <c r="X77" s="50" t="n">
        <v>0</v>
      </c>
      <c r="Y77" s="50" t="n">
        <v>0</v>
      </c>
      <c r="Z77" s="50" t="n">
        <v>0</v>
      </c>
      <c r="AA77" s="50" t="n">
        <v>0</v>
      </c>
      <c r="AB77" s="50" t="n">
        <v>0</v>
      </c>
      <c r="AC77" s="50" t="n">
        <v>0</v>
      </c>
      <c r="AD77" s="50" t="n">
        <v>0</v>
      </c>
      <c r="AE77" s="50" t="n">
        <v>0</v>
      </c>
      <c r="AF77" s="50" t="n">
        <v>0</v>
      </c>
      <c r="AG77" s="50" t="n">
        <v>0</v>
      </c>
      <c r="AH77" s="50" t="n">
        <v>0</v>
      </c>
      <c r="AI77" s="50" t="n">
        <v>0</v>
      </c>
    </row>
    <row r="78" ht="14.25" customHeight="1" s="74">
      <c r="A78" s="2" t="n"/>
      <c r="B78" s="2" t="n"/>
      <c r="C78" s="2" t="n"/>
      <c r="D78" s="50" t="n"/>
      <c r="E78" s="50" t="n"/>
      <c r="F78" s="50" t="n"/>
      <c r="G78" s="50" t="n"/>
      <c r="H78" s="50" t="n"/>
      <c r="I78" s="50" t="n"/>
      <c r="J78" s="50" t="n"/>
      <c r="K78" s="50" t="n"/>
      <c r="L78" s="50" t="n"/>
      <c r="M78" s="50" t="n"/>
      <c r="N78" s="50" t="n"/>
      <c r="O78" s="50" t="n"/>
      <c r="P78" s="50" t="n"/>
      <c r="Q78" s="50" t="n"/>
      <c r="R78" s="50" t="n"/>
      <c r="S78" s="50" t="n"/>
      <c r="T78" s="50" t="n"/>
      <c r="U78" s="50" t="n"/>
      <c r="V78" s="50" t="n"/>
      <c r="W78" s="50" t="n"/>
      <c r="X78" s="50" t="n"/>
      <c r="Y78" s="50" t="n"/>
      <c r="Z78" s="50" t="n"/>
      <c r="AA78" s="50" t="n"/>
      <c r="AB78" s="50" t="n"/>
      <c r="AC78" s="50" t="n"/>
      <c r="AD78" s="50" t="n"/>
      <c r="AE78" s="50" t="n"/>
      <c r="AF78" s="50" t="n"/>
      <c r="AG78" s="50" t="n"/>
      <c r="AH78" s="50" t="n"/>
      <c r="AI78" s="50" t="n"/>
    </row>
    <row r="79" ht="18" customHeight="1" s="74">
      <c r="A79" s="47" t="inlineStr">
        <is>
          <t>Table 22</t>
        </is>
      </c>
      <c r="B79" s="2" t="n"/>
      <c r="C79" s="2" t="n"/>
      <c r="D79" s="2" t="n"/>
    </row>
    <row r="80" ht="18" customHeight="1" s="74">
      <c r="A80" s="47" t="n"/>
      <c r="B80" s="48" t="inlineStr">
        <is>
          <t>Generating Capacity (gigawatts)</t>
        </is>
      </c>
      <c r="C80" s="2" t="n"/>
      <c r="D80" s="2" t="n"/>
    </row>
    <row r="81" ht="14.25" customHeight="1" s="74">
      <c r="A81" s="2" t="n"/>
      <c r="B81" s="1" t="inlineStr">
        <is>
          <t>BDEQ-BDESC-commercial</t>
        </is>
      </c>
      <c r="C81" s="2" t="n"/>
      <c r="D81" s="2" t="n"/>
    </row>
    <row r="82" ht="14.25" customHeight="1" s="74">
      <c r="A82" s="2" t="n"/>
      <c r="B82" s="2" t="n"/>
      <c r="C82" s="1" t="inlineStr">
        <is>
          <t>MW</t>
        </is>
      </c>
      <c r="D82" s="7" t="n">
        <v>2019</v>
      </c>
      <c r="E82" s="7" t="n">
        <v>2020</v>
      </c>
      <c r="F82" s="7" t="n">
        <v>2021</v>
      </c>
      <c r="G82" s="7" t="n">
        <v>2022</v>
      </c>
      <c r="H82" s="7" t="n">
        <v>2023</v>
      </c>
      <c r="I82" s="7" t="n">
        <v>2024</v>
      </c>
      <c r="J82" s="7" t="n">
        <v>2025</v>
      </c>
      <c r="K82" s="7" t="n">
        <v>2026</v>
      </c>
      <c r="L82" s="7" t="n">
        <v>2027</v>
      </c>
      <c r="M82" s="7" t="n">
        <v>2028</v>
      </c>
      <c r="N82" s="7" t="n">
        <v>2029</v>
      </c>
      <c r="O82" s="7" t="n">
        <v>2030</v>
      </c>
      <c r="P82" s="7" t="n">
        <v>2031</v>
      </c>
      <c r="Q82" s="7" t="n">
        <v>2032</v>
      </c>
      <c r="R82" s="7" t="n">
        <v>2033</v>
      </c>
      <c r="S82" s="7" t="n">
        <v>2034</v>
      </c>
      <c r="T82" s="7" t="n">
        <v>2035</v>
      </c>
      <c r="U82" s="7" t="n">
        <v>2036</v>
      </c>
      <c r="V82" s="7" t="n">
        <v>2037</v>
      </c>
      <c r="W82" s="7" t="n">
        <v>2038</v>
      </c>
      <c r="X82" s="7" t="n">
        <v>2039</v>
      </c>
      <c r="Y82" s="7" t="n">
        <v>2040</v>
      </c>
      <c r="Z82" s="7" t="n">
        <v>2041</v>
      </c>
      <c r="AA82" s="7" t="n">
        <v>2042</v>
      </c>
      <c r="AB82" s="7" t="n">
        <v>2043</v>
      </c>
      <c r="AC82" s="7" t="n">
        <v>2044</v>
      </c>
      <c r="AD82" s="7" t="n">
        <v>2045</v>
      </c>
      <c r="AE82" s="7" t="n">
        <v>2046</v>
      </c>
      <c r="AF82" s="7" t="n">
        <v>2047</v>
      </c>
      <c r="AG82" s="7" t="n">
        <v>2048</v>
      </c>
      <c r="AH82" s="7" t="n">
        <v>2049</v>
      </c>
      <c r="AI82" s="7" t="n">
        <v>2050</v>
      </c>
    </row>
    <row r="83" ht="14.25" customHeight="1" s="74">
      <c r="A83" s="2" t="n"/>
      <c r="B83" s="2" t="n"/>
      <c r="C83" s="7" t="inlineStr">
        <is>
          <t>hard coal</t>
        </is>
      </c>
      <c r="D83" s="50" t="n">
        <v>0</v>
      </c>
      <c r="E83" s="50" t="n">
        <v>0</v>
      </c>
      <c r="F83" s="50" t="n">
        <v>0</v>
      </c>
      <c r="G83" s="50" t="n">
        <v>0</v>
      </c>
      <c r="H83" s="50" t="n">
        <v>0</v>
      </c>
      <c r="I83" s="50" t="n">
        <v>0</v>
      </c>
      <c r="J83" s="50" t="n">
        <v>0</v>
      </c>
      <c r="K83" s="50" t="n">
        <v>0</v>
      </c>
      <c r="L83" s="50" t="n">
        <v>0</v>
      </c>
      <c r="M83" s="50" t="n">
        <v>0</v>
      </c>
      <c r="N83" s="50" t="n">
        <v>0</v>
      </c>
      <c r="O83" s="50" t="n">
        <v>0</v>
      </c>
      <c r="P83" s="50" t="n">
        <v>0</v>
      </c>
      <c r="Q83" s="50" t="n">
        <v>0</v>
      </c>
      <c r="R83" s="50" t="n">
        <v>0</v>
      </c>
      <c r="S83" s="50" t="n">
        <v>0</v>
      </c>
      <c r="T83" s="50" t="n">
        <v>0</v>
      </c>
      <c r="U83" s="50" t="n">
        <v>0</v>
      </c>
      <c r="V83" s="50" t="n">
        <v>0</v>
      </c>
      <c r="W83" s="50" t="n">
        <v>0</v>
      </c>
      <c r="X83" s="50" t="n">
        <v>0</v>
      </c>
      <c r="Y83" s="50" t="n">
        <v>0</v>
      </c>
      <c r="Z83" s="50" t="n">
        <v>0</v>
      </c>
      <c r="AA83" s="50" t="n">
        <v>0</v>
      </c>
      <c r="AB83" s="50" t="n">
        <v>0</v>
      </c>
      <c r="AC83" s="50" t="n">
        <v>0</v>
      </c>
      <c r="AD83" s="50" t="n">
        <v>0</v>
      </c>
      <c r="AE83" s="50" t="n">
        <v>0</v>
      </c>
      <c r="AF83" s="50" t="n">
        <v>0</v>
      </c>
      <c r="AG83" s="50" t="n">
        <v>0</v>
      </c>
      <c r="AH83" s="50" t="n">
        <v>0</v>
      </c>
      <c r="AI83" s="50" t="n">
        <v>0</v>
      </c>
    </row>
    <row r="84" ht="14.25" customHeight="1" s="74">
      <c r="A84" s="2" t="n"/>
      <c r="B84" s="20" t="inlineStr">
        <is>
          <t>CST000:dgc_NaturalGas</t>
        </is>
      </c>
      <c r="C84" s="7" t="inlineStr">
        <is>
          <t>natural gas nonpeaker</t>
        </is>
      </c>
      <c r="D84" s="51" t="n">
        <v>1446.734</v>
      </c>
      <c r="E84" s="51" t="n">
        <v>1484.507</v>
      </c>
      <c r="F84" s="51" t="n">
        <v>1516.112</v>
      </c>
      <c r="G84" s="51" t="n">
        <v>1543.374</v>
      </c>
      <c r="H84" s="51" t="n">
        <v>1566.013</v>
      </c>
      <c r="I84" s="51" t="n">
        <v>1587.561</v>
      </c>
      <c r="J84" s="51" t="n">
        <v>1609.207</v>
      </c>
      <c r="K84" s="51" t="n">
        <v>1631.227</v>
      </c>
      <c r="L84" s="51" t="n">
        <v>1649.275</v>
      </c>
      <c r="M84" s="51" t="n">
        <v>1664.576</v>
      </c>
      <c r="N84" s="51" t="n">
        <v>1679.97</v>
      </c>
      <c r="O84" s="51" t="n">
        <v>1696.677</v>
      </c>
      <c r="P84" s="51" t="n">
        <v>1713.018</v>
      </c>
      <c r="Q84" s="51" t="n">
        <v>1728.432</v>
      </c>
      <c r="R84" s="51" t="n">
        <v>1746.989</v>
      </c>
      <c r="S84" s="51" t="n">
        <v>1762.705</v>
      </c>
      <c r="T84" s="51" t="n">
        <v>1777.228</v>
      </c>
      <c r="U84" s="51" t="n">
        <v>1792.215</v>
      </c>
      <c r="V84" s="51" t="n">
        <v>1806.163</v>
      </c>
      <c r="W84" s="51" t="n">
        <v>1823.97</v>
      </c>
      <c r="X84" s="51" t="n">
        <v>1838.649</v>
      </c>
      <c r="Y84" s="51" t="n">
        <v>1852.565</v>
      </c>
      <c r="Z84" s="51" t="n">
        <v>1869.022</v>
      </c>
      <c r="AA84" s="51" t="n">
        <v>1887.94</v>
      </c>
      <c r="AB84" s="51" t="n">
        <v>1902.329</v>
      </c>
      <c r="AC84" s="51" t="n">
        <v>1920.033</v>
      </c>
      <c r="AD84" s="51" t="n">
        <v>1934.68</v>
      </c>
      <c r="AE84" s="51" t="n">
        <v>1949.327</v>
      </c>
      <c r="AF84" s="51" t="n">
        <v>1965.328</v>
      </c>
      <c r="AG84" s="51" t="n">
        <v>1980.209</v>
      </c>
      <c r="AH84" s="51" t="n">
        <v>1995.049</v>
      </c>
      <c r="AI84" s="51" t="n">
        <v>2009.929</v>
      </c>
    </row>
    <row r="85" ht="14.25" customHeight="1" s="74">
      <c r="A85" s="2" t="n"/>
      <c r="B85" s="2" t="n"/>
      <c r="C85" s="7" t="inlineStr">
        <is>
          <t>nuclear</t>
        </is>
      </c>
      <c r="D85" s="50" t="n">
        <v>0</v>
      </c>
      <c r="E85" s="50" t="n">
        <v>0</v>
      </c>
      <c r="F85" s="50" t="n">
        <v>0</v>
      </c>
      <c r="G85" s="50" t="n">
        <v>0</v>
      </c>
      <c r="H85" s="50" t="n">
        <v>0</v>
      </c>
      <c r="I85" s="50" t="n">
        <v>0</v>
      </c>
      <c r="J85" s="50" t="n">
        <v>0</v>
      </c>
      <c r="K85" s="50" t="n">
        <v>0</v>
      </c>
      <c r="L85" s="50" t="n">
        <v>0</v>
      </c>
      <c r="M85" s="50" t="n">
        <v>0</v>
      </c>
      <c r="N85" s="50" t="n">
        <v>0</v>
      </c>
      <c r="O85" s="50" t="n">
        <v>0</v>
      </c>
      <c r="P85" s="50" t="n">
        <v>0</v>
      </c>
      <c r="Q85" s="50" t="n">
        <v>0</v>
      </c>
      <c r="R85" s="50" t="n">
        <v>0</v>
      </c>
      <c r="S85" s="50" t="n">
        <v>0</v>
      </c>
      <c r="T85" s="50" t="n">
        <v>0</v>
      </c>
      <c r="U85" s="50" t="n">
        <v>0</v>
      </c>
      <c r="V85" s="50" t="n">
        <v>0</v>
      </c>
      <c r="W85" s="50" t="n">
        <v>0</v>
      </c>
      <c r="X85" s="50" t="n">
        <v>0</v>
      </c>
      <c r="Y85" s="50" t="n">
        <v>0</v>
      </c>
      <c r="Z85" s="50" t="n">
        <v>0</v>
      </c>
      <c r="AA85" s="50" t="n">
        <v>0</v>
      </c>
      <c r="AB85" s="50" t="n">
        <v>0</v>
      </c>
      <c r="AC85" s="50" t="n">
        <v>0</v>
      </c>
      <c r="AD85" s="50" t="n">
        <v>0</v>
      </c>
      <c r="AE85" s="50" t="n">
        <v>0</v>
      </c>
      <c r="AF85" s="50" t="n">
        <v>0</v>
      </c>
      <c r="AG85" s="50" t="n">
        <v>0</v>
      </c>
      <c r="AH85" s="50" t="n">
        <v>0</v>
      </c>
      <c r="AI85" s="50" t="n">
        <v>0</v>
      </c>
    </row>
    <row r="86" ht="14.25" customHeight="1" s="74">
      <c r="A86" s="2" t="n"/>
      <c r="B86" s="2" t="n"/>
      <c r="C86" s="7" t="inlineStr">
        <is>
          <t>hydro</t>
        </is>
      </c>
      <c r="D86" s="50" t="n">
        <v>0</v>
      </c>
      <c r="E86" s="50" t="n">
        <v>0</v>
      </c>
      <c r="F86" s="50" t="n">
        <v>0</v>
      </c>
      <c r="G86" s="50" t="n">
        <v>0</v>
      </c>
      <c r="H86" s="50" t="n">
        <v>0</v>
      </c>
      <c r="I86" s="50" t="n">
        <v>0</v>
      </c>
      <c r="J86" s="50" t="n">
        <v>0</v>
      </c>
      <c r="K86" s="50" t="n">
        <v>0</v>
      </c>
      <c r="L86" s="50" t="n">
        <v>0</v>
      </c>
      <c r="M86" s="50" t="n">
        <v>0</v>
      </c>
      <c r="N86" s="50" t="n">
        <v>0</v>
      </c>
      <c r="O86" s="50" t="n">
        <v>0</v>
      </c>
      <c r="P86" s="50" t="n">
        <v>0</v>
      </c>
      <c r="Q86" s="50" t="n">
        <v>0</v>
      </c>
      <c r="R86" s="50" t="n">
        <v>0</v>
      </c>
      <c r="S86" s="50" t="n">
        <v>0</v>
      </c>
      <c r="T86" s="50" t="n">
        <v>0</v>
      </c>
      <c r="U86" s="50" t="n">
        <v>0</v>
      </c>
      <c r="V86" s="50" t="n">
        <v>0</v>
      </c>
      <c r="W86" s="50" t="n">
        <v>0</v>
      </c>
      <c r="X86" s="50" t="n">
        <v>0</v>
      </c>
      <c r="Y86" s="50" t="n">
        <v>0</v>
      </c>
      <c r="Z86" s="50" t="n">
        <v>0</v>
      </c>
      <c r="AA86" s="50" t="n">
        <v>0</v>
      </c>
      <c r="AB86" s="50" t="n">
        <v>0</v>
      </c>
      <c r="AC86" s="50" t="n">
        <v>0</v>
      </c>
      <c r="AD86" s="50" t="n">
        <v>0</v>
      </c>
      <c r="AE86" s="50" t="n">
        <v>0</v>
      </c>
      <c r="AF86" s="50" t="n">
        <v>0</v>
      </c>
      <c r="AG86" s="50" t="n">
        <v>0</v>
      </c>
      <c r="AH86" s="50" t="n">
        <v>0</v>
      </c>
      <c r="AI86" s="50" t="n">
        <v>0</v>
      </c>
    </row>
    <row r="87" ht="14.25" customHeight="1" s="74">
      <c r="A87" s="2" t="n"/>
      <c r="B87" s="20" t="inlineStr">
        <is>
          <t>CST000:dgc_WindPuffPuff</t>
        </is>
      </c>
      <c r="C87" s="7" t="inlineStr">
        <is>
          <t>onshore wind</t>
        </is>
      </c>
      <c r="D87" s="51" t="n">
        <v>554.881</v>
      </c>
      <c r="E87" s="51" t="n">
        <v>554.958</v>
      </c>
      <c r="F87" s="51" t="n">
        <v>555.6560000000001</v>
      </c>
      <c r="G87" s="51" t="n">
        <v>555.8199999999999</v>
      </c>
      <c r="H87" s="51" t="n">
        <v>555.929</v>
      </c>
      <c r="I87" s="51" t="n">
        <v>556.5550000000001</v>
      </c>
      <c r="J87" s="51" t="n">
        <v>557.754</v>
      </c>
      <c r="K87" s="51" t="n">
        <v>560.314</v>
      </c>
      <c r="L87" s="51" t="n">
        <v>562.6799999999999</v>
      </c>
      <c r="M87" s="51" t="n">
        <v>562.717</v>
      </c>
      <c r="N87" s="51" t="n">
        <v>562.754</v>
      </c>
      <c r="O87" s="51" t="n">
        <v>563.812</v>
      </c>
      <c r="P87" s="51" t="n">
        <v>563.883</v>
      </c>
      <c r="Q87" s="51" t="n">
        <v>564.0650000000001</v>
      </c>
      <c r="R87" s="51" t="n">
        <v>564.972</v>
      </c>
      <c r="S87" s="51" t="n">
        <v>565.449</v>
      </c>
      <c r="T87" s="51" t="n">
        <v>565.449</v>
      </c>
      <c r="U87" s="51" t="n">
        <v>565.539</v>
      </c>
      <c r="V87" s="51" t="n">
        <v>565.539</v>
      </c>
      <c r="W87" s="51" t="n">
        <v>566.956</v>
      </c>
      <c r="X87" s="51" t="n">
        <v>568.215</v>
      </c>
      <c r="Y87" s="51" t="n">
        <v>568.215</v>
      </c>
      <c r="Z87" s="51" t="n">
        <v>569.9889999999999</v>
      </c>
      <c r="AA87" s="51" t="n">
        <v>570.308</v>
      </c>
      <c r="AB87" s="51" t="n">
        <v>570.308</v>
      </c>
      <c r="AC87" s="51" t="n">
        <v>570.441</v>
      </c>
      <c r="AD87" s="51" t="n">
        <v>570.476</v>
      </c>
      <c r="AE87" s="51" t="n">
        <v>570.568</v>
      </c>
      <c r="AF87" s="51" t="n">
        <v>570.6949999999999</v>
      </c>
      <c r="AG87" s="51" t="n">
        <v>570.6949999999999</v>
      </c>
      <c r="AH87" s="51" t="n">
        <v>570.6949999999999</v>
      </c>
      <c r="AI87" s="51" t="n">
        <v>570.6949999999999</v>
      </c>
    </row>
    <row r="88" ht="14.25" customHeight="1" s="74">
      <c r="A88" s="2" t="n"/>
      <c r="B88" s="20" t="inlineStr">
        <is>
          <t>CST000:dgc_SolarPhoto</t>
        </is>
      </c>
      <c r="C88" s="7" t="inlineStr">
        <is>
          <t>solar PV</t>
        </is>
      </c>
      <c r="D88" s="51" t="n">
        <v>14908.907</v>
      </c>
      <c r="E88" s="51" t="n">
        <v>17741.758</v>
      </c>
      <c r="F88" s="51" t="n">
        <v>20580.715</v>
      </c>
      <c r="G88" s="51" t="n">
        <v>22638.567</v>
      </c>
      <c r="H88" s="51" t="n">
        <v>23769.951</v>
      </c>
      <c r="I88" s="51" t="n">
        <v>24422.661</v>
      </c>
      <c r="J88" s="51" t="n">
        <v>25725.832</v>
      </c>
      <c r="K88" s="51" t="n">
        <v>27033.279</v>
      </c>
      <c r="L88" s="51" t="n">
        <v>28281.988</v>
      </c>
      <c r="M88" s="51" t="n">
        <v>29205.769</v>
      </c>
      <c r="N88" s="51" t="n">
        <v>30168.118</v>
      </c>
      <c r="O88" s="51" t="n">
        <v>31389.24</v>
      </c>
      <c r="P88" s="51" t="n">
        <v>31883.095</v>
      </c>
      <c r="Q88" s="51" t="n">
        <v>32279.797</v>
      </c>
      <c r="R88" s="51" t="n">
        <v>32968.891</v>
      </c>
      <c r="S88" s="51" t="n">
        <v>33678.925</v>
      </c>
      <c r="T88" s="51" t="n">
        <v>34006.584</v>
      </c>
      <c r="U88" s="51" t="n">
        <v>34825.134</v>
      </c>
      <c r="V88" s="51" t="n">
        <v>35221.157</v>
      </c>
      <c r="W88" s="51" t="n">
        <v>36007.45</v>
      </c>
      <c r="X88" s="51" t="n">
        <v>36477.673</v>
      </c>
      <c r="Y88" s="51" t="n">
        <v>36843.765</v>
      </c>
      <c r="Z88" s="51" t="n">
        <v>37346.619</v>
      </c>
      <c r="AA88" s="51" t="n">
        <v>37853.18</v>
      </c>
      <c r="AB88" s="51" t="n">
        <v>38311.203</v>
      </c>
      <c r="AC88" s="51" t="n">
        <v>38971.264</v>
      </c>
      <c r="AD88" s="51" t="n">
        <v>39456.505</v>
      </c>
      <c r="AE88" s="51" t="n">
        <v>40213.673</v>
      </c>
      <c r="AF88" s="51" t="n">
        <v>40861.725</v>
      </c>
      <c r="AG88" s="51" t="n">
        <v>41413.315</v>
      </c>
      <c r="AH88" s="51" t="n">
        <v>41787.891</v>
      </c>
      <c r="AI88" s="51" t="n">
        <v>42371.319</v>
      </c>
    </row>
    <row r="89" ht="14.25" customHeight="1" s="74">
      <c r="A89" s="2" t="n"/>
      <c r="B89" s="2" t="n"/>
      <c r="C89" s="7" t="inlineStr">
        <is>
          <t>solar thermal</t>
        </is>
      </c>
      <c r="D89" s="50" t="n">
        <v>0</v>
      </c>
      <c r="E89" s="50" t="n">
        <v>0</v>
      </c>
      <c r="F89" s="50" t="n">
        <v>0</v>
      </c>
      <c r="G89" s="50" t="n">
        <v>0</v>
      </c>
      <c r="H89" s="50" t="n">
        <v>0</v>
      </c>
      <c r="I89" s="50" t="n">
        <v>0</v>
      </c>
      <c r="J89" s="50" t="n">
        <v>0</v>
      </c>
      <c r="K89" s="50" t="n">
        <v>0</v>
      </c>
      <c r="L89" s="50" t="n">
        <v>0</v>
      </c>
      <c r="M89" s="50" t="n">
        <v>0</v>
      </c>
      <c r="N89" s="50" t="n">
        <v>0</v>
      </c>
      <c r="O89" s="50" t="n">
        <v>0</v>
      </c>
      <c r="P89" s="50" t="n">
        <v>0</v>
      </c>
      <c r="Q89" s="50" t="n">
        <v>0</v>
      </c>
      <c r="R89" s="50" t="n">
        <v>0</v>
      </c>
      <c r="S89" s="50" t="n">
        <v>0</v>
      </c>
      <c r="T89" s="50" t="n">
        <v>0</v>
      </c>
      <c r="U89" s="50" t="n">
        <v>0</v>
      </c>
      <c r="V89" s="50" t="n">
        <v>0</v>
      </c>
      <c r="W89" s="50" t="n">
        <v>0</v>
      </c>
      <c r="X89" s="50" t="n">
        <v>0</v>
      </c>
      <c r="Y89" s="50" t="n">
        <v>0</v>
      </c>
      <c r="Z89" s="50" t="n">
        <v>0</v>
      </c>
      <c r="AA89" s="50" t="n">
        <v>0</v>
      </c>
      <c r="AB89" s="50" t="n">
        <v>0</v>
      </c>
      <c r="AC89" s="50" t="n">
        <v>0</v>
      </c>
      <c r="AD89" s="50" t="n">
        <v>0</v>
      </c>
      <c r="AE89" s="50" t="n">
        <v>0</v>
      </c>
      <c r="AF89" s="50" t="n">
        <v>0</v>
      </c>
      <c r="AG89" s="50" t="n">
        <v>0</v>
      </c>
      <c r="AH89" s="50" t="n">
        <v>0</v>
      </c>
      <c r="AI89" s="50" t="n">
        <v>0</v>
      </c>
    </row>
    <row r="90" ht="14.25" customHeight="1" s="74">
      <c r="A90" s="2" t="n"/>
      <c r="B90" s="2" t="n"/>
      <c r="C90" s="7" t="inlineStr">
        <is>
          <t>biomass</t>
        </is>
      </c>
      <c r="D90" s="50" t="n">
        <v>0</v>
      </c>
      <c r="E90" s="50" t="n">
        <v>0</v>
      </c>
      <c r="F90" s="50" t="n">
        <v>0</v>
      </c>
      <c r="G90" s="50" t="n">
        <v>0</v>
      </c>
      <c r="H90" s="50" t="n">
        <v>0</v>
      </c>
      <c r="I90" s="50" t="n">
        <v>0</v>
      </c>
      <c r="J90" s="50" t="n">
        <v>0</v>
      </c>
      <c r="K90" s="50" t="n">
        <v>0</v>
      </c>
      <c r="L90" s="50" t="n">
        <v>0</v>
      </c>
      <c r="M90" s="50" t="n">
        <v>0</v>
      </c>
      <c r="N90" s="50" t="n">
        <v>0</v>
      </c>
      <c r="O90" s="50" t="n">
        <v>0</v>
      </c>
      <c r="P90" s="50" t="n">
        <v>0</v>
      </c>
      <c r="Q90" s="50" t="n">
        <v>0</v>
      </c>
      <c r="R90" s="50" t="n">
        <v>0</v>
      </c>
      <c r="S90" s="50" t="n">
        <v>0</v>
      </c>
      <c r="T90" s="50" t="n">
        <v>0</v>
      </c>
      <c r="U90" s="50" t="n">
        <v>0</v>
      </c>
      <c r="V90" s="50" t="n">
        <v>0</v>
      </c>
      <c r="W90" s="50" t="n">
        <v>0</v>
      </c>
      <c r="X90" s="50" t="n">
        <v>0</v>
      </c>
      <c r="Y90" s="50" t="n">
        <v>0</v>
      </c>
      <c r="Z90" s="50" t="n">
        <v>0</v>
      </c>
      <c r="AA90" s="50" t="n">
        <v>0</v>
      </c>
      <c r="AB90" s="50" t="n">
        <v>0</v>
      </c>
      <c r="AC90" s="50" t="n">
        <v>0</v>
      </c>
      <c r="AD90" s="50" t="n">
        <v>0</v>
      </c>
      <c r="AE90" s="50" t="n">
        <v>0</v>
      </c>
      <c r="AF90" s="50" t="n">
        <v>0</v>
      </c>
      <c r="AG90" s="50" t="n">
        <v>0</v>
      </c>
      <c r="AH90" s="50" t="n">
        <v>0</v>
      </c>
      <c r="AI90" s="50" t="n">
        <v>0</v>
      </c>
    </row>
    <row r="91" ht="14.25" customHeight="1" s="74">
      <c r="A91" s="2" t="n"/>
      <c r="B91" s="2" t="n"/>
      <c r="C91" s="7" t="inlineStr">
        <is>
          <t>geothermal</t>
        </is>
      </c>
      <c r="D91" s="50" t="n">
        <v>0</v>
      </c>
      <c r="E91" s="50" t="n">
        <v>0</v>
      </c>
      <c r="F91" s="50" t="n">
        <v>0</v>
      </c>
      <c r="G91" s="50" t="n">
        <v>0</v>
      </c>
      <c r="H91" s="50" t="n">
        <v>0</v>
      </c>
      <c r="I91" s="50" t="n">
        <v>0</v>
      </c>
      <c r="J91" s="50" t="n">
        <v>0</v>
      </c>
      <c r="K91" s="50" t="n">
        <v>0</v>
      </c>
      <c r="L91" s="50" t="n">
        <v>0</v>
      </c>
      <c r="M91" s="50" t="n">
        <v>0</v>
      </c>
      <c r="N91" s="50" t="n">
        <v>0</v>
      </c>
      <c r="O91" s="50" t="n">
        <v>0</v>
      </c>
      <c r="P91" s="50" t="n">
        <v>0</v>
      </c>
      <c r="Q91" s="50" t="n">
        <v>0</v>
      </c>
      <c r="R91" s="50" t="n">
        <v>0</v>
      </c>
      <c r="S91" s="50" t="n">
        <v>0</v>
      </c>
      <c r="T91" s="50" t="n">
        <v>0</v>
      </c>
      <c r="U91" s="50" t="n">
        <v>0</v>
      </c>
      <c r="V91" s="50" t="n">
        <v>0</v>
      </c>
      <c r="W91" s="50" t="n">
        <v>0</v>
      </c>
      <c r="X91" s="50" t="n">
        <v>0</v>
      </c>
      <c r="Y91" s="50" t="n">
        <v>0</v>
      </c>
      <c r="Z91" s="50" t="n">
        <v>0</v>
      </c>
      <c r="AA91" s="50" t="n">
        <v>0</v>
      </c>
      <c r="AB91" s="50" t="n">
        <v>0</v>
      </c>
      <c r="AC91" s="50" t="n">
        <v>0</v>
      </c>
      <c r="AD91" s="50" t="n">
        <v>0</v>
      </c>
      <c r="AE91" s="50" t="n">
        <v>0</v>
      </c>
      <c r="AF91" s="50" t="n">
        <v>0</v>
      </c>
      <c r="AG91" s="50" t="n">
        <v>0</v>
      </c>
      <c r="AH91" s="50" t="n">
        <v>0</v>
      </c>
      <c r="AI91" s="50" t="n">
        <v>0</v>
      </c>
    </row>
    <row r="92" ht="14.25" customHeight="1" s="74">
      <c r="A92" s="2" t="n"/>
      <c r="B92" s="20" t="inlineStr">
        <is>
          <t>CST000:dgc_Petroleum</t>
        </is>
      </c>
      <c r="C92" s="7" t="inlineStr">
        <is>
          <t>petroleum</t>
        </is>
      </c>
      <c r="D92" s="51" t="n">
        <v>21.495</v>
      </c>
      <c r="E92" s="51" t="n">
        <v>21.495</v>
      </c>
      <c r="F92" s="51" t="n">
        <v>21.495</v>
      </c>
      <c r="G92" s="51" t="n">
        <v>21.495</v>
      </c>
      <c r="H92" s="51" t="n">
        <v>21.495</v>
      </c>
      <c r="I92" s="51" t="n">
        <v>21.495</v>
      </c>
      <c r="J92" s="51" t="n">
        <v>21.495</v>
      </c>
      <c r="K92" s="51" t="n">
        <v>21.495</v>
      </c>
      <c r="L92" s="51" t="n">
        <v>21.495</v>
      </c>
      <c r="M92" s="51" t="n">
        <v>21.495</v>
      </c>
      <c r="N92" s="51" t="n">
        <v>21.495</v>
      </c>
      <c r="O92" s="51" t="n">
        <v>21.495</v>
      </c>
      <c r="P92" s="51" t="n">
        <v>21.495</v>
      </c>
      <c r="Q92" s="51" t="n">
        <v>21.495</v>
      </c>
      <c r="R92" s="51" t="n">
        <v>21.495</v>
      </c>
      <c r="S92" s="51" t="n">
        <v>21.495</v>
      </c>
      <c r="T92" s="51" t="n">
        <v>21.495</v>
      </c>
      <c r="U92" s="51" t="n">
        <v>21.495</v>
      </c>
      <c r="V92" s="51" t="n">
        <v>21.495</v>
      </c>
      <c r="W92" s="51" t="n">
        <v>21.495</v>
      </c>
      <c r="X92" s="51" t="n">
        <v>21.495</v>
      </c>
      <c r="Y92" s="51" t="n">
        <v>21.495</v>
      </c>
      <c r="Z92" s="51" t="n">
        <v>21.495</v>
      </c>
      <c r="AA92" s="51" t="n">
        <v>21.495</v>
      </c>
      <c r="AB92" s="51" t="n">
        <v>21.495</v>
      </c>
      <c r="AC92" s="51" t="n">
        <v>21.495</v>
      </c>
      <c r="AD92" s="51" t="n">
        <v>21.495</v>
      </c>
      <c r="AE92" s="51" t="n">
        <v>21.495</v>
      </c>
      <c r="AF92" s="51" t="n">
        <v>21.495</v>
      </c>
      <c r="AG92" s="51" t="n">
        <v>21.495</v>
      </c>
      <c r="AH92" s="51" t="n">
        <v>21.495</v>
      </c>
      <c r="AI92" s="51" t="n">
        <v>21.495</v>
      </c>
    </row>
    <row r="93" ht="14.25" customHeight="1" s="74">
      <c r="A93" s="2" t="n"/>
      <c r="B93" s="2" t="n"/>
      <c r="C93" s="7" t="inlineStr">
        <is>
          <t>natural gas peaker</t>
        </is>
      </c>
      <c r="D93" s="50" t="n">
        <v>0</v>
      </c>
      <c r="E93" s="50" t="n">
        <v>0</v>
      </c>
      <c r="F93" s="50" t="n">
        <v>0</v>
      </c>
      <c r="G93" s="50" t="n">
        <v>0</v>
      </c>
      <c r="H93" s="50" t="n">
        <v>0</v>
      </c>
      <c r="I93" s="50" t="n">
        <v>0</v>
      </c>
      <c r="J93" s="50" t="n">
        <v>0</v>
      </c>
      <c r="K93" s="50" t="n">
        <v>0</v>
      </c>
      <c r="L93" s="50" t="n">
        <v>0</v>
      </c>
      <c r="M93" s="50" t="n">
        <v>0</v>
      </c>
      <c r="N93" s="50" t="n">
        <v>0</v>
      </c>
      <c r="O93" s="50" t="n">
        <v>0</v>
      </c>
      <c r="P93" s="50" t="n">
        <v>0</v>
      </c>
      <c r="Q93" s="50" t="n">
        <v>0</v>
      </c>
      <c r="R93" s="50" t="n">
        <v>0</v>
      </c>
      <c r="S93" s="50" t="n">
        <v>0</v>
      </c>
      <c r="T93" s="50" t="n">
        <v>0</v>
      </c>
      <c r="U93" s="50" t="n">
        <v>0</v>
      </c>
      <c r="V93" s="50" t="n">
        <v>0</v>
      </c>
      <c r="W93" s="50" t="n">
        <v>0</v>
      </c>
      <c r="X93" s="50" t="n">
        <v>0</v>
      </c>
      <c r="Y93" s="50" t="n">
        <v>0</v>
      </c>
      <c r="Z93" s="50" t="n">
        <v>0</v>
      </c>
      <c r="AA93" s="50" t="n">
        <v>0</v>
      </c>
      <c r="AB93" s="50" t="n">
        <v>0</v>
      </c>
      <c r="AC93" s="50" t="n">
        <v>0</v>
      </c>
      <c r="AD93" s="50" t="n">
        <v>0</v>
      </c>
      <c r="AE93" s="50" t="n">
        <v>0</v>
      </c>
      <c r="AF93" s="50" t="n">
        <v>0</v>
      </c>
      <c r="AG93" s="50" t="n">
        <v>0</v>
      </c>
      <c r="AH93" s="50" t="n">
        <v>0</v>
      </c>
      <c r="AI93" s="50" t="n">
        <v>0</v>
      </c>
    </row>
    <row r="94" ht="14.25" customHeight="1" s="74">
      <c r="A94" s="2" t="n"/>
      <c r="B94" s="2" t="n"/>
      <c r="C94" s="7" t="inlineStr">
        <is>
          <t>lignite</t>
        </is>
      </c>
      <c r="D94" s="50" t="n">
        <v>0</v>
      </c>
      <c r="E94" s="50" t="n">
        <v>0</v>
      </c>
      <c r="F94" s="50" t="n">
        <v>0</v>
      </c>
      <c r="G94" s="50" t="n">
        <v>0</v>
      </c>
      <c r="H94" s="50" t="n">
        <v>0</v>
      </c>
      <c r="I94" s="50" t="n">
        <v>0</v>
      </c>
      <c r="J94" s="50" t="n">
        <v>0</v>
      </c>
      <c r="K94" s="50" t="n">
        <v>0</v>
      </c>
      <c r="L94" s="50" t="n">
        <v>0</v>
      </c>
      <c r="M94" s="50" t="n">
        <v>0</v>
      </c>
      <c r="N94" s="50" t="n">
        <v>0</v>
      </c>
      <c r="O94" s="50" t="n">
        <v>0</v>
      </c>
      <c r="P94" s="50" t="n">
        <v>0</v>
      </c>
      <c r="Q94" s="50" t="n">
        <v>0</v>
      </c>
      <c r="R94" s="50" t="n">
        <v>0</v>
      </c>
      <c r="S94" s="50" t="n">
        <v>0</v>
      </c>
      <c r="T94" s="50" t="n">
        <v>0</v>
      </c>
      <c r="U94" s="50" t="n">
        <v>0</v>
      </c>
      <c r="V94" s="50" t="n">
        <v>0</v>
      </c>
      <c r="W94" s="50" t="n">
        <v>0</v>
      </c>
      <c r="X94" s="50" t="n">
        <v>0</v>
      </c>
      <c r="Y94" s="50" t="n">
        <v>0</v>
      </c>
      <c r="Z94" s="50" t="n">
        <v>0</v>
      </c>
      <c r="AA94" s="50" t="n">
        <v>0</v>
      </c>
      <c r="AB94" s="50" t="n">
        <v>0</v>
      </c>
      <c r="AC94" s="50" t="n">
        <v>0</v>
      </c>
      <c r="AD94" s="50" t="n">
        <v>0</v>
      </c>
      <c r="AE94" s="50" t="n">
        <v>0</v>
      </c>
      <c r="AF94" s="50" t="n">
        <v>0</v>
      </c>
      <c r="AG94" s="50" t="n">
        <v>0</v>
      </c>
      <c r="AH94" s="50" t="n">
        <v>0</v>
      </c>
      <c r="AI94" s="50" t="n">
        <v>0</v>
      </c>
    </row>
    <row r="95" ht="14.25" customHeight="1" s="74">
      <c r="A95" s="2" t="n"/>
      <c r="B95" s="2" t="n"/>
      <c r="C95" s="7" t="inlineStr">
        <is>
          <t>offshore wind</t>
        </is>
      </c>
      <c r="D95" s="50" t="n">
        <v>0</v>
      </c>
      <c r="E95" s="50" t="n">
        <v>0</v>
      </c>
      <c r="F95" s="50" t="n">
        <v>0</v>
      </c>
      <c r="G95" s="50" t="n">
        <v>0</v>
      </c>
      <c r="H95" s="50" t="n">
        <v>0</v>
      </c>
      <c r="I95" s="50" t="n">
        <v>0</v>
      </c>
      <c r="J95" s="50" t="n">
        <v>0</v>
      </c>
      <c r="K95" s="50" t="n">
        <v>0</v>
      </c>
      <c r="L95" s="50" t="n">
        <v>0</v>
      </c>
      <c r="M95" s="50" t="n">
        <v>0</v>
      </c>
      <c r="N95" s="50" t="n">
        <v>0</v>
      </c>
      <c r="O95" s="50" t="n">
        <v>0</v>
      </c>
      <c r="P95" s="50" t="n">
        <v>0</v>
      </c>
      <c r="Q95" s="50" t="n">
        <v>0</v>
      </c>
      <c r="R95" s="50" t="n">
        <v>0</v>
      </c>
      <c r="S95" s="50" t="n">
        <v>0</v>
      </c>
      <c r="T95" s="50" t="n">
        <v>0</v>
      </c>
      <c r="U95" s="50" t="n">
        <v>0</v>
      </c>
      <c r="V95" s="50" t="n">
        <v>0</v>
      </c>
      <c r="W95" s="50" t="n">
        <v>0</v>
      </c>
      <c r="X95" s="50" t="n">
        <v>0</v>
      </c>
      <c r="Y95" s="50" t="n">
        <v>0</v>
      </c>
      <c r="Z95" s="50" t="n">
        <v>0</v>
      </c>
      <c r="AA95" s="50" t="n">
        <v>0</v>
      </c>
      <c r="AB95" s="50" t="n">
        <v>0</v>
      </c>
      <c r="AC95" s="50" t="n">
        <v>0</v>
      </c>
      <c r="AD95" s="50" t="n">
        <v>0</v>
      </c>
      <c r="AE95" s="50" t="n">
        <v>0</v>
      </c>
      <c r="AF95" s="50" t="n">
        <v>0</v>
      </c>
      <c r="AG95" s="50" t="n">
        <v>0</v>
      </c>
      <c r="AH95" s="50" t="n">
        <v>0</v>
      </c>
      <c r="AI95" s="50" t="n">
        <v>0</v>
      </c>
    </row>
    <row r="96" ht="14.25" customHeight="1" s="74">
      <c r="A96" s="2" t="n"/>
      <c r="B96" s="2" t="n"/>
      <c r="C96" s="7" t="inlineStr">
        <is>
          <t>crude oil</t>
        </is>
      </c>
      <c r="D96" s="50" t="n">
        <v>0</v>
      </c>
      <c r="E96" s="50" t="n">
        <v>0</v>
      </c>
      <c r="F96" s="50" t="n">
        <v>0</v>
      </c>
      <c r="G96" s="50" t="n">
        <v>0</v>
      </c>
      <c r="H96" s="50" t="n">
        <v>0</v>
      </c>
      <c r="I96" s="50" t="n">
        <v>0</v>
      </c>
      <c r="J96" s="50" t="n">
        <v>0</v>
      </c>
      <c r="K96" s="50" t="n">
        <v>0</v>
      </c>
      <c r="L96" s="50" t="n">
        <v>0</v>
      </c>
      <c r="M96" s="50" t="n">
        <v>0</v>
      </c>
      <c r="N96" s="50" t="n">
        <v>0</v>
      </c>
      <c r="O96" s="50" t="n">
        <v>0</v>
      </c>
      <c r="P96" s="50" t="n">
        <v>0</v>
      </c>
      <c r="Q96" s="50" t="n">
        <v>0</v>
      </c>
      <c r="R96" s="50" t="n">
        <v>0</v>
      </c>
      <c r="S96" s="50" t="n">
        <v>0</v>
      </c>
      <c r="T96" s="50" t="n">
        <v>0</v>
      </c>
      <c r="U96" s="50" t="n">
        <v>0</v>
      </c>
      <c r="V96" s="50" t="n">
        <v>0</v>
      </c>
      <c r="W96" s="50" t="n">
        <v>0</v>
      </c>
      <c r="X96" s="50" t="n">
        <v>0</v>
      </c>
      <c r="Y96" s="50" t="n">
        <v>0</v>
      </c>
      <c r="Z96" s="50" t="n">
        <v>0</v>
      </c>
      <c r="AA96" s="50" t="n">
        <v>0</v>
      </c>
      <c r="AB96" s="50" t="n">
        <v>0</v>
      </c>
      <c r="AC96" s="50" t="n">
        <v>0</v>
      </c>
      <c r="AD96" s="50" t="n">
        <v>0</v>
      </c>
      <c r="AE96" s="50" t="n">
        <v>0</v>
      </c>
      <c r="AF96" s="50" t="n">
        <v>0</v>
      </c>
      <c r="AG96" s="50" t="n">
        <v>0</v>
      </c>
      <c r="AH96" s="50" t="n">
        <v>0</v>
      </c>
      <c r="AI96" s="50" t="n">
        <v>0</v>
      </c>
    </row>
    <row r="97" ht="14.25" customHeight="1" s="74">
      <c r="A97" s="2" t="n"/>
      <c r="B97" s="2" t="n"/>
      <c r="C97" s="7" t="inlineStr">
        <is>
          <t>heavy or residual fuel oil</t>
        </is>
      </c>
      <c r="D97" s="50" t="n">
        <v>0</v>
      </c>
      <c r="E97" s="50" t="n">
        <v>0</v>
      </c>
      <c r="F97" s="50" t="n">
        <v>0</v>
      </c>
      <c r="G97" s="50" t="n">
        <v>0</v>
      </c>
      <c r="H97" s="50" t="n">
        <v>0</v>
      </c>
      <c r="I97" s="50" t="n">
        <v>0</v>
      </c>
      <c r="J97" s="50" t="n">
        <v>0</v>
      </c>
      <c r="K97" s="50" t="n">
        <v>0</v>
      </c>
      <c r="L97" s="50" t="n">
        <v>0</v>
      </c>
      <c r="M97" s="50" t="n">
        <v>0</v>
      </c>
      <c r="N97" s="50" t="n">
        <v>0</v>
      </c>
      <c r="O97" s="50" t="n">
        <v>0</v>
      </c>
      <c r="P97" s="50" t="n">
        <v>0</v>
      </c>
      <c r="Q97" s="50" t="n">
        <v>0</v>
      </c>
      <c r="R97" s="50" t="n">
        <v>0</v>
      </c>
      <c r="S97" s="50" t="n">
        <v>0</v>
      </c>
      <c r="T97" s="50" t="n">
        <v>0</v>
      </c>
      <c r="U97" s="50" t="n">
        <v>0</v>
      </c>
      <c r="V97" s="50" t="n">
        <v>0</v>
      </c>
      <c r="W97" s="50" t="n">
        <v>0</v>
      </c>
      <c r="X97" s="50" t="n">
        <v>0</v>
      </c>
      <c r="Y97" s="50" t="n">
        <v>0</v>
      </c>
      <c r="Z97" s="50" t="n">
        <v>0</v>
      </c>
      <c r="AA97" s="50" t="n">
        <v>0</v>
      </c>
      <c r="AB97" s="50" t="n">
        <v>0</v>
      </c>
      <c r="AC97" s="50" t="n">
        <v>0</v>
      </c>
      <c r="AD97" s="50" t="n">
        <v>0</v>
      </c>
      <c r="AE97" s="50" t="n">
        <v>0</v>
      </c>
      <c r="AF97" s="50" t="n">
        <v>0</v>
      </c>
      <c r="AG97" s="50" t="n">
        <v>0</v>
      </c>
      <c r="AH97" s="50" t="n">
        <v>0</v>
      </c>
      <c r="AI97" s="50" t="n">
        <v>0</v>
      </c>
    </row>
    <row r="98" ht="14.25" customHeight="1" s="74">
      <c r="A98" s="2" t="n"/>
      <c r="B98" s="2" t="n"/>
      <c r="C98" s="7" t="inlineStr">
        <is>
          <t>municipal solid waste</t>
        </is>
      </c>
      <c r="D98" s="50" t="n">
        <v>0</v>
      </c>
      <c r="E98" s="50" t="n">
        <v>0</v>
      </c>
      <c r="F98" s="50" t="n">
        <v>0</v>
      </c>
      <c r="G98" s="50" t="n">
        <v>0</v>
      </c>
      <c r="H98" s="50" t="n">
        <v>0</v>
      </c>
      <c r="I98" s="50" t="n">
        <v>0</v>
      </c>
      <c r="J98" s="50" t="n">
        <v>0</v>
      </c>
      <c r="K98" s="50" t="n">
        <v>0</v>
      </c>
      <c r="L98" s="50" t="n">
        <v>0</v>
      </c>
      <c r="M98" s="50" t="n">
        <v>0</v>
      </c>
      <c r="N98" s="50" t="n">
        <v>0</v>
      </c>
      <c r="O98" s="50" t="n">
        <v>0</v>
      </c>
      <c r="P98" s="50" t="n">
        <v>0</v>
      </c>
      <c r="Q98" s="50" t="n">
        <v>0</v>
      </c>
      <c r="R98" s="50" t="n">
        <v>0</v>
      </c>
      <c r="S98" s="50" t="n">
        <v>0</v>
      </c>
      <c r="T98" s="50" t="n">
        <v>0</v>
      </c>
      <c r="U98" s="50" t="n">
        <v>0</v>
      </c>
      <c r="V98" s="50" t="n">
        <v>0</v>
      </c>
      <c r="W98" s="50" t="n">
        <v>0</v>
      </c>
      <c r="X98" s="50" t="n">
        <v>0</v>
      </c>
      <c r="Y98" s="50" t="n">
        <v>0</v>
      </c>
      <c r="Z98" s="50" t="n">
        <v>0</v>
      </c>
      <c r="AA98" s="50" t="n">
        <v>0</v>
      </c>
      <c r="AB98" s="50" t="n">
        <v>0</v>
      </c>
      <c r="AC98" s="50" t="n">
        <v>0</v>
      </c>
      <c r="AD98" s="50" t="n">
        <v>0</v>
      </c>
      <c r="AE98" s="50" t="n">
        <v>0</v>
      </c>
      <c r="AF98" s="50" t="n">
        <v>0</v>
      </c>
      <c r="AG98" s="50" t="n">
        <v>0</v>
      </c>
      <c r="AH98" s="50" t="n">
        <v>0</v>
      </c>
      <c r="AI98" s="50" t="n">
        <v>0</v>
      </c>
    </row>
    <row r="99" ht="14.25" customHeight="1" s="74">
      <c r="A99" s="2" t="n"/>
      <c r="B99" s="2" t="n"/>
      <c r="C99" s="2" t="n"/>
      <c r="D99" s="50" t="n"/>
      <c r="E99" s="50" t="n"/>
      <c r="F99" s="50" t="n"/>
      <c r="G99" s="50" t="n"/>
      <c r="H99" s="50" t="n"/>
      <c r="I99" s="50" t="n"/>
      <c r="J99" s="50" t="n"/>
      <c r="K99" s="50" t="n"/>
      <c r="L99" s="50" t="n"/>
      <c r="M99" s="50" t="n"/>
      <c r="N99" s="50" t="n"/>
      <c r="O99" s="50" t="n"/>
      <c r="P99" s="50" t="n"/>
      <c r="Q99" s="50" t="n"/>
      <c r="R99" s="50" t="n"/>
      <c r="S99" s="50" t="n"/>
      <c r="T99" s="50" t="n"/>
      <c r="U99" s="50" t="n"/>
      <c r="V99" s="50" t="n"/>
      <c r="W99" s="50" t="n"/>
      <c r="X99" s="50" t="n"/>
      <c r="Y99" s="50" t="n"/>
      <c r="Z99" s="50" t="n"/>
      <c r="AA99" s="50" t="n"/>
      <c r="AB99" s="50" t="n"/>
      <c r="AC99" s="50" t="n"/>
      <c r="AD99" s="50" t="n"/>
      <c r="AE99" s="50" t="n"/>
      <c r="AF99" s="50" t="n"/>
      <c r="AG99" s="50" t="n"/>
      <c r="AH99" s="50" t="n"/>
      <c r="AI99" s="50" t="n"/>
    </row>
    <row r="100" ht="14.25" customHeight="1" s="74">
      <c r="A100" s="2" t="n"/>
      <c r="B100" s="48" t="inlineStr">
        <is>
          <t>Net Generation (billion kilowatthours)</t>
        </is>
      </c>
      <c r="C100" s="2" t="n"/>
      <c r="D100" s="2" t="n"/>
    </row>
    <row r="101" ht="14.25" customHeight="1" s="74">
      <c r="A101" s="2" t="n"/>
      <c r="B101" s="1" t="inlineStr">
        <is>
          <t>BDEQ-BEOfDS-commercial</t>
        </is>
      </c>
      <c r="C101" s="2" t="n"/>
      <c r="D101" s="2" t="n"/>
    </row>
    <row r="102" ht="14.25" customHeight="1" s="74">
      <c r="A102" s="2" t="n"/>
      <c r="B102" s="2" t="n"/>
      <c r="C102" s="1" t="inlineStr">
        <is>
          <t>MW*hour</t>
        </is>
      </c>
      <c r="D102" s="7" t="n">
        <v>2019</v>
      </c>
      <c r="E102" s="7" t="n">
        <v>2020</v>
      </c>
      <c r="F102" s="7" t="n">
        <v>2021</v>
      </c>
      <c r="G102" s="7" t="n">
        <v>2022</v>
      </c>
      <c r="H102" s="7" t="n">
        <v>2023</v>
      </c>
      <c r="I102" s="7" t="n">
        <v>2024</v>
      </c>
      <c r="J102" s="7" t="n">
        <v>2025</v>
      </c>
      <c r="K102" s="7" t="n">
        <v>2026</v>
      </c>
      <c r="L102" s="7" t="n">
        <v>2027</v>
      </c>
      <c r="M102" s="7" t="n">
        <v>2028</v>
      </c>
      <c r="N102" s="7" t="n">
        <v>2029</v>
      </c>
      <c r="O102" s="7" t="n">
        <v>2030</v>
      </c>
      <c r="P102" s="7" t="n">
        <v>2031</v>
      </c>
      <c r="Q102" s="7" t="n">
        <v>2032</v>
      </c>
      <c r="R102" s="7" t="n">
        <v>2033</v>
      </c>
      <c r="S102" s="7" t="n">
        <v>2034</v>
      </c>
      <c r="T102" s="7" t="n">
        <v>2035</v>
      </c>
      <c r="U102" s="7" t="n">
        <v>2036</v>
      </c>
      <c r="V102" s="7" t="n">
        <v>2037</v>
      </c>
      <c r="W102" s="7" t="n">
        <v>2038</v>
      </c>
      <c r="X102" s="7" t="n">
        <v>2039</v>
      </c>
      <c r="Y102" s="7" t="n">
        <v>2040</v>
      </c>
      <c r="Z102" s="7" t="n">
        <v>2041</v>
      </c>
      <c r="AA102" s="7" t="n">
        <v>2042</v>
      </c>
      <c r="AB102" s="7" t="n">
        <v>2043</v>
      </c>
      <c r="AC102" s="7" t="n">
        <v>2044</v>
      </c>
      <c r="AD102" s="7" t="n">
        <v>2045</v>
      </c>
      <c r="AE102" s="7" t="n">
        <v>2046</v>
      </c>
      <c r="AF102" s="7" t="n">
        <v>2047</v>
      </c>
      <c r="AG102" s="7" t="n">
        <v>2048</v>
      </c>
      <c r="AH102" s="7" t="n">
        <v>2049</v>
      </c>
      <c r="AI102" s="7" t="n">
        <v>2050</v>
      </c>
    </row>
    <row r="103" ht="14.25" customHeight="1" s="74">
      <c r="A103" s="2" t="n"/>
      <c r="B103" s="2" t="n"/>
      <c r="C103" s="7" t="inlineStr">
        <is>
          <t>hard coal</t>
        </is>
      </c>
      <c r="D103" s="50" t="n">
        <v>0</v>
      </c>
      <c r="E103" s="50" t="n">
        <v>0</v>
      </c>
      <c r="F103" s="50" t="n">
        <v>0</v>
      </c>
      <c r="G103" s="50" t="n">
        <v>0</v>
      </c>
      <c r="H103" s="50" t="n">
        <v>0</v>
      </c>
      <c r="I103" s="50" t="n">
        <v>0</v>
      </c>
      <c r="J103" s="50" t="n">
        <v>0</v>
      </c>
      <c r="K103" s="50" t="n">
        <v>0</v>
      </c>
      <c r="L103" s="50" t="n">
        <v>0</v>
      </c>
      <c r="M103" s="50" t="n">
        <v>0</v>
      </c>
      <c r="N103" s="50" t="n">
        <v>0</v>
      </c>
      <c r="O103" s="50" t="n">
        <v>0</v>
      </c>
      <c r="P103" s="50" t="n">
        <v>0</v>
      </c>
      <c r="Q103" s="50" t="n">
        <v>0</v>
      </c>
      <c r="R103" s="50" t="n">
        <v>0</v>
      </c>
      <c r="S103" s="50" t="n">
        <v>0</v>
      </c>
      <c r="T103" s="50" t="n">
        <v>0</v>
      </c>
      <c r="U103" s="50" t="n">
        <v>0</v>
      </c>
      <c r="V103" s="50" t="n">
        <v>0</v>
      </c>
      <c r="W103" s="50" t="n">
        <v>0</v>
      </c>
      <c r="X103" s="50" t="n">
        <v>0</v>
      </c>
      <c r="Y103" s="50" t="n">
        <v>0</v>
      </c>
      <c r="Z103" s="50" t="n">
        <v>0</v>
      </c>
      <c r="AA103" s="50" t="n">
        <v>0</v>
      </c>
      <c r="AB103" s="50" t="n">
        <v>0</v>
      </c>
      <c r="AC103" s="50" t="n">
        <v>0</v>
      </c>
      <c r="AD103" s="50" t="n">
        <v>0</v>
      </c>
      <c r="AE103" s="50" t="n">
        <v>0</v>
      </c>
      <c r="AF103" s="50" t="n">
        <v>0</v>
      </c>
      <c r="AG103" s="50" t="n">
        <v>0</v>
      </c>
      <c r="AH103" s="50" t="n">
        <v>0</v>
      </c>
      <c r="AI103" s="50" t="n">
        <v>0</v>
      </c>
    </row>
    <row r="104" ht="14.25" customHeight="1" s="74">
      <c r="A104" s="2" t="n"/>
      <c r="B104" s="20" t="inlineStr">
        <is>
          <t>CST000:dgg_NaturalGas</t>
        </is>
      </c>
      <c r="C104" s="7" t="inlineStr">
        <is>
          <t>natural gas nonpeaker</t>
        </is>
      </c>
      <c r="D104" s="51" t="n">
        <v>10090967</v>
      </c>
      <c r="E104" s="51" t="n">
        <v>10354434</v>
      </c>
      <c r="F104" s="51" t="n">
        <v>10574880</v>
      </c>
      <c r="G104" s="51" t="n">
        <v>10765036</v>
      </c>
      <c r="H104" s="51" t="n">
        <v>10922941</v>
      </c>
      <c r="I104" s="51" t="n">
        <v>11073236</v>
      </c>
      <c r="J104" s="51" t="n">
        <v>11224220</v>
      </c>
      <c r="K104" s="51" t="n">
        <v>11377805</v>
      </c>
      <c r="L104" s="51" t="n">
        <v>11503692</v>
      </c>
      <c r="M104" s="51" t="n">
        <v>11610416</v>
      </c>
      <c r="N104" s="51" t="n">
        <v>11717788</v>
      </c>
      <c r="O104" s="51" t="n">
        <v>11834324</v>
      </c>
      <c r="P104" s="51" t="n">
        <v>11948298</v>
      </c>
      <c r="Q104" s="51" t="n">
        <v>12055812</v>
      </c>
      <c r="R104" s="51" t="n">
        <v>12185250</v>
      </c>
      <c r="S104" s="51" t="n">
        <v>12294869</v>
      </c>
      <c r="T104" s="51" t="n">
        <v>12396165</v>
      </c>
      <c r="U104" s="51" t="n">
        <v>12500697</v>
      </c>
      <c r="V104" s="51" t="n">
        <v>12597983</v>
      </c>
      <c r="W104" s="51" t="n">
        <v>12722192</v>
      </c>
      <c r="X104" s="51" t="n">
        <v>12824580</v>
      </c>
      <c r="Y104" s="51" t="n">
        <v>12921640</v>
      </c>
      <c r="Z104" s="51" t="n">
        <v>13036425</v>
      </c>
      <c r="AA104" s="51" t="n">
        <v>13168379</v>
      </c>
      <c r="AB104" s="51" t="n">
        <v>13268743</v>
      </c>
      <c r="AC104" s="51" t="n">
        <v>13392224</v>
      </c>
      <c r="AD104" s="51" t="n">
        <v>13494390</v>
      </c>
      <c r="AE104" s="51" t="n">
        <v>13596555</v>
      </c>
      <c r="AF104" s="51" t="n">
        <v>13708164</v>
      </c>
      <c r="AG104" s="51" t="n">
        <v>13811955</v>
      </c>
      <c r="AH104" s="51" t="n">
        <v>13915467</v>
      </c>
      <c r="AI104" s="51" t="n">
        <v>14019253</v>
      </c>
    </row>
    <row r="105" ht="14.25" customHeight="1" s="74">
      <c r="A105" s="2" t="n"/>
      <c r="B105" s="2" t="n"/>
      <c r="C105" s="7" t="inlineStr">
        <is>
          <t>nuclear</t>
        </is>
      </c>
      <c r="D105" s="50" t="n">
        <v>0</v>
      </c>
      <c r="E105" s="50" t="n">
        <v>0</v>
      </c>
      <c r="F105" s="50" t="n">
        <v>0</v>
      </c>
      <c r="G105" s="50" t="n">
        <v>0</v>
      </c>
      <c r="H105" s="50" t="n">
        <v>0</v>
      </c>
      <c r="I105" s="50" t="n">
        <v>0</v>
      </c>
      <c r="J105" s="50" t="n">
        <v>0</v>
      </c>
      <c r="K105" s="50" t="n">
        <v>0</v>
      </c>
      <c r="L105" s="50" t="n">
        <v>0</v>
      </c>
      <c r="M105" s="50" t="n">
        <v>0</v>
      </c>
      <c r="N105" s="50" t="n">
        <v>0</v>
      </c>
      <c r="O105" s="50" t="n">
        <v>0</v>
      </c>
      <c r="P105" s="50" t="n">
        <v>0</v>
      </c>
      <c r="Q105" s="50" t="n">
        <v>0</v>
      </c>
      <c r="R105" s="50" t="n">
        <v>0</v>
      </c>
      <c r="S105" s="50" t="n">
        <v>0</v>
      </c>
      <c r="T105" s="50" t="n">
        <v>0</v>
      </c>
      <c r="U105" s="50" t="n">
        <v>0</v>
      </c>
      <c r="V105" s="50" t="n">
        <v>0</v>
      </c>
      <c r="W105" s="50" t="n">
        <v>0</v>
      </c>
      <c r="X105" s="50" t="n">
        <v>0</v>
      </c>
      <c r="Y105" s="50" t="n">
        <v>0</v>
      </c>
      <c r="Z105" s="50" t="n">
        <v>0</v>
      </c>
      <c r="AA105" s="50" t="n">
        <v>0</v>
      </c>
      <c r="AB105" s="50" t="n">
        <v>0</v>
      </c>
      <c r="AC105" s="50" t="n">
        <v>0</v>
      </c>
      <c r="AD105" s="50" t="n">
        <v>0</v>
      </c>
      <c r="AE105" s="50" t="n">
        <v>0</v>
      </c>
      <c r="AF105" s="50" t="n">
        <v>0</v>
      </c>
      <c r="AG105" s="50" t="n">
        <v>0</v>
      </c>
      <c r="AH105" s="50" t="n">
        <v>0</v>
      </c>
      <c r="AI105" s="50" t="n">
        <v>0</v>
      </c>
    </row>
    <row r="106" ht="14.25" customHeight="1" s="74">
      <c r="A106" s="2" t="n"/>
      <c r="B106" s="2" t="n"/>
      <c r="C106" s="7" t="inlineStr">
        <is>
          <t>hydro</t>
        </is>
      </c>
      <c r="D106" s="50" t="n">
        <v>0</v>
      </c>
      <c r="E106" s="50" t="n">
        <v>0</v>
      </c>
      <c r="F106" s="50" t="n">
        <v>0</v>
      </c>
      <c r="G106" s="50" t="n">
        <v>0</v>
      </c>
      <c r="H106" s="50" t="n">
        <v>0</v>
      </c>
      <c r="I106" s="50" t="n">
        <v>0</v>
      </c>
      <c r="J106" s="50" t="n">
        <v>0</v>
      </c>
      <c r="K106" s="50" t="n">
        <v>0</v>
      </c>
      <c r="L106" s="50" t="n">
        <v>0</v>
      </c>
      <c r="M106" s="50" t="n">
        <v>0</v>
      </c>
      <c r="N106" s="50" t="n">
        <v>0</v>
      </c>
      <c r="O106" s="50" t="n">
        <v>0</v>
      </c>
      <c r="P106" s="50" t="n">
        <v>0</v>
      </c>
      <c r="Q106" s="50" t="n">
        <v>0</v>
      </c>
      <c r="R106" s="50" t="n">
        <v>0</v>
      </c>
      <c r="S106" s="50" t="n">
        <v>0</v>
      </c>
      <c r="T106" s="50" t="n">
        <v>0</v>
      </c>
      <c r="U106" s="50" t="n">
        <v>0</v>
      </c>
      <c r="V106" s="50" t="n">
        <v>0</v>
      </c>
      <c r="W106" s="50" t="n">
        <v>0</v>
      </c>
      <c r="X106" s="50" t="n">
        <v>0</v>
      </c>
      <c r="Y106" s="50" t="n">
        <v>0</v>
      </c>
      <c r="Z106" s="50" t="n">
        <v>0</v>
      </c>
      <c r="AA106" s="50" t="n">
        <v>0</v>
      </c>
      <c r="AB106" s="50" t="n">
        <v>0</v>
      </c>
      <c r="AC106" s="50" t="n">
        <v>0</v>
      </c>
      <c r="AD106" s="50" t="n">
        <v>0</v>
      </c>
      <c r="AE106" s="50" t="n">
        <v>0</v>
      </c>
      <c r="AF106" s="50" t="n">
        <v>0</v>
      </c>
      <c r="AG106" s="50" t="n">
        <v>0</v>
      </c>
      <c r="AH106" s="50" t="n">
        <v>0</v>
      </c>
      <c r="AI106" s="50" t="n">
        <v>0</v>
      </c>
    </row>
    <row r="107" ht="14.25" customHeight="1" s="74">
      <c r="A107" s="2" t="n"/>
      <c r="B107" s="20" t="inlineStr">
        <is>
          <t>CST000:dgg_WindHuffHuff</t>
        </is>
      </c>
      <c r="C107" s="7" t="inlineStr">
        <is>
          <t>onshore wind</t>
        </is>
      </c>
      <c r="D107" s="51" t="n">
        <v>755308</v>
      </c>
      <c r="E107" s="51" t="n">
        <v>755411</v>
      </c>
      <c r="F107" s="51" t="n">
        <v>756583</v>
      </c>
      <c r="G107" s="51" t="n">
        <v>756810</v>
      </c>
      <c r="H107" s="51" t="n">
        <v>756943</v>
      </c>
      <c r="I107" s="51" t="n">
        <v>757979</v>
      </c>
      <c r="J107" s="51" t="n">
        <v>759913</v>
      </c>
      <c r="K107" s="51" t="n">
        <v>764157</v>
      </c>
      <c r="L107" s="51" t="n">
        <v>768105</v>
      </c>
      <c r="M107" s="51" t="n">
        <v>768150</v>
      </c>
      <c r="N107" s="51" t="n">
        <v>768196</v>
      </c>
      <c r="O107" s="51" t="n">
        <v>769939</v>
      </c>
      <c r="P107" s="51" t="n">
        <v>770028</v>
      </c>
      <c r="Q107" s="51" t="n">
        <v>770326</v>
      </c>
      <c r="R107" s="51" t="n">
        <v>771841</v>
      </c>
      <c r="S107" s="51" t="n">
        <v>772625</v>
      </c>
      <c r="T107" s="51" t="n">
        <v>772625</v>
      </c>
      <c r="U107" s="51" t="n">
        <v>772776</v>
      </c>
      <c r="V107" s="51" t="n">
        <v>772776</v>
      </c>
      <c r="W107" s="51" t="n">
        <v>775156</v>
      </c>
      <c r="X107" s="51" t="n">
        <v>777270</v>
      </c>
      <c r="Y107" s="51" t="n">
        <v>777270</v>
      </c>
      <c r="Z107" s="51" t="n">
        <v>780248</v>
      </c>
      <c r="AA107" s="51" t="n">
        <v>780775</v>
      </c>
      <c r="AB107" s="51" t="n">
        <v>780775</v>
      </c>
      <c r="AC107" s="51" t="n">
        <v>780999</v>
      </c>
      <c r="AD107" s="51" t="n">
        <v>781058</v>
      </c>
      <c r="AE107" s="51" t="n">
        <v>781196</v>
      </c>
      <c r="AF107" s="51" t="n">
        <v>781393</v>
      </c>
      <c r="AG107" s="51" t="n">
        <v>781393</v>
      </c>
      <c r="AH107" s="51" t="n">
        <v>781393</v>
      </c>
      <c r="AI107" s="51" t="n">
        <v>781393</v>
      </c>
    </row>
    <row r="108" ht="14.25" customHeight="1" s="74">
      <c r="A108" s="2" t="n"/>
      <c r="B108" s="20" t="inlineStr">
        <is>
          <t>CST000:dgg_SolarPhoto</t>
        </is>
      </c>
      <c r="C108" s="7" t="inlineStr">
        <is>
          <t>solar PV</t>
        </is>
      </c>
      <c r="D108" s="51" t="n">
        <v>18837549</v>
      </c>
      <c r="E108" s="51" t="n">
        <v>22416910</v>
      </c>
      <c r="F108" s="51" t="n">
        <v>26004009</v>
      </c>
      <c r="G108" s="51" t="n">
        <v>28604086</v>
      </c>
      <c r="H108" s="51" t="n">
        <v>30033560</v>
      </c>
      <c r="I108" s="51" t="n">
        <v>30867208</v>
      </c>
      <c r="J108" s="51" t="n">
        <v>32540672</v>
      </c>
      <c r="K108" s="51" t="n">
        <v>34201900</v>
      </c>
      <c r="L108" s="51" t="n">
        <v>35773468</v>
      </c>
      <c r="M108" s="51" t="n">
        <v>36975719</v>
      </c>
      <c r="N108" s="51" t="n">
        <v>38260967</v>
      </c>
      <c r="O108" s="51" t="n">
        <v>39836559</v>
      </c>
      <c r="P108" s="51" t="n">
        <v>40503922</v>
      </c>
      <c r="Q108" s="51" t="n">
        <v>41027443</v>
      </c>
      <c r="R108" s="51" t="n">
        <v>41899254</v>
      </c>
      <c r="S108" s="51" t="n">
        <v>42818336</v>
      </c>
      <c r="T108" s="51" t="n">
        <v>43256069</v>
      </c>
      <c r="U108" s="51" t="n">
        <v>44295830</v>
      </c>
      <c r="V108" s="51" t="n">
        <v>44822124</v>
      </c>
      <c r="W108" s="51" t="n">
        <v>45788025</v>
      </c>
      <c r="X108" s="51" t="n">
        <v>46380821</v>
      </c>
      <c r="Y108" s="51" t="n">
        <v>46859875</v>
      </c>
      <c r="Z108" s="51" t="n">
        <v>47491077</v>
      </c>
      <c r="AA108" s="51" t="n">
        <v>48106064</v>
      </c>
      <c r="AB108" s="51" t="n">
        <v>48723824</v>
      </c>
      <c r="AC108" s="51" t="n">
        <v>49537178</v>
      </c>
      <c r="AD108" s="51" t="n">
        <v>50152237</v>
      </c>
      <c r="AE108" s="51" t="n">
        <v>51137211</v>
      </c>
      <c r="AF108" s="51" t="n">
        <v>51955509</v>
      </c>
      <c r="AG108" s="51" t="n">
        <v>52667110</v>
      </c>
      <c r="AH108" s="51" t="n">
        <v>53170837</v>
      </c>
      <c r="AI108" s="51" t="n">
        <v>53918415</v>
      </c>
    </row>
    <row r="109" ht="14.25" customHeight="1" s="74">
      <c r="A109" s="2" t="n"/>
      <c r="B109" s="2" t="n"/>
      <c r="C109" s="7" t="inlineStr">
        <is>
          <t>solar thermal</t>
        </is>
      </c>
      <c r="D109" s="50" t="n">
        <v>0</v>
      </c>
      <c r="E109" s="50" t="n">
        <v>0</v>
      </c>
      <c r="F109" s="50" t="n">
        <v>0</v>
      </c>
      <c r="G109" s="50" t="n">
        <v>0</v>
      </c>
      <c r="H109" s="50" t="n">
        <v>0</v>
      </c>
      <c r="I109" s="50" t="n">
        <v>0</v>
      </c>
      <c r="J109" s="50" t="n">
        <v>0</v>
      </c>
      <c r="K109" s="50" t="n">
        <v>0</v>
      </c>
      <c r="L109" s="50" t="n">
        <v>0</v>
      </c>
      <c r="M109" s="50" t="n">
        <v>0</v>
      </c>
      <c r="N109" s="50" t="n">
        <v>0</v>
      </c>
      <c r="O109" s="50" t="n">
        <v>0</v>
      </c>
      <c r="P109" s="50" t="n">
        <v>0</v>
      </c>
      <c r="Q109" s="50" t="n">
        <v>0</v>
      </c>
      <c r="R109" s="50" t="n">
        <v>0</v>
      </c>
      <c r="S109" s="50" t="n">
        <v>0</v>
      </c>
      <c r="T109" s="50" t="n">
        <v>0</v>
      </c>
      <c r="U109" s="50" t="n">
        <v>0</v>
      </c>
      <c r="V109" s="50" t="n">
        <v>0</v>
      </c>
      <c r="W109" s="50" t="n">
        <v>0</v>
      </c>
      <c r="X109" s="50" t="n">
        <v>0</v>
      </c>
      <c r="Y109" s="50" t="n">
        <v>0</v>
      </c>
      <c r="Z109" s="50" t="n">
        <v>0</v>
      </c>
      <c r="AA109" s="50" t="n">
        <v>0</v>
      </c>
      <c r="AB109" s="50" t="n">
        <v>0</v>
      </c>
      <c r="AC109" s="50" t="n">
        <v>0</v>
      </c>
      <c r="AD109" s="50" t="n">
        <v>0</v>
      </c>
      <c r="AE109" s="50" t="n">
        <v>0</v>
      </c>
      <c r="AF109" s="50" t="n">
        <v>0</v>
      </c>
      <c r="AG109" s="50" t="n">
        <v>0</v>
      </c>
      <c r="AH109" s="50" t="n">
        <v>0</v>
      </c>
      <c r="AI109" s="50" t="n">
        <v>0</v>
      </c>
    </row>
    <row r="110" ht="14.25" customHeight="1" s="74">
      <c r="A110" s="2" t="n"/>
      <c r="B110" s="2" t="n"/>
      <c r="C110" s="7" t="inlineStr">
        <is>
          <t>biomass</t>
        </is>
      </c>
      <c r="D110" s="50" t="n">
        <v>0</v>
      </c>
      <c r="E110" s="50" t="n">
        <v>0</v>
      </c>
      <c r="F110" s="50" t="n">
        <v>0</v>
      </c>
      <c r="G110" s="50" t="n">
        <v>0</v>
      </c>
      <c r="H110" s="50" t="n">
        <v>0</v>
      </c>
      <c r="I110" s="50" t="n">
        <v>0</v>
      </c>
      <c r="J110" s="50" t="n">
        <v>0</v>
      </c>
      <c r="K110" s="50" t="n">
        <v>0</v>
      </c>
      <c r="L110" s="50" t="n">
        <v>0</v>
      </c>
      <c r="M110" s="50" t="n">
        <v>0</v>
      </c>
      <c r="N110" s="50" t="n">
        <v>0</v>
      </c>
      <c r="O110" s="50" t="n">
        <v>0</v>
      </c>
      <c r="P110" s="50" t="n">
        <v>0</v>
      </c>
      <c r="Q110" s="50" t="n">
        <v>0</v>
      </c>
      <c r="R110" s="50" t="n">
        <v>0</v>
      </c>
      <c r="S110" s="50" t="n">
        <v>0</v>
      </c>
      <c r="T110" s="50" t="n">
        <v>0</v>
      </c>
      <c r="U110" s="50" t="n">
        <v>0</v>
      </c>
      <c r="V110" s="50" t="n">
        <v>0</v>
      </c>
      <c r="W110" s="50" t="n">
        <v>0</v>
      </c>
      <c r="X110" s="50" t="n">
        <v>0</v>
      </c>
      <c r="Y110" s="50" t="n">
        <v>0</v>
      </c>
      <c r="Z110" s="50" t="n">
        <v>0</v>
      </c>
      <c r="AA110" s="50" t="n">
        <v>0</v>
      </c>
      <c r="AB110" s="50" t="n">
        <v>0</v>
      </c>
      <c r="AC110" s="50" t="n">
        <v>0</v>
      </c>
      <c r="AD110" s="50" t="n">
        <v>0</v>
      </c>
      <c r="AE110" s="50" t="n">
        <v>0</v>
      </c>
      <c r="AF110" s="50" t="n">
        <v>0</v>
      </c>
      <c r="AG110" s="50" t="n">
        <v>0</v>
      </c>
      <c r="AH110" s="50" t="n">
        <v>0</v>
      </c>
      <c r="AI110" s="50" t="n">
        <v>0</v>
      </c>
    </row>
    <row r="111" ht="14.25" customHeight="1" s="74">
      <c r="A111" s="2" t="n"/>
      <c r="B111" s="2" t="n"/>
      <c r="C111" s="7" t="inlineStr">
        <is>
          <t>geothermal</t>
        </is>
      </c>
      <c r="D111" s="50" t="n">
        <v>0</v>
      </c>
      <c r="E111" s="50" t="n">
        <v>0</v>
      </c>
      <c r="F111" s="50" t="n">
        <v>0</v>
      </c>
      <c r="G111" s="50" t="n">
        <v>0</v>
      </c>
      <c r="H111" s="50" t="n">
        <v>0</v>
      </c>
      <c r="I111" s="50" t="n">
        <v>0</v>
      </c>
      <c r="J111" s="50" t="n">
        <v>0</v>
      </c>
      <c r="K111" s="50" t="n">
        <v>0</v>
      </c>
      <c r="L111" s="50" t="n">
        <v>0</v>
      </c>
      <c r="M111" s="50" t="n">
        <v>0</v>
      </c>
      <c r="N111" s="50" t="n">
        <v>0</v>
      </c>
      <c r="O111" s="50" t="n">
        <v>0</v>
      </c>
      <c r="P111" s="50" t="n">
        <v>0</v>
      </c>
      <c r="Q111" s="50" t="n">
        <v>0</v>
      </c>
      <c r="R111" s="50" t="n">
        <v>0</v>
      </c>
      <c r="S111" s="50" t="n">
        <v>0</v>
      </c>
      <c r="T111" s="50" t="n">
        <v>0</v>
      </c>
      <c r="U111" s="50" t="n">
        <v>0</v>
      </c>
      <c r="V111" s="50" t="n">
        <v>0</v>
      </c>
      <c r="W111" s="50" t="n">
        <v>0</v>
      </c>
      <c r="X111" s="50" t="n">
        <v>0</v>
      </c>
      <c r="Y111" s="50" t="n">
        <v>0</v>
      </c>
      <c r="Z111" s="50" t="n">
        <v>0</v>
      </c>
      <c r="AA111" s="50" t="n">
        <v>0</v>
      </c>
      <c r="AB111" s="50" t="n">
        <v>0</v>
      </c>
      <c r="AC111" s="50" t="n">
        <v>0</v>
      </c>
      <c r="AD111" s="50" t="n">
        <v>0</v>
      </c>
      <c r="AE111" s="50" t="n">
        <v>0</v>
      </c>
      <c r="AF111" s="50" t="n">
        <v>0</v>
      </c>
      <c r="AG111" s="50" t="n">
        <v>0</v>
      </c>
      <c r="AH111" s="50" t="n">
        <v>0</v>
      </c>
      <c r="AI111" s="50" t="n">
        <v>0</v>
      </c>
    </row>
    <row r="112" ht="14.25" customHeight="1" s="74">
      <c r="A112" s="2" t="n"/>
      <c r="B112" s="20" t="inlineStr">
        <is>
          <t>CST000:dgg_Petroleum</t>
        </is>
      </c>
      <c r="C112" s="7" t="inlineStr">
        <is>
          <t>petroleum</t>
        </is>
      </c>
      <c r="D112" s="51" t="n">
        <v>149925</v>
      </c>
      <c r="E112" s="51" t="n">
        <v>149925</v>
      </c>
      <c r="F112" s="51" t="n">
        <v>149925</v>
      </c>
      <c r="G112" s="51" t="n">
        <v>149925</v>
      </c>
      <c r="H112" s="51" t="n">
        <v>149925</v>
      </c>
      <c r="I112" s="51" t="n">
        <v>149925</v>
      </c>
      <c r="J112" s="51" t="n">
        <v>149925</v>
      </c>
      <c r="K112" s="51" t="n">
        <v>149925</v>
      </c>
      <c r="L112" s="51" t="n">
        <v>149925</v>
      </c>
      <c r="M112" s="51" t="n">
        <v>149925</v>
      </c>
      <c r="N112" s="51" t="n">
        <v>149925</v>
      </c>
      <c r="O112" s="51" t="n">
        <v>149925</v>
      </c>
      <c r="P112" s="51" t="n">
        <v>149925</v>
      </c>
      <c r="Q112" s="51" t="n">
        <v>149925</v>
      </c>
      <c r="R112" s="51" t="n">
        <v>149925</v>
      </c>
      <c r="S112" s="51" t="n">
        <v>149925</v>
      </c>
      <c r="T112" s="51" t="n">
        <v>149925</v>
      </c>
      <c r="U112" s="51" t="n">
        <v>149925</v>
      </c>
      <c r="V112" s="51" t="n">
        <v>149925</v>
      </c>
      <c r="W112" s="51" t="n">
        <v>149925</v>
      </c>
      <c r="X112" s="51" t="n">
        <v>149925</v>
      </c>
      <c r="Y112" s="51" t="n">
        <v>149925</v>
      </c>
      <c r="Z112" s="51" t="n">
        <v>149925</v>
      </c>
      <c r="AA112" s="51" t="n">
        <v>149925</v>
      </c>
      <c r="AB112" s="51" t="n">
        <v>149925</v>
      </c>
      <c r="AC112" s="51" t="n">
        <v>149925</v>
      </c>
      <c r="AD112" s="51" t="n">
        <v>149925</v>
      </c>
      <c r="AE112" s="51" t="n">
        <v>149925</v>
      </c>
      <c r="AF112" s="51" t="n">
        <v>149925</v>
      </c>
      <c r="AG112" s="51" t="n">
        <v>149925</v>
      </c>
      <c r="AH112" s="51" t="n">
        <v>149925</v>
      </c>
      <c r="AI112" s="51" t="n">
        <v>149925</v>
      </c>
    </row>
    <row r="113" ht="14.25" customHeight="1" s="74">
      <c r="A113" s="2" t="n"/>
      <c r="B113" s="2" t="n"/>
      <c r="C113" s="7" t="inlineStr">
        <is>
          <t>natural gas peaker</t>
        </is>
      </c>
      <c r="D113" s="50" t="n">
        <v>0</v>
      </c>
      <c r="E113" s="50" t="n">
        <v>0</v>
      </c>
      <c r="F113" s="50" t="n">
        <v>0</v>
      </c>
      <c r="G113" s="50" t="n">
        <v>0</v>
      </c>
      <c r="H113" s="50" t="n">
        <v>0</v>
      </c>
      <c r="I113" s="50" t="n">
        <v>0</v>
      </c>
      <c r="J113" s="50" t="n">
        <v>0</v>
      </c>
      <c r="K113" s="50" t="n">
        <v>0</v>
      </c>
      <c r="L113" s="50" t="n">
        <v>0</v>
      </c>
      <c r="M113" s="50" t="n">
        <v>0</v>
      </c>
      <c r="N113" s="50" t="n">
        <v>0</v>
      </c>
      <c r="O113" s="50" t="n">
        <v>0</v>
      </c>
      <c r="P113" s="50" t="n">
        <v>0</v>
      </c>
      <c r="Q113" s="50" t="n">
        <v>0</v>
      </c>
      <c r="R113" s="50" t="n">
        <v>0</v>
      </c>
      <c r="S113" s="50" t="n">
        <v>0</v>
      </c>
      <c r="T113" s="50" t="n">
        <v>0</v>
      </c>
      <c r="U113" s="50" t="n">
        <v>0</v>
      </c>
      <c r="V113" s="50" t="n">
        <v>0</v>
      </c>
      <c r="W113" s="50" t="n">
        <v>0</v>
      </c>
      <c r="X113" s="50" t="n">
        <v>0</v>
      </c>
      <c r="Y113" s="50" t="n">
        <v>0</v>
      </c>
      <c r="Z113" s="50" t="n">
        <v>0</v>
      </c>
      <c r="AA113" s="50" t="n">
        <v>0</v>
      </c>
      <c r="AB113" s="50" t="n">
        <v>0</v>
      </c>
      <c r="AC113" s="50" t="n">
        <v>0</v>
      </c>
      <c r="AD113" s="50" t="n">
        <v>0</v>
      </c>
      <c r="AE113" s="50" t="n">
        <v>0</v>
      </c>
      <c r="AF113" s="50" t="n">
        <v>0</v>
      </c>
      <c r="AG113" s="50" t="n">
        <v>0</v>
      </c>
      <c r="AH113" s="50" t="n">
        <v>0</v>
      </c>
      <c r="AI113" s="50" t="n">
        <v>0</v>
      </c>
    </row>
    <row r="114" ht="14.25" customHeight="1" s="74">
      <c r="A114" s="2" t="n"/>
      <c r="B114" s="2" t="n"/>
      <c r="C114" s="7" t="inlineStr">
        <is>
          <t>lignite</t>
        </is>
      </c>
      <c r="D114" s="50" t="n">
        <v>0</v>
      </c>
      <c r="E114" s="50" t="n">
        <v>0</v>
      </c>
      <c r="F114" s="50" t="n">
        <v>0</v>
      </c>
      <c r="G114" s="50" t="n">
        <v>0</v>
      </c>
      <c r="H114" s="50" t="n">
        <v>0</v>
      </c>
      <c r="I114" s="50" t="n">
        <v>0</v>
      </c>
      <c r="J114" s="50" t="n">
        <v>0</v>
      </c>
      <c r="K114" s="50" t="n">
        <v>0</v>
      </c>
      <c r="L114" s="50" t="n">
        <v>0</v>
      </c>
      <c r="M114" s="50" t="n">
        <v>0</v>
      </c>
      <c r="N114" s="50" t="n">
        <v>0</v>
      </c>
      <c r="O114" s="50" t="n">
        <v>0</v>
      </c>
      <c r="P114" s="50" t="n">
        <v>0</v>
      </c>
      <c r="Q114" s="50" t="n">
        <v>0</v>
      </c>
      <c r="R114" s="50" t="n">
        <v>0</v>
      </c>
      <c r="S114" s="50" t="n">
        <v>0</v>
      </c>
      <c r="T114" s="50" t="n">
        <v>0</v>
      </c>
      <c r="U114" s="50" t="n">
        <v>0</v>
      </c>
      <c r="V114" s="50" t="n">
        <v>0</v>
      </c>
      <c r="W114" s="50" t="n">
        <v>0</v>
      </c>
      <c r="X114" s="50" t="n">
        <v>0</v>
      </c>
      <c r="Y114" s="50" t="n">
        <v>0</v>
      </c>
      <c r="Z114" s="50" t="n">
        <v>0</v>
      </c>
      <c r="AA114" s="50" t="n">
        <v>0</v>
      </c>
      <c r="AB114" s="50" t="n">
        <v>0</v>
      </c>
      <c r="AC114" s="50" t="n">
        <v>0</v>
      </c>
      <c r="AD114" s="50" t="n">
        <v>0</v>
      </c>
      <c r="AE114" s="50" t="n">
        <v>0</v>
      </c>
      <c r="AF114" s="50" t="n">
        <v>0</v>
      </c>
      <c r="AG114" s="50" t="n">
        <v>0</v>
      </c>
      <c r="AH114" s="50" t="n">
        <v>0</v>
      </c>
      <c r="AI114" s="50" t="n">
        <v>0</v>
      </c>
    </row>
    <row r="115" ht="14.25" customHeight="1" s="74">
      <c r="A115" s="2" t="n"/>
      <c r="B115" s="2" t="n"/>
      <c r="C115" s="7" t="inlineStr">
        <is>
          <t>offshore wind</t>
        </is>
      </c>
      <c r="D115" s="50" t="n">
        <v>0</v>
      </c>
      <c r="E115" s="50" t="n">
        <v>0</v>
      </c>
      <c r="F115" s="50" t="n">
        <v>0</v>
      </c>
      <c r="G115" s="50" t="n">
        <v>0</v>
      </c>
      <c r="H115" s="50" t="n">
        <v>0</v>
      </c>
      <c r="I115" s="50" t="n">
        <v>0</v>
      </c>
      <c r="J115" s="50" t="n">
        <v>0</v>
      </c>
      <c r="K115" s="50" t="n">
        <v>0</v>
      </c>
      <c r="L115" s="50" t="n">
        <v>0</v>
      </c>
      <c r="M115" s="50" t="n">
        <v>0</v>
      </c>
      <c r="N115" s="50" t="n">
        <v>0</v>
      </c>
      <c r="O115" s="50" t="n">
        <v>0</v>
      </c>
      <c r="P115" s="50" t="n">
        <v>0</v>
      </c>
      <c r="Q115" s="50" t="n">
        <v>0</v>
      </c>
      <c r="R115" s="50" t="n">
        <v>0</v>
      </c>
      <c r="S115" s="50" t="n">
        <v>0</v>
      </c>
      <c r="T115" s="50" t="n">
        <v>0</v>
      </c>
      <c r="U115" s="50" t="n">
        <v>0</v>
      </c>
      <c r="V115" s="50" t="n">
        <v>0</v>
      </c>
      <c r="W115" s="50" t="n">
        <v>0</v>
      </c>
      <c r="X115" s="50" t="n">
        <v>0</v>
      </c>
      <c r="Y115" s="50" t="n">
        <v>0</v>
      </c>
      <c r="Z115" s="50" t="n">
        <v>0</v>
      </c>
      <c r="AA115" s="50" t="n">
        <v>0</v>
      </c>
      <c r="AB115" s="50" t="n">
        <v>0</v>
      </c>
      <c r="AC115" s="50" t="n">
        <v>0</v>
      </c>
      <c r="AD115" s="50" t="n">
        <v>0</v>
      </c>
      <c r="AE115" s="50" t="n">
        <v>0</v>
      </c>
      <c r="AF115" s="50" t="n">
        <v>0</v>
      </c>
      <c r="AG115" s="50" t="n">
        <v>0</v>
      </c>
      <c r="AH115" s="50" t="n">
        <v>0</v>
      </c>
      <c r="AI115" s="50" t="n">
        <v>0</v>
      </c>
    </row>
    <row r="116" ht="14.25" customHeight="1" s="74">
      <c r="A116" s="2" t="n"/>
      <c r="B116" s="2" t="n"/>
      <c r="C116" s="7" t="inlineStr">
        <is>
          <t>crude oil</t>
        </is>
      </c>
      <c r="D116" s="50" t="n">
        <v>0</v>
      </c>
      <c r="E116" s="50" t="n">
        <v>0</v>
      </c>
      <c r="F116" s="50" t="n">
        <v>0</v>
      </c>
      <c r="G116" s="50" t="n">
        <v>0</v>
      </c>
      <c r="H116" s="50" t="n">
        <v>0</v>
      </c>
      <c r="I116" s="50" t="n">
        <v>0</v>
      </c>
      <c r="J116" s="50" t="n">
        <v>0</v>
      </c>
      <c r="K116" s="50" t="n">
        <v>0</v>
      </c>
      <c r="L116" s="50" t="n">
        <v>0</v>
      </c>
      <c r="M116" s="50" t="n">
        <v>0</v>
      </c>
      <c r="N116" s="50" t="n">
        <v>0</v>
      </c>
      <c r="O116" s="50" t="n">
        <v>0</v>
      </c>
      <c r="P116" s="50" t="n">
        <v>0</v>
      </c>
      <c r="Q116" s="50" t="n">
        <v>0</v>
      </c>
      <c r="R116" s="50" t="n">
        <v>0</v>
      </c>
      <c r="S116" s="50" t="n">
        <v>0</v>
      </c>
      <c r="T116" s="50" t="n">
        <v>0</v>
      </c>
      <c r="U116" s="50" t="n">
        <v>0</v>
      </c>
      <c r="V116" s="50" t="n">
        <v>0</v>
      </c>
      <c r="W116" s="50" t="n">
        <v>0</v>
      </c>
      <c r="X116" s="50" t="n">
        <v>0</v>
      </c>
      <c r="Y116" s="50" t="n">
        <v>0</v>
      </c>
      <c r="Z116" s="50" t="n">
        <v>0</v>
      </c>
      <c r="AA116" s="50" t="n">
        <v>0</v>
      </c>
      <c r="AB116" s="50" t="n">
        <v>0</v>
      </c>
      <c r="AC116" s="50" t="n">
        <v>0</v>
      </c>
      <c r="AD116" s="50" t="n">
        <v>0</v>
      </c>
      <c r="AE116" s="50" t="n">
        <v>0</v>
      </c>
      <c r="AF116" s="50" t="n">
        <v>0</v>
      </c>
      <c r="AG116" s="50" t="n">
        <v>0</v>
      </c>
      <c r="AH116" s="50" t="n">
        <v>0</v>
      </c>
      <c r="AI116" s="50" t="n">
        <v>0</v>
      </c>
    </row>
    <row r="117" ht="14.25" customHeight="1" s="74">
      <c r="A117" s="2" t="n"/>
      <c r="B117" s="2" t="n"/>
      <c r="C117" s="7" t="inlineStr">
        <is>
          <t>heavy or residual fuel oil</t>
        </is>
      </c>
      <c r="D117" s="50" t="n">
        <v>0</v>
      </c>
      <c r="E117" s="50" t="n">
        <v>0</v>
      </c>
      <c r="F117" s="50" t="n">
        <v>0</v>
      </c>
      <c r="G117" s="50" t="n">
        <v>0</v>
      </c>
      <c r="H117" s="50" t="n">
        <v>0</v>
      </c>
      <c r="I117" s="50" t="n">
        <v>0</v>
      </c>
      <c r="J117" s="50" t="n">
        <v>0</v>
      </c>
      <c r="K117" s="50" t="n">
        <v>0</v>
      </c>
      <c r="L117" s="50" t="n">
        <v>0</v>
      </c>
      <c r="M117" s="50" t="n">
        <v>0</v>
      </c>
      <c r="N117" s="50" t="n">
        <v>0</v>
      </c>
      <c r="O117" s="50" t="n">
        <v>0</v>
      </c>
      <c r="P117" s="50" t="n">
        <v>0</v>
      </c>
      <c r="Q117" s="50" t="n">
        <v>0</v>
      </c>
      <c r="R117" s="50" t="n">
        <v>0</v>
      </c>
      <c r="S117" s="50" t="n">
        <v>0</v>
      </c>
      <c r="T117" s="50" t="n">
        <v>0</v>
      </c>
      <c r="U117" s="50" t="n">
        <v>0</v>
      </c>
      <c r="V117" s="50" t="n">
        <v>0</v>
      </c>
      <c r="W117" s="50" t="n">
        <v>0</v>
      </c>
      <c r="X117" s="50" t="n">
        <v>0</v>
      </c>
      <c r="Y117" s="50" t="n">
        <v>0</v>
      </c>
      <c r="Z117" s="50" t="n">
        <v>0</v>
      </c>
      <c r="AA117" s="50" t="n">
        <v>0</v>
      </c>
      <c r="AB117" s="50" t="n">
        <v>0</v>
      </c>
      <c r="AC117" s="50" t="n">
        <v>0</v>
      </c>
      <c r="AD117" s="50" t="n">
        <v>0</v>
      </c>
      <c r="AE117" s="50" t="n">
        <v>0</v>
      </c>
      <c r="AF117" s="50" t="n">
        <v>0</v>
      </c>
      <c r="AG117" s="50" t="n">
        <v>0</v>
      </c>
      <c r="AH117" s="50" t="n">
        <v>0</v>
      </c>
      <c r="AI117" s="50" t="n">
        <v>0</v>
      </c>
    </row>
    <row r="118" ht="14.25" customHeight="1" s="74">
      <c r="A118" s="2" t="n"/>
      <c r="B118" s="2" t="n"/>
      <c r="C118" s="7" t="inlineStr">
        <is>
          <t>municipal solid waste</t>
        </is>
      </c>
      <c r="D118" s="50" t="n">
        <v>0</v>
      </c>
      <c r="E118" s="50" t="n">
        <v>0</v>
      </c>
      <c r="F118" s="50" t="n">
        <v>0</v>
      </c>
      <c r="G118" s="50" t="n">
        <v>0</v>
      </c>
      <c r="H118" s="50" t="n">
        <v>0</v>
      </c>
      <c r="I118" s="50" t="n">
        <v>0</v>
      </c>
      <c r="J118" s="50" t="n">
        <v>0</v>
      </c>
      <c r="K118" s="50" t="n">
        <v>0</v>
      </c>
      <c r="L118" s="50" t="n">
        <v>0</v>
      </c>
      <c r="M118" s="50" t="n">
        <v>0</v>
      </c>
      <c r="N118" s="50" t="n">
        <v>0</v>
      </c>
      <c r="O118" s="50" t="n">
        <v>0</v>
      </c>
      <c r="P118" s="50" t="n">
        <v>0</v>
      </c>
      <c r="Q118" s="50" t="n">
        <v>0</v>
      </c>
      <c r="R118" s="50" t="n">
        <v>0</v>
      </c>
      <c r="S118" s="50" t="n">
        <v>0</v>
      </c>
      <c r="T118" s="50" t="n">
        <v>0</v>
      </c>
      <c r="U118" s="50" t="n">
        <v>0</v>
      </c>
      <c r="V118" s="50" t="n">
        <v>0</v>
      </c>
      <c r="W118" s="50" t="n">
        <v>0</v>
      </c>
      <c r="X118" s="50" t="n">
        <v>0</v>
      </c>
      <c r="Y118" s="50" t="n">
        <v>0</v>
      </c>
      <c r="Z118" s="50" t="n">
        <v>0</v>
      </c>
      <c r="AA118" s="50" t="n">
        <v>0</v>
      </c>
      <c r="AB118" s="50" t="n">
        <v>0</v>
      </c>
      <c r="AC118" s="50" t="n">
        <v>0</v>
      </c>
      <c r="AD118" s="50" t="n">
        <v>0</v>
      </c>
      <c r="AE118" s="50" t="n">
        <v>0</v>
      </c>
      <c r="AF118" s="50" t="n">
        <v>0</v>
      </c>
      <c r="AG118" s="50" t="n">
        <v>0</v>
      </c>
      <c r="AH118" s="50" t="n">
        <v>0</v>
      </c>
      <c r="AI118" s="50" t="n">
        <v>0</v>
      </c>
    </row>
    <row r="119" ht="14.25" customHeight="1" s="74">
      <c r="A119" s="2" t="n"/>
      <c r="B119" s="2" t="n"/>
      <c r="C119" s="2" t="n"/>
      <c r="D119" s="2" t="n"/>
    </row>
    <row r="120" ht="14.25" customHeight="1" s="74">
      <c r="A120" s="2" t="n"/>
      <c r="B120" s="2" t="n"/>
      <c r="C120" s="2" t="n"/>
      <c r="D120" s="2" t="n"/>
    </row>
    <row r="121" ht="14.25" customHeight="1" s="74">
      <c r="A121" s="2" t="n"/>
      <c r="B121" s="2" t="n"/>
      <c r="C121" s="2" t="n"/>
      <c r="D121" s="2" t="n"/>
    </row>
    <row r="122" ht="14.25" customHeight="1" s="74">
      <c r="A122" s="2" t="n"/>
      <c r="B122" s="2" t="n"/>
      <c r="C122" s="2" t="n"/>
      <c r="D122" s="2" t="n"/>
    </row>
    <row r="123" ht="14.25" customHeight="1" s="74">
      <c r="A123" s="2" t="n"/>
      <c r="B123" s="2" t="n"/>
      <c r="C123" s="2" t="n"/>
      <c r="D123" s="2" t="n"/>
    </row>
    <row r="124" ht="14.25" customHeight="1" s="74">
      <c r="A124" s="2" t="n"/>
      <c r="B124" s="2" t="n"/>
      <c r="C124" s="2" t="n"/>
      <c r="D124" s="2" t="n"/>
    </row>
    <row r="125" ht="14.25" customHeight="1" s="74">
      <c r="A125" s="2" t="n"/>
      <c r="B125" s="2" t="n"/>
      <c r="C125" s="2" t="n"/>
      <c r="D125" s="2" t="n"/>
    </row>
    <row r="126" ht="14.25" customHeight="1" s="74">
      <c r="A126" s="2" t="n"/>
      <c r="B126" s="2" t="n"/>
      <c r="C126" s="2" t="n"/>
      <c r="D126" s="2" t="n"/>
    </row>
    <row r="127" ht="14.25" customHeight="1" s="74">
      <c r="A127" s="2" t="n"/>
      <c r="B127" s="2" t="n"/>
      <c r="C127" s="2" t="n"/>
      <c r="D127" s="2" t="n"/>
    </row>
    <row r="128" ht="14.25" customHeight="1" s="74">
      <c r="A128" s="2" t="n"/>
      <c r="B128" s="2" t="n"/>
      <c r="C128" s="2" t="n"/>
      <c r="D128" s="2" t="n"/>
    </row>
    <row r="129" ht="14.25" customHeight="1" s="74">
      <c r="A129" s="2" t="n"/>
      <c r="B129" s="2" t="n"/>
      <c r="C129" s="2" t="n"/>
      <c r="D129" s="2" t="n"/>
    </row>
    <row r="130" ht="14.25" customHeight="1" s="74">
      <c r="A130" s="2" t="n"/>
      <c r="B130" s="2" t="n"/>
      <c r="C130" s="2" t="n"/>
      <c r="D130" s="2" t="n"/>
    </row>
    <row r="131" ht="14.25" customHeight="1" s="74">
      <c r="A131" s="2" t="n"/>
      <c r="B131" s="2" t="n"/>
      <c r="C131" s="2" t="n"/>
      <c r="D131" s="2" t="n"/>
    </row>
    <row r="132" ht="14.25" customHeight="1" s="74">
      <c r="A132" s="2" t="n"/>
      <c r="B132" s="2" t="n"/>
      <c r="C132" s="2" t="n"/>
      <c r="D132" s="2" t="n"/>
    </row>
    <row r="133" ht="14.25" customHeight="1" s="74">
      <c r="A133" s="2" t="n"/>
      <c r="B133" s="2" t="n"/>
      <c r="C133" s="2" t="n"/>
      <c r="D133" s="2" t="n"/>
    </row>
    <row r="134" ht="14.25" customHeight="1" s="74">
      <c r="A134" s="2" t="n"/>
      <c r="B134" s="2" t="n"/>
      <c r="C134" s="2" t="n"/>
      <c r="D134" s="2" t="n"/>
    </row>
    <row r="135" ht="14.25" customHeight="1" s="74">
      <c r="A135" s="2" t="n"/>
      <c r="B135" s="2" t="n"/>
      <c r="C135" s="2" t="n"/>
      <c r="D135" s="2" t="n"/>
    </row>
    <row r="136" ht="14.25" customHeight="1" s="74">
      <c r="A136" s="2" t="n"/>
      <c r="B136" s="2" t="n"/>
      <c r="C136" s="2" t="n"/>
      <c r="D136" s="2" t="n"/>
    </row>
    <row r="137" ht="14.25" customHeight="1" s="74">
      <c r="A137" s="2" t="n"/>
      <c r="B137" s="2" t="n"/>
      <c r="C137" s="2" t="n"/>
      <c r="D137" s="2" t="n"/>
    </row>
    <row r="138" ht="14.25" customHeight="1" s="74">
      <c r="A138" s="2" t="n"/>
      <c r="B138" s="2" t="n"/>
      <c r="C138" s="2" t="n"/>
      <c r="D138" s="2" t="n"/>
    </row>
    <row r="139" ht="14.25" customHeight="1" s="74">
      <c r="A139" s="2" t="n"/>
      <c r="B139" s="2" t="n"/>
      <c r="C139" s="2" t="n"/>
      <c r="D139" s="2" t="n"/>
    </row>
    <row r="140" ht="14.25" customHeight="1" s="74">
      <c r="A140" s="2" t="n"/>
      <c r="B140" s="2" t="n"/>
      <c r="C140" s="2" t="n"/>
      <c r="D140" s="2" t="n"/>
    </row>
    <row r="141" ht="14.25" customHeight="1" s="74">
      <c r="A141" s="2" t="n"/>
      <c r="B141" s="2" t="n"/>
      <c r="C141" s="2" t="n"/>
      <c r="D141" s="2" t="n"/>
    </row>
    <row r="142" ht="14.25" customHeight="1" s="74">
      <c r="A142" s="2" t="n"/>
      <c r="B142" s="2" t="n"/>
      <c r="C142" s="2" t="n"/>
      <c r="D142" s="2" t="n"/>
    </row>
    <row r="143" ht="14.25" customHeight="1" s="74">
      <c r="A143" s="2" t="n"/>
      <c r="B143" s="2" t="n"/>
      <c r="C143" s="2" t="n"/>
      <c r="D143" s="2" t="n"/>
    </row>
    <row r="144" ht="14.25" customHeight="1" s="74">
      <c r="A144" s="2" t="n"/>
      <c r="B144" s="2" t="n"/>
      <c r="C144" s="2" t="n"/>
      <c r="D144" s="2" t="n"/>
    </row>
    <row r="145" ht="14.25" customHeight="1" s="74">
      <c r="A145" s="2" t="n"/>
      <c r="B145" s="2" t="n"/>
      <c r="C145" s="2" t="n"/>
      <c r="D145" s="2" t="n"/>
    </row>
    <row r="146" ht="14.25" customHeight="1" s="74">
      <c r="A146" s="2" t="n"/>
      <c r="B146" s="2" t="n"/>
      <c r="C146" s="2" t="n"/>
      <c r="D146" s="2" t="n"/>
    </row>
    <row r="147" ht="14.25" customHeight="1" s="74">
      <c r="A147" s="2" t="n"/>
      <c r="B147" s="2" t="n"/>
      <c r="C147" s="2" t="n"/>
      <c r="D147" s="2" t="n"/>
    </row>
    <row r="148" ht="14.25" customHeight="1" s="74">
      <c r="A148" s="2" t="n"/>
      <c r="B148" s="2" t="n"/>
      <c r="C148" s="2" t="n"/>
      <c r="D148" s="2" t="n"/>
    </row>
    <row r="149" ht="14.25" customHeight="1" s="74">
      <c r="A149" s="2" t="n"/>
      <c r="B149" s="2" t="n"/>
      <c r="C149" s="2" t="n"/>
      <c r="D149" s="2" t="n"/>
    </row>
    <row r="150" ht="14.25" customHeight="1" s="74">
      <c r="A150" s="2" t="n"/>
      <c r="B150" s="2" t="n"/>
      <c r="C150" s="2" t="n"/>
      <c r="D150" s="2" t="n"/>
    </row>
    <row r="151" ht="14.25" customHeight="1" s="74">
      <c r="A151" s="2" t="n"/>
      <c r="B151" s="2" t="n"/>
      <c r="C151" s="2" t="n"/>
      <c r="D151" s="2" t="n"/>
    </row>
    <row r="152" ht="14.25" customHeight="1" s="74">
      <c r="A152" s="2" t="n"/>
      <c r="B152" s="2" t="n"/>
      <c r="C152" s="2" t="n"/>
      <c r="D152" s="2" t="n"/>
    </row>
    <row r="153" ht="14.25" customHeight="1" s="74">
      <c r="A153" s="2" t="n"/>
      <c r="B153" s="2" t="n"/>
      <c r="C153" s="2" t="n"/>
      <c r="D153" s="2" t="n"/>
    </row>
    <row r="154" ht="14.25" customHeight="1" s="74">
      <c r="A154" s="2" t="n"/>
      <c r="B154" s="2" t="n"/>
      <c r="C154" s="2" t="n"/>
      <c r="D154" s="2" t="n"/>
    </row>
    <row r="155" ht="14.25" customHeight="1" s="74">
      <c r="A155" s="2" t="n"/>
      <c r="B155" s="2" t="n"/>
      <c r="C155" s="2" t="n"/>
      <c r="D155" s="2" t="n"/>
    </row>
    <row r="156" ht="14.25" customHeight="1" s="74">
      <c r="A156" s="2" t="n"/>
      <c r="B156" s="2" t="n"/>
      <c r="C156" s="2" t="n"/>
      <c r="D156" s="2" t="n"/>
    </row>
    <row r="157" ht="14.25" customHeight="1" s="74">
      <c r="A157" s="2" t="n"/>
      <c r="B157" s="2" t="n"/>
      <c r="C157" s="2" t="n"/>
      <c r="D157" s="2" t="n"/>
    </row>
    <row r="158" ht="14.25" customHeight="1" s="74">
      <c r="A158" s="2" t="n"/>
      <c r="B158" s="2" t="n"/>
      <c r="C158" s="2" t="n"/>
      <c r="D158" s="2" t="n"/>
    </row>
    <row r="159" ht="14.25" customHeight="1" s="74">
      <c r="A159" s="2" t="n"/>
      <c r="B159" s="2" t="n"/>
      <c r="C159" s="2" t="n"/>
      <c r="D159" s="2" t="n"/>
    </row>
    <row r="160" ht="14.25" customHeight="1" s="74">
      <c r="A160" s="2" t="n"/>
      <c r="B160" s="2" t="n"/>
      <c r="C160" s="2" t="n"/>
      <c r="D160" s="2" t="n"/>
    </row>
    <row r="161" ht="14.25" customHeight="1" s="74">
      <c r="A161" s="2" t="n"/>
      <c r="B161" s="2" t="n"/>
      <c r="C161" s="2" t="n"/>
      <c r="D161" s="2" t="n"/>
    </row>
    <row r="162" ht="14.25" customHeight="1" s="74">
      <c r="A162" s="2" t="n"/>
      <c r="B162" s="2" t="n"/>
      <c r="C162" s="2" t="n"/>
      <c r="D162" s="2" t="n"/>
    </row>
    <row r="163" ht="14.25" customHeight="1" s="74">
      <c r="A163" s="2" t="n"/>
      <c r="B163" s="2" t="n"/>
      <c r="C163" s="2" t="n"/>
      <c r="D163" s="2" t="n"/>
    </row>
    <row r="164" ht="14.25" customHeight="1" s="74">
      <c r="A164" s="2" t="n"/>
      <c r="B164" s="2" t="n"/>
      <c r="C164" s="2" t="n"/>
      <c r="D164" s="2" t="n"/>
    </row>
    <row r="165" ht="14.25" customHeight="1" s="74">
      <c r="A165" s="2" t="n"/>
      <c r="B165" s="2" t="n"/>
      <c r="C165" s="2" t="n"/>
      <c r="D165" s="2" t="n"/>
    </row>
    <row r="166" ht="14.25" customHeight="1" s="74">
      <c r="A166" s="2" t="n"/>
      <c r="B166" s="2" t="n"/>
      <c r="C166" s="2" t="n"/>
      <c r="D166" s="2" t="n"/>
    </row>
    <row r="167" ht="14.25" customHeight="1" s="74">
      <c r="A167" s="2" t="n"/>
      <c r="B167" s="2" t="n"/>
      <c r="C167" s="2" t="n"/>
      <c r="D167" s="2" t="n"/>
    </row>
    <row r="168" ht="14.25" customHeight="1" s="74">
      <c r="A168" s="2" t="n"/>
      <c r="B168" s="2" t="n"/>
      <c r="C168" s="2" t="n"/>
      <c r="D168" s="2" t="n"/>
    </row>
    <row r="169" ht="14.25" customHeight="1" s="74">
      <c r="A169" s="2" t="n"/>
      <c r="B169" s="2" t="n"/>
      <c r="C169" s="2" t="n"/>
      <c r="D169" s="2" t="n"/>
    </row>
    <row r="170" ht="14.25" customHeight="1" s="74">
      <c r="A170" s="2" t="n"/>
      <c r="B170" s="2" t="n"/>
      <c r="C170" s="2" t="n"/>
      <c r="D170" s="2" t="n"/>
    </row>
    <row r="171" ht="14.25" customHeight="1" s="74">
      <c r="A171" s="2" t="n"/>
      <c r="B171" s="2" t="n"/>
      <c r="C171" s="2" t="n"/>
      <c r="D171" s="2" t="n"/>
    </row>
    <row r="172" ht="14.25" customHeight="1" s="74">
      <c r="A172" s="2" t="n"/>
      <c r="B172" s="2" t="n"/>
      <c r="C172" s="2" t="n"/>
      <c r="D172" s="2" t="n"/>
    </row>
    <row r="173" ht="14.25" customHeight="1" s="74">
      <c r="A173" s="2" t="n"/>
      <c r="B173" s="2" t="n"/>
      <c r="C173" s="2" t="n"/>
      <c r="D173" s="2" t="n"/>
    </row>
    <row r="174" ht="14.25" customHeight="1" s="74">
      <c r="A174" s="2" t="n"/>
      <c r="B174" s="2" t="n"/>
      <c r="C174" s="2" t="n"/>
      <c r="D174" s="2" t="n"/>
    </row>
    <row r="175" ht="14.25" customHeight="1" s="74">
      <c r="A175" s="2" t="n"/>
      <c r="B175" s="2" t="n"/>
      <c r="C175" s="2" t="n"/>
      <c r="D175" s="2" t="n"/>
    </row>
    <row r="176" ht="14.25" customHeight="1" s="74">
      <c r="A176" s="2" t="n"/>
      <c r="B176" s="2" t="n"/>
      <c r="C176" s="2" t="n"/>
      <c r="D176" s="2" t="n"/>
    </row>
    <row r="177" ht="14.25" customHeight="1" s="74">
      <c r="A177" s="2" t="n"/>
      <c r="B177" s="2" t="n"/>
      <c r="C177" s="2" t="n"/>
      <c r="D177" s="2" t="n"/>
    </row>
    <row r="178" ht="14.25" customHeight="1" s="74">
      <c r="A178" s="2" t="n"/>
      <c r="B178" s="2" t="n"/>
      <c r="C178" s="2" t="n"/>
      <c r="D178" s="2" t="n"/>
    </row>
    <row r="179" ht="14.25" customHeight="1" s="74">
      <c r="A179" s="2" t="n"/>
      <c r="B179" s="2" t="n"/>
      <c r="C179" s="2" t="n"/>
      <c r="D179" s="2" t="n"/>
    </row>
    <row r="180" ht="14.25" customHeight="1" s="74">
      <c r="A180" s="2" t="n"/>
      <c r="B180" s="2" t="n"/>
      <c r="C180" s="2" t="n"/>
      <c r="D180" s="2" t="n"/>
    </row>
    <row r="181" ht="14.25" customHeight="1" s="74">
      <c r="A181" s="2" t="n"/>
      <c r="B181" s="2" t="n"/>
      <c r="C181" s="2" t="n"/>
      <c r="D181" s="2" t="n"/>
    </row>
    <row r="182" ht="14.25" customHeight="1" s="74">
      <c r="A182" s="2" t="n"/>
      <c r="B182" s="2" t="n"/>
      <c r="C182" s="2" t="n"/>
      <c r="D182" s="2" t="n"/>
    </row>
    <row r="183" ht="14.25" customHeight="1" s="74">
      <c r="A183" s="2" t="n"/>
      <c r="B183" s="2" t="n"/>
      <c r="C183" s="2" t="n"/>
      <c r="D183" s="2" t="n"/>
    </row>
    <row r="184" ht="14.25" customHeight="1" s="74">
      <c r="A184" s="2" t="n"/>
      <c r="B184" s="2" t="n"/>
      <c r="C184" s="2" t="n"/>
      <c r="D184" s="2" t="n"/>
    </row>
    <row r="185" ht="14.25" customHeight="1" s="74">
      <c r="A185" s="2" t="n"/>
      <c r="B185" s="2" t="n"/>
      <c r="C185" s="2" t="n"/>
      <c r="D185" s="2" t="n"/>
    </row>
    <row r="186" ht="14.25" customHeight="1" s="74">
      <c r="A186" s="2" t="n"/>
      <c r="B186" s="2" t="n"/>
      <c r="C186" s="2" t="n"/>
      <c r="D186" s="2" t="n"/>
    </row>
    <row r="187" ht="14.25" customHeight="1" s="74">
      <c r="A187" s="2" t="n"/>
      <c r="B187" s="2" t="n"/>
      <c r="C187" s="2" t="n"/>
      <c r="D187" s="2" t="n"/>
    </row>
    <row r="188" ht="14.25" customHeight="1" s="74">
      <c r="A188" s="2" t="n"/>
      <c r="B188" s="2" t="n"/>
      <c r="C188" s="2" t="n"/>
      <c r="D188" s="2" t="n"/>
    </row>
    <row r="189" ht="14.25" customHeight="1" s="74">
      <c r="A189" s="2" t="n"/>
      <c r="B189" s="2" t="n"/>
      <c r="C189" s="2" t="n"/>
      <c r="D189" s="2" t="n"/>
    </row>
    <row r="190" ht="14.25" customHeight="1" s="74">
      <c r="A190" s="2" t="n"/>
      <c r="B190" s="2" t="n"/>
      <c r="C190" s="2" t="n"/>
      <c r="D190" s="2" t="n"/>
    </row>
    <row r="191" ht="14.25" customHeight="1" s="74">
      <c r="A191" s="2" t="n"/>
      <c r="B191" s="2" t="n"/>
      <c r="C191" s="2" t="n"/>
      <c r="D191" s="2" t="n"/>
    </row>
    <row r="192" ht="14.25" customHeight="1" s="74">
      <c r="A192" s="2" t="n"/>
      <c r="B192" s="2" t="n"/>
      <c r="C192" s="2" t="n"/>
      <c r="D192" s="2" t="n"/>
    </row>
    <row r="193" ht="14.25" customHeight="1" s="74">
      <c r="A193" s="2" t="n"/>
      <c r="B193" s="2" t="n"/>
      <c r="C193" s="2" t="n"/>
      <c r="D193" s="2" t="n"/>
    </row>
    <row r="194" ht="14.25" customHeight="1" s="74">
      <c r="A194" s="2" t="n"/>
      <c r="B194" s="2" t="n"/>
      <c r="C194" s="2" t="n"/>
      <c r="D194" s="2" t="n"/>
    </row>
    <row r="195" ht="14.25" customHeight="1" s="74">
      <c r="A195" s="2" t="n"/>
      <c r="B195" s="2" t="n"/>
      <c r="C195" s="2" t="n"/>
      <c r="D195" s="2" t="n"/>
    </row>
    <row r="196" ht="14.25" customHeight="1" s="74">
      <c r="A196" s="2" t="n"/>
      <c r="B196" s="2" t="n"/>
      <c r="C196" s="2" t="n"/>
      <c r="D196" s="2" t="n"/>
    </row>
    <row r="197" ht="14.25" customHeight="1" s="74">
      <c r="A197" s="2" t="n"/>
      <c r="B197" s="2" t="n"/>
      <c r="C197" s="2" t="n"/>
      <c r="D197" s="2" t="n"/>
    </row>
    <row r="198" ht="14.25" customHeight="1" s="74">
      <c r="A198" s="2" t="n"/>
      <c r="B198" s="2" t="n"/>
      <c r="C198" s="2" t="n"/>
      <c r="D198" s="2" t="n"/>
    </row>
    <row r="199" ht="14.25" customHeight="1" s="74">
      <c r="A199" s="2" t="n"/>
      <c r="B199" s="2" t="n"/>
      <c r="C199" s="2" t="n"/>
      <c r="D199" s="2" t="n"/>
    </row>
    <row r="200" ht="14.25" customHeight="1" s="74">
      <c r="A200" s="2" t="n"/>
      <c r="B200" s="2" t="n"/>
      <c r="C200" s="2" t="n"/>
      <c r="D200" s="2" t="n"/>
    </row>
    <row r="201" ht="14.25" customHeight="1" s="74">
      <c r="A201" s="2" t="n"/>
      <c r="B201" s="2" t="n"/>
      <c r="C201" s="2" t="n"/>
      <c r="D201" s="2" t="n"/>
    </row>
    <row r="202" ht="14.25" customHeight="1" s="74">
      <c r="A202" s="2" t="n"/>
      <c r="B202" s="2" t="n"/>
      <c r="C202" s="2" t="n"/>
      <c r="D202" s="2" t="n"/>
    </row>
    <row r="203" ht="14.25" customHeight="1" s="74">
      <c r="A203" s="2" t="n"/>
      <c r="B203" s="2" t="n"/>
      <c r="C203" s="2" t="n"/>
      <c r="D203" s="2" t="n"/>
    </row>
    <row r="204" ht="14.25" customHeight="1" s="74">
      <c r="A204" s="2" t="n"/>
      <c r="B204" s="2" t="n"/>
      <c r="C204" s="2" t="n"/>
      <c r="D204" s="2" t="n"/>
    </row>
    <row r="205" ht="14.25" customHeight="1" s="74">
      <c r="A205" s="2" t="n"/>
      <c r="B205" s="2" t="n"/>
      <c r="C205" s="2" t="n"/>
      <c r="D205" s="2" t="n"/>
    </row>
    <row r="206" ht="14.25" customHeight="1" s="74">
      <c r="A206" s="2" t="n"/>
      <c r="B206" s="2" t="n"/>
      <c r="C206" s="2" t="n"/>
      <c r="D206" s="2" t="n"/>
    </row>
    <row r="207" ht="14.25" customHeight="1" s="74">
      <c r="A207" s="2" t="n"/>
      <c r="B207" s="2" t="n"/>
      <c r="C207" s="2" t="n"/>
      <c r="D207" s="2" t="n"/>
    </row>
    <row r="208" ht="14.25" customHeight="1" s="74">
      <c r="A208" s="2" t="n"/>
      <c r="B208" s="2" t="n"/>
      <c r="C208" s="2" t="n"/>
      <c r="D208" s="2" t="n"/>
    </row>
    <row r="209" ht="14.25" customHeight="1" s="74">
      <c r="A209" s="2" t="n"/>
      <c r="B209" s="2" t="n"/>
      <c r="C209" s="2" t="n"/>
      <c r="D209" s="2" t="n"/>
    </row>
    <row r="210" ht="14.25" customHeight="1" s="74">
      <c r="A210" s="2" t="n"/>
      <c r="B210" s="2" t="n"/>
      <c r="C210" s="2" t="n"/>
      <c r="D210" s="2" t="n"/>
    </row>
    <row r="211" ht="14.25" customHeight="1" s="74">
      <c r="A211" s="2" t="n"/>
      <c r="B211" s="2" t="n"/>
      <c r="C211" s="2" t="n"/>
      <c r="D211" s="2" t="n"/>
    </row>
    <row r="212" ht="14.25" customHeight="1" s="74">
      <c r="A212" s="2" t="n"/>
      <c r="B212" s="2" t="n"/>
      <c r="C212" s="2" t="n"/>
      <c r="D212" s="2" t="n"/>
    </row>
    <row r="213" ht="14.25" customHeight="1" s="74">
      <c r="A213" s="2" t="n"/>
      <c r="B213" s="2" t="n"/>
      <c r="C213" s="2" t="n"/>
      <c r="D213" s="2" t="n"/>
    </row>
    <row r="214" ht="14.25" customHeight="1" s="74">
      <c r="A214" s="2" t="n"/>
      <c r="B214" s="2" t="n"/>
      <c r="C214" s="2" t="n"/>
      <c r="D214" s="2" t="n"/>
    </row>
    <row r="215" ht="14.25" customHeight="1" s="74">
      <c r="A215" s="2" t="n"/>
      <c r="B215" s="2" t="n"/>
      <c r="C215" s="2" t="n"/>
      <c r="D215" s="2" t="n"/>
    </row>
    <row r="216" ht="14.25" customHeight="1" s="74">
      <c r="A216" s="2" t="n"/>
      <c r="B216" s="2" t="n"/>
      <c r="C216" s="2" t="n"/>
      <c r="D216" s="2" t="n"/>
    </row>
    <row r="217" ht="14.25" customHeight="1" s="74">
      <c r="A217" s="2" t="n"/>
      <c r="B217" s="2" t="n"/>
      <c r="C217" s="2" t="n"/>
      <c r="D217" s="2" t="n"/>
    </row>
    <row r="218" ht="14.25" customHeight="1" s="74">
      <c r="A218" s="2" t="n"/>
      <c r="B218" s="2" t="n"/>
      <c r="C218" s="2" t="n"/>
      <c r="D218" s="2" t="n"/>
    </row>
    <row r="219" ht="14.25" customHeight="1" s="74">
      <c r="A219" s="2" t="n"/>
      <c r="B219" s="2" t="n"/>
      <c r="C219" s="2" t="n"/>
      <c r="D219" s="2" t="n"/>
    </row>
    <row r="220" ht="14.25" customHeight="1" s="74">
      <c r="A220" s="2" t="n"/>
      <c r="B220" s="2" t="n"/>
      <c r="C220" s="2" t="n"/>
      <c r="D220" s="2" t="n"/>
    </row>
    <row r="221" ht="14.25" customHeight="1" s="74">
      <c r="A221" s="2" t="n"/>
      <c r="B221" s="2" t="n"/>
      <c r="C221" s="2" t="n"/>
      <c r="D221" s="2" t="n"/>
    </row>
    <row r="222" ht="14.25" customHeight="1" s="74">
      <c r="A222" s="2" t="n"/>
      <c r="B222" s="2" t="n"/>
      <c r="C222" s="2" t="n"/>
      <c r="D222" s="2" t="n"/>
    </row>
    <row r="223" ht="14.25" customHeight="1" s="74">
      <c r="A223" s="2" t="n"/>
      <c r="B223" s="2" t="n"/>
      <c r="C223" s="2" t="n"/>
      <c r="D223" s="2" t="n"/>
    </row>
    <row r="224" ht="14.25" customHeight="1" s="74">
      <c r="A224" s="2" t="n"/>
      <c r="B224" s="2" t="n"/>
      <c r="C224" s="2" t="n"/>
      <c r="D224" s="2" t="n"/>
    </row>
    <row r="225" ht="14.25" customHeight="1" s="74">
      <c r="A225" s="2" t="n"/>
      <c r="B225" s="2" t="n"/>
      <c r="C225" s="2" t="n"/>
      <c r="D225" s="2" t="n"/>
    </row>
    <row r="226" ht="14.25" customHeight="1" s="74">
      <c r="A226" s="2" t="n"/>
      <c r="B226" s="2" t="n"/>
      <c r="C226" s="2" t="n"/>
      <c r="D226" s="2" t="n"/>
    </row>
    <row r="227" ht="14.25" customHeight="1" s="74">
      <c r="A227" s="2" t="n"/>
      <c r="B227" s="2" t="n"/>
      <c r="C227" s="2" t="n"/>
      <c r="D227" s="2" t="n"/>
    </row>
    <row r="228" ht="14.25" customHeight="1" s="74">
      <c r="A228" s="2" t="n"/>
      <c r="B228" s="2" t="n"/>
      <c r="C228" s="2" t="n"/>
      <c r="D228" s="2" t="n"/>
    </row>
    <row r="229" ht="14.25" customHeight="1" s="74">
      <c r="A229" s="2" t="n"/>
      <c r="B229" s="2" t="n"/>
      <c r="C229" s="2" t="n"/>
      <c r="D229" s="2" t="n"/>
    </row>
    <row r="230" ht="14.25" customHeight="1" s="74">
      <c r="A230" s="2" t="n"/>
      <c r="B230" s="2" t="n"/>
      <c r="C230" s="2" t="n"/>
      <c r="D230" s="2" t="n"/>
    </row>
    <row r="231" ht="14.25" customHeight="1" s="74">
      <c r="A231" s="2" t="n"/>
      <c r="B231" s="2" t="n"/>
      <c r="C231" s="2" t="n"/>
      <c r="D231" s="2" t="n"/>
    </row>
    <row r="232" ht="14.25" customHeight="1" s="74">
      <c r="A232" s="2" t="n"/>
      <c r="B232" s="2" t="n"/>
      <c r="C232" s="2" t="n"/>
      <c r="D232" s="2" t="n"/>
    </row>
    <row r="233" ht="14.25" customHeight="1" s="74">
      <c r="A233" s="2" t="n"/>
      <c r="B233" s="2" t="n"/>
      <c r="C233" s="2" t="n"/>
      <c r="D233" s="2" t="n"/>
    </row>
    <row r="234" ht="14.25" customHeight="1" s="74">
      <c r="A234" s="2" t="n"/>
      <c r="B234" s="2" t="n"/>
      <c r="C234" s="2" t="n"/>
      <c r="D234" s="2" t="n"/>
    </row>
    <row r="235" ht="14.25" customHeight="1" s="74">
      <c r="A235" s="2" t="n"/>
      <c r="B235" s="2" t="n"/>
      <c r="C235" s="2" t="n"/>
      <c r="D235" s="2" t="n"/>
    </row>
    <row r="236" ht="14.25" customHeight="1" s="74">
      <c r="A236" s="2" t="n"/>
      <c r="B236" s="2" t="n"/>
      <c r="C236" s="2" t="n"/>
      <c r="D236" s="2" t="n"/>
    </row>
    <row r="237" ht="14.25" customHeight="1" s="74">
      <c r="A237" s="2" t="n"/>
      <c r="B237" s="2" t="n"/>
      <c r="C237" s="2" t="n"/>
      <c r="D237" s="2" t="n"/>
    </row>
    <row r="238" ht="14.25" customHeight="1" s="74">
      <c r="A238" s="2" t="n"/>
      <c r="B238" s="2" t="n"/>
      <c r="C238" s="2" t="n"/>
      <c r="D238" s="2" t="n"/>
    </row>
    <row r="239" ht="14.25" customHeight="1" s="74">
      <c r="A239" s="2" t="n"/>
      <c r="B239" s="2" t="n"/>
      <c r="C239" s="2" t="n"/>
      <c r="D239" s="2" t="n"/>
    </row>
    <row r="240" ht="14.25" customHeight="1" s="74">
      <c r="A240" s="2" t="n"/>
      <c r="B240" s="2" t="n"/>
      <c r="C240" s="2" t="n"/>
      <c r="D240" s="2" t="n"/>
    </row>
    <row r="241" ht="14.25" customHeight="1" s="74">
      <c r="A241" s="2" t="n"/>
      <c r="B241" s="2" t="n"/>
      <c r="C241" s="2" t="n"/>
      <c r="D241" s="2" t="n"/>
    </row>
    <row r="242" ht="14.25" customHeight="1" s="74">
      <c r="A242" s="2" t="n"/>
      <c r="B242" s="2" t="n"/>
      <c r="C242" s="2" t="n"/>
      <c r="D242" s="2" t="n"/>
    </row>
    <row r="243" ht="14.25" customHeight="1" s="74">
      <c r="A243" s="2" t="n"/>
      <c r="B243" s="2" t="n"/>
      <c r="C243" s="2" t="n"/>
      <c r="D243" s="2" t="n"/>
    </row>
    <row r="244" ht="14.25" customHeight="1" s="74">
      <c r="A244" s="2" t="n"/>
      <c r="B244" s="2" t="n"/>
      <c r="C244" s="2" t="n"/>
      <c r="D244" s="2" t="n"/>
    </row>
    <row r="245" ht="14.25" customHeight="1" s="74">
      <c r="A245" s="2" t="n"/>
      <c r="B245" s="2" t="n"/>
      <c r="C245" s="2" t="n"/>
      <c r="D245" s="2" t="n"/>
    </row>
    <row r="246" ht="14.25" customHeight="1" s="74">
      <c r="A246" s="2" t="n"/>
      <c r="B246" s="2" t="n"/>
      <c r="C246" s="2" t="n"/>
      <c r="D246" s="2" t="n"/>
    </row>
    <row r="247" ht="14.25" customHeight="1" s="74">
      <c r="A247" s="2" t="n"/>
      <c r="B247" s="2" t="n"/>
      <c r="C247" s="2" t="n"/>
      <c r="D247" s="2" t="n"/>
    </row>
    <row r="248" ht="14.25" customHeight="1" s="74">
      <c r="A248" s="2" t="n"/>
      <c r="B248" s="2" t="n"/>
      <c r="C248" s="2" t="n"/>
      <c r="D248" s="2" t="n"/>
    </row>
    <row r="249" ht="14.25" customHeight="1" s="74">
      <c r="A249" s="2" t="n"/>
      <c r="B249" s="2" t="n"/>
      <c r="C249" s="2" t="n"/>
      <c r="D249" s="2" t="n"/>
    </row>
    <row r="250" ht="14.25" customHeight="1" s="74">
      <c r="A250" s="2" t="n"/>
      <c r="B250" s="2" t="n"/>
      <c r="C250" s="2" t="n"/>
      <c r="D250" s="2" t="n"/>
    </row>
    <row r="251" ht="14.25" customHeight="1" s="74">
      <c r="A251" s="2" t="n"/>
      <c r="B251" s="2" t="n"/>
      <c r="C251" s="2" t="n"/>
      <c r="D251" s="2" t="n"/>
    </row>
    <row r="252" ht="14.25" customHeight="1" s="74">
      <c r="A252" s="2" t="n"/>
      <c r="B252" s="2" t="n"/>
      <c r="C252" s="2" t="n"/>
      <c r="D252" s="2" t="n"/>
    </row>
    <row r="253" ht="14.25" customHeight="1" s="74">
      <c r="A253" s="2" t="n"/>
      <c r="B253" s="2" t="n"/>
      <c r="C253" s="2" t="n"/>
      <c r="D253" s="2" t="n"/>
    </row>
    <row r="254" ht="14.25" customHeight="1" s="74">
      <c r="A254" s="2" t="n"/>
      <c r="B254" s="2" t="n"/>
      <c r="C254" s="2" t="n"/>
      <c r="D254" s="2" t="n"/>
    </row>
    <row r="255" ht="14.25" customHeight="1" s="74">
      <c r="A255" s="2" t="n"/>
      <c r="B255" s="2" t="n"/>
      <c r="C255" s="2" t="n"/>
      <c r="D255" s="2" t="n"/>
    </row>
    <row r="256" ht="14.25" customHeight="1" s="74">
      <c r="A256" s="2" t="n"/>
      <c r="B256" s="2" t="n"/>
      <c r="C256" s="2" t="n"/>
      <c r="D256" s="2" t="n"/>
    </row>
    <row r="257" ht="14.25" customHeight="1" s="74">
      <c r="A257" s="2" t="n"/>
      <c r="B257" s="2" t="n"/>
      <c r="C257" s="2" t="n"/>
      <c r="D257" s="2" t="n"/>
    </row>
    <row r="258" ht="14.25" customHeight="1" s="74">
      <c r="A258" s="2" t="n"/>
      <c r="B258" s="2" t="n"/>
      <c r="C258" s="2" t="n"/>
      <c r="D258" s="2" t="n"/>
    </row>
    <row r="259" ht="14.25" customHeight="1" s="74">
      <c r="A259" s="2" t="n"/>
      <c r="B259" s="2" t="n"/>
      <c r="C259" s="2" t="n"/>
      <c r="D259" s="2" t="n"/>
    </row>
    <row r="260" ht="14.25" customHeight="1" s="74">
      <c r="A260" s="2" t="n"/>
      <c r="B260" s="2" t="n"/>
      <c r="C260" s="2" t="n"/>
      <c r="D260" s="2" t="n"/>
    </row>
    <row r="261" ht="14.25" customHeight="1" s="74">
      <c r="A261" s="2" t="n"/>
      <c r="B261" s="2" t="n"/>
      <c r="C261" s="2" t="n"/>
      <c r="D261" s="2" t="n"/>
    </row>
    <row r="262" ht="14.25" customHeight="1" s="74">
      <c r="A262" s="2" t="n"/>
      <c r="B262" s="2" t="n"/>
      <c r="C262" s="2" t="n"/>
      <c r="D262" s="2" t="n"/>
    </row>
    <row r="263" ht="14.25" customHeight="1" s="74">
      <c r="A263" s="2" t="n"/>
      <c r="B263" s="2" t="n"/>
      <c r="C263" s="2" t="n"/>
      <c r="D263" s="2" t="n"/>
    </row>
    <row r="264" ht="14.25" customHeight="1" s="74">
      <c r="A264" s="2" t="n"/>
      <c r="B264" s="2" t="n"/>
      <c r="C264" s="2" t="n"/>
      <c r="D264" s="2" t="n"/>
    </row>
    <row r="265" ht="14.25" customHeight="1" s="74">
      <c r="A265" s="2" t="n"/>
      <c r="B265" s="2" t="n"/>
      <c r="C265" s="2" t="n"/>
      <c r="D265" s="2" t="n"/>
    </row>
    <row r="266" ht="14.25" customHeight="1" s="74">
      <c r="A266" s="2" t="n"/>
      <c r="B266" s="2" t="n"/>
      <c r="C266" s="2" t="n"/>
      <c r="D266" s="2" t="n"/>
    </row>
    <row r="267" ht="14.25" customHeight="1" s="74">
      <c r="A267" s="2" t="n"/>
      <c r="B267" s="2" t="n"/>
      <c r="C267" s="2" t="n"/>
      <c r="D267" s="2" t="n"/>
    </row>
    <row r="268" ht="14.25" customHeight="1" s="74">
      <c r="A268" s="2" t="n"/>
      <c r="B268" s="2" t="n"/>
      <c r="C268" s="2" t="n"/>
      <c r="D268" s="2" t="n"/>
    </row>
    <row r="269" ht="14.25" customHeight="1" s="74">
      <c r="A269" s="2" t="n"/>
      <c r="B269" s="2" t="n"/>
      <c r="C269" s="2" t="n"/>
      <c r="D269" s="2" t="n"/>
    </row>
    <row r="270" ht="14.25" customHeight="1" s="74">
      <c r="A270" s="2" t="n"/>
      <c r="B270" s="2" t="n"/>
      <c r="C270" s="2" t="n"/>
      <c r="D270" s="2" t="n"/>
    </row>
    <row r="271" ht="14.25" customHeight="1" s="74">
      <c r="A271" s="2" t="n"/>
      <c r="B271" s="2" t="n"/>
      <c r="C271" s="2" t="n"/>
      <c r="D271" s="2" t="n"/>
    </row>
    <row r="272" ht="14.25" customHeight="1" s="74">
      <c r="A272" s="2" t="n"/>
      <c r="B272" s="2" t="n"/>
      <c r="C272" s="2" t="n"/>
      <c r="D272" s="2" t="n"/>
    </row>
    <row r="273" ht="14.25" customHeight="1" s="74">
      <c r="A273" s="2" t="n"/>
      <c r="B273" s="2" t="n"/>
      <c r="C273" s="2" t="n"/>
      <c r="D273" s="2" t="n"/>
    </row>
    <row r="274" ht="14.25" customHeight="1" s="74">
      <c r="A274" s="2" t="n"/>
      <c r="B274" s="2" t="n"/>
      <c r="C274" s="2" t="n"/>
      <c r="D274" s="2" t="n"/>
    </row>
    <row r="275" ht="14.25" customHeight="1" s="74">
      <c r="A275" s="2" t="n"/>
      <c r="B275" s="2" t="n"/>
      <c r="C275" s="2" t="n"/>
      <c r="D275" s="2" t="n"/>
    </row>
    <row r="276" ht="14.25" customHeight="1" s="74">
      <c r="A276" s="2" t="n"/>
      <c r="B276" s="2" t="n"/>
      <c r="C276" s="2" t="n"/>
      <c r="D276" s="2" t="n"/>
    </row>
    <row r="277" ht="14.25" customHeight="1" s="74">
      <c r="A277" s="2" t="n"/>
      <c r="B277" s="2" t="n"/>
      <c r="C277" s="2" t="n"/>
      <c r="D277" s="2" t="n"/>
    </row>
    <row r="278" ht="14.25" customHeight="1" s="74">
      <c r="A278" s="2" t="n"/>
      <c r="B278" s="2" t="n"/>
      <c r="C278" s="2" t="n"/>
      <c r="D278" s="2" t="n"/>
    </row>
    <row r="279" ht="14.25" customHeight="1" s="74">
      <c r="A279" s="2" t="n"/>
      <c r="B279" s="2" t="n"/>
      <c r="C279" s="2" t="n"/>
      <c r="D279" s="2" t="n"/>
    </row>
    <row r="280" ht="14.25" customHeight="1" s="74">
      <c r="A280" s="2" t="n"/>
      <c r="B280" s="2" t="n"/>
      <c r="C280" s="2" t="n"/>
      <c r="D280" s="2" t="n"/>
    </row>
    <row r="281" ht="14.25" customHeight="1" s="74">
      <c r="A281" s="2" t="n"/>
      <c r="B281" s="2" t="n"/>
      <c r="C281" s="2" t="n"/>
      <c r="D281" s="2" t="n"/>
    </row>
    <row r="282" ht="14.25" customHeight="1" s="74">
      <c r="A282" s="2" t="n"/>
      <c r="B282" s="2" t="n"/>
      <c r="C282" s="2" t="n"/>
      <c r="D282" s="2" t="n"/>
    </row>
    <row r="283" ht="14.25" customHeight="1" s="74">
      <c r="A283" s="2" t="n"/>
      <c r="B283" s="2" t="n"/>
      <c r="C283" s="2" t="n"/>
      <c r="D283" s="2" t="n"/>
    </row>
    <row r="284" ht="14.25" customHeight="1" s="74">
      <c r="A284" s="2" t="n"/>
      <c r="B284" s="2" t="n"/>
      <c r="C284" s="2" t="n"/>
      <c r="D284" s="2" t="n"/>
    </row>
    <row r="285" ht="14.25" customHeight="1" s="74">
      <c r="A285" s="2" t="n"/>
      <c r="B285" s="2" t="n"/>
      <c r="C285" s="2" t="n"/>
      <c r="D285" s="2" t="n"/>
    </row>
    <row r="286" ht="14.25" customHeight="1" s="74">
      <c r="A286" s="2" t="n"/>
      <c r="B286" s="2" t="n"/>
      <c r="C286" s="2" t="n"/>
      <c r="D286" s="2" t="n"/>
    </row>
    <row r="287" ht="14.25" customHeight="1" s="74">
      <c r="A287" s="2" t="n"/>
      <c r="B287" s="2" t="n"/>
      <c r="C287" s="2" t="n"/>
      <c r="D287" s="2" t="n"/>
    </row>
    <row r="288" ht="14.25" customHeight="1" s="74">
      <c r="A288" s="2" t="n"/>
      <c r="B288" s="2" t="n"/>
      <c r="C288" s="2" t="n"/>
      <c r="D288" s="2" t="n"/>
    </row>
    <row r="289" ht="14.25" customHeight="1" s="74">
      <c r="A289" s="2" t="n"/>
      <c r="B289" s="2" t="n"/>
      <c r="C289" s="2" t="n"/>
      <c r="D289" s="2" t="n"/>
    </row>
    <row r="290" ht="14.25" customHeight="1" s="74">
      <c r="A290" s="2" t="n"/>
      <c r="B290" s="2" t="n"/>
      <c r="C290" s="2" t="n"/>
      <c r="D290" s="2" t="n"/>
    </row>
    <row r="291" ht="14.25" customHeight="1" s="74">
      <c r="A291" s="2" t="n"/>
      <c r="B291" s="2" t="n"/>
      <c r="C291" s="2" t="n"/>
      <c r="D291" s="2" t="n"/>
    </row>
    <row r="292" ht="14.25" customHeight="1" s="74">
      <c r="A292" s="2" t="n"/>
      <c r="B292" s="2" t="n"/>
      <c r="C292" s="2" t="n"/>
      <c r="D292" s="2" t="n"/>
    </row>
    <row r="293" ht="14.25" customHeight="1" s="74">
      <c r="A293" s="2" t="n"/>
      <c r="B293" s="2" t="n"/>
      <c r="C293" s="2" t="n"/>
      <c r="D293" s="2" t="n"/>
    </row>
    <row r="294" ht="14.25" customHeight="1" s="74">
      <c r="A294" s="2" t="n"/>
      <c r="B294" s="2" t="n"/>
      <c r="C294" s="2" t="n"/>
      <c r="D294" s="2" t="n"/>
    </row>
    <row r="295" ht="14.25" customHeight="1" s="74">
      <c r="A295" s="2" t="n"/>
      <c r="B295" s="2" t="n"/>
      <c r="C295" s="2" t="n"/>
      <c r="D295" s="2" t="n"/>
    </row>
    <row r="296" ht="14.25" customHeight="1" s="74">
      <c r="A296" s="2" t="n"/>
      <c r="B296" s="2" t="n"/>
      <c r="C296" s="2" t="n"/>
      <c r="D296" s="2" t="n"/>
    </row>
    <row r="297" ht="14.25" customHeight="1" s="74">
      <c r="A297" s="2" t="n"/>
      <c r="B297" s="2" t="n"/>
      <c r="C297" s="2" t="n"/>
      <c r="D297" s="2" t="n"/>
    </row>
    <row r="298" ht="14.25" customHeight="1" s="74">
      <c r="A298" s="2" t="n"/>
      <c r="B298" s="2" t="n"/>
      <c r="C298" s="2" t="n"/>
      <c r="D298" s="2" t="n"/>
    </row>
    <row r="299" ht="14.25" customHeight="1" s="74">
      <c r="A299" s="2" t="n"/>
      <c r="B299" s="2" t="n"/>
      <c r="C299" s="2" t="n"/>
      <c r="D299" s="2" t="n"/>
    </row>
    <row r="300" ht="14.25" customHeight="1" s="74">
      <c r="A300" s="2" t="n"/>
      <c r="B300" s="2" t="n"/>
      <c r="C300" s="2" t="n"/>
      <c r="D300" s="2" t="n"/>
    </row>
    <row r="301" ht="14.25" customHeight="1" s="74">
      <c r="A301" s="2" t="n"/>
      <c r="B301" s="2" t="n"/>
      <c r="C301" s="2" t="n"/>
      <c r="D301" s="2" t="n"/>
    </row>
    <row r="302" ht="14.25" customHeight="1" s="74">
      <c r="A302" s="2" t="n"/>
      <c r="B302" s="2" t="n"/>
      <c r="C302" s="2" t="n"/>
      <c r="D302" s="2" t="n"/>
    </row>
    <row r="303" ht="14.25" customHeight="1" s="74">
      <c r="A303" s="2" t="n"/>
      <c r="B303" s="2" t="n"/>
      <c r="C303" s="2" t="n"/>
      <c r="D303" s="2" t="n"/>
    </row>
    <row r="304" ht="14.25" customHeight="1" s="74">
      <c r="A304" s="2" t="n"/>
      <c r="B304" s="2" t="n"/>
      <c r="C304" s="2" t="n"/>
      <c r="D304" s="2" t="n"/>
    </row>
    <row r="305" ht="14.25" customHeight="1" s="74">
      <c r="A305" s="2" t="n"/>
      <c r="B305" s="2" t="n"/>
      <c r="C305" s="2" t="n"/>
      <c r="D305" s="2" t="n"/>
    </row>
    <row r="306" ht="14.25" customHeight="1" s="74">
      <c r="A306" s="2" t="n"/>
      <c r="B306" s="2" t="n"/>
      <c r="C306" s="2" t="n"/>
      <c r="D306" s="2" t="n"/>
    </row>
    <row r="307" ht="14.25" customHeight="1" s="74">
      <c r="A307" s="2" t="n"/>
      <c r="B307" s="2" t="n"/>
      <c r="C307" s="2" t="n"/>
      <c r="D307" s="2" t="n"/>
    </row>
    <row r="308" ht="14.25" customHeight="1" s="74">
      <c r="A308" s="2" t="n"/>
      <c r="B308" s="2" t="n"/>
      <c r="C308" s="2" t="n"/>
      <c r="D308" s="2" t="n"/>
    </row>
    <row r="309" ht="14.25" customHeight="1" s="74">
      <c r="A309" s="2" t="n"/>
      <c r="B309" s="2" t="n"/>
      <c r="C309" s="2" t="n"/>
      <c r="D309" s="2" t="n"/>
    </row>
    <row r="310" ht="14.25" customHeight="1" s="74">
      <c r="A310" s="2" t="n"/>
      <c r="B310" s="2" t="n"/>
      <c r="C310" s="2" t="n"/>
      <c r="D310" s="2" t="n"/>
    </row>
    <row r="311" ht="14.25" customHeight="1" s="74">
      <c r="A311" s="2" t="n"/>
      <c r="B311" s="2" t="n"/>
      <c r="C311" s="2" t="n"/>
      <c r="D311" s="2" t="n"/>
    </row>
    <row r="312" ht="14.25" customHeight="1" s="74">
      <c r="A312" s="2" t="n"/>
      <c r="B312" s="2" t="n"/>
      <c r="C312" s="2" t="n"/>
      <c r="D312" s="2" t="n"/>
    </row>
    <row r="313" ht="14.25" customHeight="1" s="74">
      <c r="A313" s="2" t="n"/>
      <c r="B313" s="2" t="n"/>
      <c r="C313" s="2" t="n"/>
      <c r="D313" s="2" t="n"/>
    </row>
    <row r="314" ht="14.25" customHeight="1" s="74">
      <c r="A314" s="2" t="n"/>
      <c r="B314" s="2" t="n"/>
      <c r="C314" s="2" t="n"/>
      <c r="D314" s="2" t="n"/>
    </row>
    <row r="315" ht="14.25" customHeight="1" s="74">
      <c r="A315" s="2" t="n"/>
      <c r="B315" s="2" t="n"/>
      <c r="C315" s="2" t="n"/>
      <c r="D315" s="2" t="n"/>
    </row>
    <row r="316" ht="14.25" customHeight="1" s="74">
      <c r="A316" s="2" t="n"/>
      <c r="B316" s="2" t="n"/>
      <c r="C316" s="2" t="n"/>
      <c r="D316" s="2" t="n"/>
    </row>
    <row r="317" ht="14.25" customHeight="1" s="74">
      <c r="A317" s="2" t="n"/>
      <c r="B317" s="2" t="n"/>
      <c r="C317" s="2" t="n"/>
      <c r="D317" s="2" t="n"/>
    </row>
    <row r="318" ht="14.25" customHeight="1" s="74">
      <c r="A318" s="2" t="n"/>
      <c r="B318" s="2" t="n"/>
      <c r="C318" s="2" t="n"/>
      <c r="D318" s="2" t="n"/>
    </row>
    <row r="319" ht="14.25" customHeight="1" s="74">
      <c r="A319" s="2" t="n"/>
      <c r="B319" s="2" t="n"/>
      <c r="C319" s="2" t="n"/>
      <c r="D319" s="2" t="n"/>
    </row>
    <row r="320" ht="14.25" customHeight="1" s="74">
      <c r="A320" s="2" t="n"/>
      <c r="B320" s="2" t="n"/>
      <c r="C320" s="2" t="n"/>
      <c r="D320" s="2" t="n"/>
    </row>
    <row r="321" ht="14.25" customHeight="1" s="74">
      <c r="A321" s="2" t="n"/>
      <c r="B321" s="2" t="n"/>
      <c r="C321" s="2" t="n"/>
      <c r="D321" s="2" t="n"/>
    </row>
    <row r="322" ht="14.25" customHeight="1" s="74">
      <c r="A322" s="2" t="n"/>
      <c r="B322" s="2" t="n"/>
      <c r="C322" s="2" t="n"/>
      <c r="D322" s="2" t="n"/>
    </row>
    <row r="323" ht="14.25" customHeight="1" s="74">
      <c r="A323" s="2" t="n"/>
      <c r="B323" s="2" t="n"/>
      <c r="C323" s="2" t="n"/>
      <c r="D323" s="2" t="n"/>
    </row>
    <row r="324" ht="14.25" customHeight="1" s="74">
      <c r="A324" s="2" t="n"/>
      <c r="B324" s="2" t="n"/>
      <c r="C324" s="2" t="n"/>
      <c r="D324" s="2" t="n"/>
    </row>
    <row r="325" ht="14.25" customHeight="1" s="74">
      <c r="A325" s="2" t="n"/>
      <c r="B325" s="2" t="n"/>
      <c r="C325" s="2" t="n"/>
      <c r="D325" s="2" t="n"/>
    </row>
    <row r="326" ht="14.25" customHeight="1" s="74">
      <c r="A326" s="2" t="n"/>
      <c r="B326" s="2" t="n"/>
      <c r="C326" s="2" t="n"/>
      <c r="D326" s="2" t="n"/>
    </row>
    <row r="327" ht="14.25" customHeight="1" s="74">
      <c r="A327" s="2" t="n"/>
      <c r="B327" s="2" t="n"/>
      <c r="C327" s="2" t="n"/>
      <c r="D327" s="2" t="n"/>
    </row>
    <row r="328" ht="14.25" customHeight="1" s="74">
      <c r="A328" s="2" t="n"/>
      <c r="B328" s="2" t="n"/>
      <c r="C328" s="2" t="n"/>
      <c r="D328" s="2" t="n"/>
    </row>
    <row r="329" ht="14.25" customHeight="1" s="74">
      <c r="A329" s="2" t="n"/>
      <c r="B329" s="2" t="n"/>
      <c r="C329" s="2" t="n"/>
      <c r="D329" s="2" t="n"/>
    </row>
    <row r="330" ht="14.25" customHeight="1" s="74">
      <c r="A330" s="2" t="n"/>
      <c r="B330" s="2" t="n"/>
      <c r="C330" s="2" t="n"/>
      <c r="D330" s="2" t="n"/>
    </row>
    <row r="331" ht="14.25" customHeight="1" s="74">
      <c r="A331" s="2" t="n"/>
      <c r="B331" s="2" t="n"/>
      <c r="C331" s="2" t="n"/>
      <c r="D331" s="2" t="n"/>
    </row>
    <row r="332" ht="14.25" customHeight="1" s="74">
      <c r="A332" s="2" t="n"/>
      <c r="B332" s="2" t="n"/>
      <c r="C332" s="2" t="n"/>
      <c r="D332" s="2" t="n"/>
    </row>
    <row r="333" ht="14.25" customHeight="1" s="74">
      <c r="A333" s="2" t="n"/>
      <c r="B333" s="2" t="n"/>
      <c r="C333" s="2" t="n"/>
      <c r="D333" s="2" t="n"/>
    </row>
    <row r="334" ht="14.25" customHeight="1" s="74">
      <c r="A334" s="2" t="n"/>
      <c r="B334" s="2" t="n"/>
      <c r="C334" s="2" t="n"/>
      <c r="D334" s="2" t="n"/>
    </row>
    <row r="335" ht="14.25" customHeight="1" s="74">
      <c r="A335" s="2" t="n"/>
      <c r="B335" s="2" t="n"/>
      <c r="C335" s="2" t="n"/>
      <c r="D335" s="2" t="n"/>
    </row>
    <row r="336" ht="14.25" customHeight="1" s="74">
      <c r="A336" s="2" t="n"/>
      <c r="B336" s="2" t="n"/>
      <c r="C336" s="2" t="n"/>
      <c r="D336" s="2" t="n"/>
    </row>
    <row r="337" ht="14.25" customHeight="1" s="74">
      <c r="A337" s="2" t="n"/>
      <c r="B337" s="2" t="n"/>
      <c r="C337" s="2" t="n"/>
      <c r="D337" s="2" t="n"/>
    </row>
    <row r="338" ht="14.25" customHeight="1" s="74">
      <c r="A338" s="2" t="n"/>
      <c r="B338" s="2" t="n"/>
      <c r="C338" s="2" t="n"/>
      <c r="D338" s="2" t="n"/>
    </row>
    <row r="339" ht="14.25" customHeight="1" s="74">
      <c r="A339" s="2" t="n"/>
      <c r="B339" s="2" t="n"/>
      <c r="C339" s="2" t="n"/>
      <c r="D339" s="2" t="n"/>
    </row>
    <row r="340" ht="14.25" customHeight="1" s="74">
      <c r="A340" s="2" t="n"/>
      <c r="B340" s="2" t="n"/>
      <c r="C340" s="2" t="n"/>
      <c r="D340" s="2" t="n"/>
    </row>
    <row r="341" ht="14.25" customHeight="1" s="74">
      <c r="A341" s="2" t="n"/>
      <c r="B341" s="2" t="n"/>
      <c r="C341" s="2" t="n"/>
      <c r="D341" s="2" t="n"/>
    </row>
    <row r="342" ht="14.25" customHeight="1" s="74">
      <c r="A342" s="2" t="n"/>
      <c r="B342" s="2" t="n"/>
      <c r="C342" s="2" t="n"/>
      <c r="D342" s="2" t="n"/>
    </row>
    <row r="343" ht="14.25" customHeight="1" s="74">
      <c r="A343" s="2" t="n"/>
      <c r="B343" s="2" t="n"/>
      <c r="C343" s="2" t="n"/>
      <c r="D343" s="2" t="n"/>
    </row>
    <row r="344" ht="14.25" customHeight="1" s="74">
      <c r="A344" s="2" t="n"/>
      <c r="B344" s="2" t="n"/>
      <c r="C344" s="2" t="n"/>
      <c r="D344" s="2" t="n"/>
    </row>
    <row r="345" ht="14.25" customHeight="1" s="74">
      <c r="A345" s="2" t="n"/>
      <c r="B345" s="2" t="n"/>
      <c r="C345" s="2" t="n"/>
      <c r="D345" s="2" t="n"/>
    </row>
    <row r="346" ht="14.25" customHeight="1" s="74">
      <c r="A346" s="2" t="n"/>
      <c r="B346" s="2" t="n"/>
      <c r="C346" s="2" t="n"/>
      <c r="D346" s="2" t="n"/>
    </row>
    <row r="347" ht="14.25" customHeight="1" s="74">
      <c r="A347" s="2" t="n"/>
      <c r="B347" s="2" t="n"/>
      <c r="C347" s="2" t="n"/>
      <c r="D347" s="2" t="n"/>
    </row>
    <row r="348" ht="14.25" customHeight="1" s="74">
      <c r="A348" s="2" t="n"/>
      <c r="B348" s="2" t="n"/>
      <c r="C348" s="2" t="n"/>
      <c r="D348" s="2" t="n"/>
    </row>
    <row r="349" ht="14.25" customHeight="1" s="74">
      <c r="A349" s="2" t="n"/>
      <c r="B349" s="2" t="n"/>
      <c r="C349" s="2" t="n"/>
      <c r="D349" s="2" t="n"/>
    </row>
    <row r="350" ht="14.25" customHeight="1" s="74">
      <c r="A350" s="2" t="n"/>
      <c r="B350" s="2" t="n"/>
      <c r="C350" s="2" t="n"/>
      <c r="D350" s="2" t="n"/>
    </row>
    <row r="351" ht="14.25" customHeight="1" s="74">
      <c r="A351" s="2" t="n"/>
      <c r="B351" s="2" t="n"/>
      <c r="C351" s="2" t="n"/>
      <c r="D351" s="2" t="n"/>
    </row>
    <row r="352" ht="14.25" customHeight="1" s="74">
      <c r="A352" s="2" t="n"/>
      <c r="B352" s="2" t="n"/>
      <c r="C352" s="2" t="n"/>
      <c r="D352" s="2" t="n"/>
    </row>
    <row r="353" ht="14.25" customHeight="1" s="74">
      <c r="A353" s="2" t="n"/>
      <c r="B353" s="2" t="n"/>
      <c r="C353" s="2" t="n"/>
      <c r="D353" s="2" t="n"/>
    </row>
    <row r="354" ht="14.25" customHeight="1" s="74">
      <c r="A354" s="2" t="n"/>
      <c r="B354" s="2" t="n"/>
      <c r="C354" s="2" t="n"/>
      <c r="D354" s="2" t="n"/>
    </row>
    <row r="355" ht="14.25" customHeight="1" s="74">
      <c r="A355" s="2" t="n"/>
      <c r="B355" s="2" t="n"/>
      <c r="C355" s="2" t="n"/>
      <c r="D355" s="2" t="n"/>
    </row>
    <row r="356" ht="14.25" customHeight="1" s="74">
      <c r="A356" s="2" t="n"/>
      <c r="B356" s="2" t="n"/>
      <c r="C356" s="2" t="n"/>
      <c r="D356" s="2" t="n"/>
    </row>
    <row r="357" ht="14.25" customHeight="1" s="74">
      <c r="A357" s="2" t="n"/>
      <c r="B357" s="2" t="n"/>
      <c r="C357" s="2" t="n"/>
      <c r="D357" s="2" t="n"/>
    </row>
    <row r="358" ht="14.25" customHeight="1" s="74">
      <c r="A358" s="2" t="n"/>
      <c r="B358" s="2" t="n"/>
      <c r="C358" s="2" t="n"/>
      <c r="D358" s="2" t="n"/>
    </row>
    <row r="359" ht="14.25" customHeight="1" s="74">
      <c r="A359" s="2" t="n"/>
      <c r="B359" s="2" t="n"/>
      <c r="C359" s="2" t="n"/>
      <c r="D359" s="2" t="n"/>
    </row>
    <row r="360" ht="14.25" customHeight="1" s="74">
      <c r="A360" s="2" t="n"/>
      <c r="B360" s="2" t="n"/>
      <c r="C360" s="2" t="n"/>
      <c r="D360" s="2" t="n"/>
    </row>
    <row r="361" ht="14.25" customHeight="1" s="74">
      <c r="A361" s="2" t="n"/>
      <c r="B361" s="2" t="n"/>
      <c r="C361" s="2" t="n"/>
      <c r="D361" s="2" t="n"/>
    </row>
    <row r="362" ht="14.25" customHeight="1" s="74">
      <c r="A362" s="2" t="n"/>
      <c r="B362" s="2" t="n"/>
      <c r="C362" s="2" t="n"/>
      <c r="D362" s="2" t="n"/>
    </row>
    <row r="363" ht="14.25" customHeight="1" s="74">
      <c r="A363" s="2" t="n"/>
      <c r="B363" s="2" t="n"/>
      <c r="C363" s="2" t="n"/>
      <c r="D363" s="2" t="n"/>
    </row>
    <row r="364" ht="14.25" customHeight="1" s="74">
      <c r="A364" s="2" t="n"/>
      <c r="B364" s="2" t="n"/>
      <c r="C364" s="2" t="n"/>
      <c r="D364" s="2" t="n"/>
    </row>
    <row r="365" ht="14.25" customHeight="1" s="74">
      <c r="A365" s="2" t="n"/>
      <c r="B365" s="2" t="n"/>
      <c r="C365" s="2" t="n"/>
      <c r="D365" s="2" t="n"/>
    </row>
    <row r="366" ht="14.25" customHeight="1" s="74">
      <c r="A366" s="2" t="n"/>
      <c r="B366" s="2" t="n"/>
      <c r="C366" s="2" t="n"/>
      <c r="D366" s="2" t="n"/>
    </row>
    <row r="367" ht="14.25" customHeight="1" s="74">
      <c r="A367" s="2" t="n"/>
      <c r="B367" s="2" t="n"/>
      <c r="C367" s="2" t="n"/>
      <c r="D367" s="2" t="n"/>
    </row>
    <row r="368" ht="14.25" customHeight="1" s="74">
      <c r="A368" s="2" t="n"/>
      <c r="B368" s="2" t="n"/>
      <c r="C368" s="2" t="n"/>
      <c r="D368" s="2" t="n"/>
    </row>
    <row r="369" ht="14.25" customHeight="1" s="74">
      <c r="A369" s="2" t="n"/>
      <c r="B369" s="2" t="n"/>
      <c r="C369" s="2" t="n"/>
      <c r="D369" s="2" t="n"/>
    </row>
    <row r="370" ht="14.25" customHeight="1" s="74">
      <c r="A370" s="2" t="n"/>
      <c r="B370" s="2" t="n"/>
      <c r="C370" s="2" t="n"/>
      <c r="D370" s="2" t="n"/>
    </row>
    <row r="371" ht="14.25" customHeight="1" s="74">
      <c r="A371" s="2" t="n"/>
      <c r="B371" s="2" t="n"/>
      <c r="C371" s="2" t="n"/>
      <c r="D371" s="2" t="n"/>
    </row>
    <row r="372" ht="14.25" customHeight="1" s="74">
      <c r="A372" s="2" t="n"/>
      <c r="B372" s="2" t="n"/>
      <c r="C372" s="2" t="n"/>
      <c r="D372" s="2" t="n"/>
    </row>
    <row r="373" ht="14.25" customHeight="1" s="74">
      <c r="A373" s="2" t="n"/>
      <c r="B373" s="2" t="n"/>
      <c r="C373" s="2" t="n"/>
      <c r="D373" s="2" t="n"/>
    </row>
    <row r="374" ht="14.25" customHeight="1" s="74">
      <c r="A374" s="2" t="n"/>
      <c r="B374" s="2" t="n"/>
      <c r="C374" s="2" t="n"/>
      <c r="D374" s="2" t="n"/>
    </row>
    <row r="375" ht="14.25" customHeight="1" s="74">
      <c r="A375" s="2" t="n"/>
      <c r="B375" s="2" t="n"/>
      <c r="C375" s="2" t="n"/>
      <c r="D375" s="2" t="n"/>
    </row>
    <row r="376" ht="14.25" customHeight="1" s="74">
      <c r="A376" s="2" t="n"/>
      <c r="B376" s="2" t="n"/>
      <c r="C376" s="2" t="n"/>
      <c r="D376" s="2" t="n"/>
    </row>
    <row r="377" ht="14.25" customHeight="1" s="74">
      <c r="A377" s="2" t="n"/>
      <c r="B377" s="2" t="n"/>
      <c r="C377" s="2" t="n"/>
      <c r="D377" s="2" t="n"/>
    </row>
    <row r="378" ht="14.25" customHeight="1" s="74">
      <c r="A378" s="2" t="n"/>
      <c r="B378" s="2" t="n"/>
      <c r="C378" s="2" t="n"/>
      <c r="D378" s="2" t="n"/>
    </row>
    <row r="379" ht="14.25" customHeight="1" s="74">
      <c r="A379" s="2" t="n"/>
      <c r="B379" s="2" t="n"/>
      <c r="C379" s="2" t="n"/>
      <c r="D379" s="2" t="n"/>
    </row>
    <row r="380" ht="14.25" customHeight="1" s="74">
      <c r="A380" s="2" t="n"/>
      <c r="B380" s="2" t="n"/>
      <c r="C380" s="2" t="n"/>
      <c r="D380" s="2" t="n"/>
    </row>
    <row r="381" ht="14.25" customHeight="1" s="74">
      <c r="A381" s="2" t="n"/>
      <c r="B381" s="2" t="n"/>
      <c r="C381" s="2" t="n"/>
      <c r="D381" s="2" t="n"/>
    </row>
    <row r="382" ht="14.25" customHeight="1" s="74">
      <c r="A382" s="2" t="n"/>
      <c r="B382" s="2" t="n"/>
      <c r="C382" s="2" t="n"/>
      <c r="D382" s="2" t="n"/>
    </row>
    <row r="383" ht="14.25" customHeight="1" s="74">
      <c r="A383" s="2" t="n"/>
      <c r="B383" s="2" t="n"/>
      <c r="C383" s="2" t="n"/>
      <c r="D383" s="2" t="n"/>
    </row>
    <row r="384" ht="14.25" customHeight="1" s="74">
      <c r="A384" s="2" t="n"/>
      <c r="B384" s="2" t="n"/>
      <c r="C384" s="2" t="n"/>
      <c r="D384" s="2" t="n"/>
    </row>
    <row r="385" ht="14.25" customHeight="1" s="74">
      <c r="A385" s="2" t="n"/>
      <c r="B385" s="2" t="n"/>
      <c r="C385" s="2" t="n"/>
      <c r="D385" s="2" t="n"/>
    </row>
    <row r="386" ht="14.25" customHeight="1" s="74">
      <c r="A386" s="2" t="n"/>
      <c r="B386" s="2" t="n"/>
      <c r="C386" s="2" t="n"/>
      <c r="D386" s="2" t="n"/>
    </row>
    <row r="387" ht="14.25" customHeight="1" s="74">
      <c r="A387" s="2" t="n"/>
      <c r="B387" s="2" t="n"/>
      <c r="C387" s="2" t="n"/>
      <c r="D387" s="2" t="n"/>
    </row>
    <row r="388" ht="14.25" customHeight="1" s="74">
      <c r="A388" s="2" t="n"/>
      <c r="B388" s="2" t="n"/>
      <c r="C388" s="2" t="n"/>
      <c r="D388" s="2" t="n"/>
    </row>
    <row r="389" ht="14.25" customHeight="1" s="74">
      <c r="A389" s="2" t="n"/>
      <c r="B389" s="2" t="n"/>
      <c r="C389" s="2" t="n"/>
      <c r="D389" s="2" t="n"/>
    </row>
    <row r="390" ht="14.25" customHeight="1" s="74">
      <c r="A390" s="2" t="n"/>
      <c r="B390" s="2" t="n"/>
      <c r="C390" s="2" t="n"/>
      <c r="D390" s="2" t="n"/>
    </row>
    <row r="391" ht="14.25" customHeight="1" s="74">
      <c r="A391" s="2" t="n"/>
      <c r="B391" s="2" t="n"/>
      <c r="C391" s="2" t="n"/>
      <c r="D391" s="2" t="n"/>
    </row>
    <row r="392" ht="14.25" customHeight="1" s="74">
      <c r="A392" s="2" t="n"/>
      <c r="B392" s="2" t="n"/>
      <c r="C392" s="2" t="n"/>
      <c r="D392" s="2" t="n"/>
    </row>
    <row r="393" ht="14.25" customHeight="1" s="74">
      <c r="A393" s="2" t="n"/>
      <c r="B393" s="2" t="n"/>
      <c r="C393" s="2" t="n"/>
      <c r="D393" s="2" t="n"/>
    </row>
    <row r="394" ht="14.25" customHeight="1" s="74">
      <c r="A394" s="2" t="n"/>
      <c r="B394" s="2" t="n"/>
      <c r="C394" s="2" t="n"/>
      <c r="D394" s="2" t="n"/>
    </row>
    <row r="395" ht="14.25" customHeight="1" s="74">
      <c r="A395" s="2" t="n"/>
      <c r="B395" s="2" t="n"/>
      <c r="C395" s="2" t="n"/>
      <c r="D395" s="2" t="n"/>
    </row>
    <row r="396" ht="14.25" customHeight="1" s="74">
      <c r="A396" s="2" t="n"/>
      <c r="B396" s="2" t="n"/>
      <c r="C396" s="2" t="n"/>
      <c r="D396" s="2" t="n"/>
    </row>
    <row r="397" ht="14.25" customHeight="1" s="74">
      <c r="A397" s="2" t="n"/>
      <c r="B397" s="2" t="n"/>
      <c r="C397" s="2" t="n"/>
      <c r="D397" s="2" t="n"/>
    </row>
    <row r="398" ht="14.25" customHeight="1" s="74">
      <c r="A398" s="2" t="n"/>
      <c r="B398" s="2" t="n"/>
      <c r="C398" s="2" t="n"/>
      <c r="D398" s="2" t="n"/>
    </row>
    <row r="399" ht="14.25" customHeight="1" s="74">
      <c r="A399" s="2" t="n"/>
      <c r="B399" s="2" t="n"/>
      <c r="C399" s="2" t="n"/>
      <c r="D399" s="2" t="n"/>
    </row>
    <row r="400" ht="14.25" customHeight="1" s="74">
      <c r="A400" s="2" t="n"/>
      <c r="B400" s="2" t="n"/>
      <c r="C400" s="2" t="n"/>
      <c r="D400" s="2" t="n"/>
    </row>
    <row r="401" ht="14.25" customHeight="1" s="74">
      <c r="A401" s="2" t="n"/>
      <c r="B401" s="2" t="n"/>
      <c r="C401" s="2" t="n"/>
      <c r="D401" s="2" t="n"/>
    </row>
    <row r="402" ht="14.25" customHeight="1" s="74">
      <c r="A402" s="2" t="n"/>
      <c r="B402" s="2" t="n"/>
      <c r="C402" s="2" t="n"/>
      <c r="D402" s="2" t="n"/>
    </row>
    <row r="403" ht="14.25" customHeight="1" s="74">
      <c r="A403" s="2" t="n"/>
      <c r="B403" s="2" t="n"/>
      <c r="C403" s="2" t="n"/>
      <c r="D403" s="2" t="n"/>
    </row>
    <row r="404" ht="14.25" customHeight="1" s="74">
      <c r="A404" s="2" t="n"/>
      <c r="B404" s="2" t="n"/>
      <c r="C404" s="2" t="n"/>
      <c r="D404" s="2" t="n"/>
    </row>
    <row r="405" ht="14.25" customHeight="1" s="74">
      <c r="A405" s="2" t="n"/>
      <c r="B405" s="2" t="n"/>
      <c r="C405" s="2" t="n"/>
      <c r="D405" s="2" t="n"/>
    </row>
    <row r="406" ht="14.25" customHeight="1" s="74">
      <c r="A406" s="2" t="n"/>
      <c r="B406" s="2" t="n"/>
      <c r="C406" s="2" t="n"/>
      <c r="D406" s="2" t="n"/>
    </row>
    <row r="407" ht="14.25" customHeight="1" s="74">
      <c r="A407" s="2" t="n"/>
      <c r="B407" s="2" t="n"/>
      <c r="C407" s="2" t="n"/>
      <c r="D407" s="2" t="n"/>
    </row>
    <row r="408" ht="14.25" customHeight="1" s="74">
      <c r="A408" s="2" t="n"/>
      <c r="B408" s="2" t="n"/>
      <c r="C408" s="2" t="n"/>
      <c r="D408" s="2" t="n"/>
    </row>
    <row r="409" ht="14.25" customHeight="1" s="74">
      <c r="A409" s="2" t="n"/>
      <c r="B409" s="2" t="n"/>
      <c r="C409" s="2" t="n"/>
      <c r="D409" s="2" t="n"/>
    </row>
    <row r="410" ht="14.25" customHeight="1" s="74">
      <c r="A410" s="2" t="n"/>
      <c r="B410" s="2" t="n"/>
      <c r="C410" s="2" t="n"/>
      <c r="D410" s="2" t="n"/>
    </row>
    <row r="411" ht="14.25" customHeight="1" s="74">
      <c r="A411" s="2" t="n"/>
      <c r="B411" s="2" t="n"/>
      <c r="C411" s="2" t="n"/>
      <c r="D411" s="2" t="n"/>
    </row>
    <row r="412" ht="14.25" customHeight="1" s="74">
      <c r="A412" s="2" t="n"/>
      <c r="B412" s="2" t="n"/>
      <c r="C412" s="2" t="n"/>
      <c r="D412" s="2" t="n"/>
    </row>
    <row r="413" ht="14.25" customHeight="1" s="74">
      <c r="A413" s="2" t="n"/>
      <c r="B413" s="2" t="n"/>
      <c r="C413" s="2" t="n"/>
      <c r="D413" s="2" t="n"/>
    </row>
    <row r="414" ht="14.25" customHeight="1" s="74">
      <c r="A414" s="2" t="n"/>
      <c r="B414" s="2" t="n"/>
      <c r="C414" s="2" t="n"/>
      <c r="D414" s="2" t="n"/>
    </row>
    <row r="415" ht="14.25" customHeight="1" s="74">
      <c r="A415" s="2" t="n"/>
      <c r="B415" s="2" t="n"/>
      <c r="C415" s="2" t="n"/>
      <c r="D415" s="2" t="n"/>
    </row>
    <row r="416" ht="14.25" customHeight="1" s="74">
      <c r="A416" s="2" t="n"/>
      <c r="B416" s="2" t="n"/>
      <c r="C416" s="2" t="n"/>
      <c r="D416" s="2" t="n"/>
    </row>
    <row r="417" ht="14.25" customHeight="1" s="74">
      <c r="A417" s="2" t="n"/>
      <c r="B417" s="2" t="n"/>
      <c r="C417" s="2" t="n"/>
      <c r="D417" s="2" t="n"/>
    </row>
    <row r="418" ht="14.25" customHeight="1" s="74">
      <c r="A418" s="2" t="n"/>
      <c r="B418" s="2" t="n"/>
      <c r="C418" s="2" t="n"/>
      <c r="D418" s="2" t="n"/>
    </row>
    <row r="419" ht="14.25" customHeight="1" s="74">
      <c r="A419" s="2" t="n"/>
      <c r="B419" s="2" t="n"/>
      <c r="C419" s="2" t="n"/>
      <c r="D419" s="2" t="n"/>
    </row>
    <row r="420" ht="14.25" customHeight="1" s="74">
      <c r="A420" s="2" t="n"/>
      <c r="B420" s="2" t="n"/>
      <c r="C420" s="2" t="n"/>
      <c r="D420" s="2" t="n"/>
    </row>
    <row r="421" ht="14.25" customHeight="1" s="74">
      <c r="A421" s="2" t="n"/>
      <c r="B421" s="2" t="n"/>
      <c r="C421" s="2" t="n"/>
      <c r="D421" s="2" t="n"/>
    </row>
    <row r="422" ht="14.25" customHeight="1" s="74">
      <c r="A422" s="2" t="n"/>
      <c r="B422" s="2" t="n"/>
      <c r="C422" s="2" t="n"/>
      <c r="D422" s="2" t="n"/>
    </row>
    <row r="423" ht="14.25" customHeight="1" s="74">
      <c r="A423" s="2" t="n"/>
      <c r="B423" s="2" t="n"/>
      <c r="C423" s="2" t="n"/>
      <c r="D423" s="2" t="n"/>
    </row>
    <row r="424" ht="14.25" customHeight="1" s="74">
      <c r="A424" s="2" t="n"/>
      <c r="B424" s="2" t="n"/>
      <c r="C424" s="2" t="n"/>
      <c r="D424" s="2" t="n"/>
    </row>
    <row r="425" ht="14.25" customHeight="1" s="74">
      <c r="A425" s="2" t="n"/>
      <c r="B425" s="2" t="n"/>
      <c r="C425" s="2" t="n"/>
      <c r="D425" s="2" t="n"/>
    </row>
    <row r="426" ht="14.25" customHeight="1" s="74">
      <c r="A426" s="2" t="n"/>
      <c r="B426" s="2" t="n"/>
      <c r="C426" s="2" t="n"/>
      <c r="D426" s="2" t="n"/>
    </row>
    <row r="427" ht="14.25" customHeight="1" s="74">
      <c r="A427" s="2" t="n"/>
      <c r="B427" s="2" t="n"/>
      <c r="C427" s="2" t="n"/>
      <c r="D427" s="2" t="n"/>
    </row>
    <row r="428" ht="14.25" customHeight="1" s="74">
      <c r="A428" s="2" t="n"/>
      <c r="B428" s="2" t="n"/>
      <c r="C428" s="2" t="n"/>
      <c r="D428" s="2" t="n"/>
    </row>
    <row r="429" ht="14.25" customHeight="1" s="74">
      <c r="A429" s="2" t="n"/>
      <c r="B429" s="2" t="n"/>
      <c r="C429" s="2" t="n"/>
      <c r="D429" s="2" t="n"/>
    </row>
    <row r="430" ht="14.25" customHeight="1" s="74">
      <c r="A430" s="2" t="n"/>
      <c r="B430" s="2" t="n"/>
      <c r="C430" s="2" t="n"/>
      <c r="D430" s="2" t="n"/>
    </row>
    <row r="431" ht="14.25" customHeight="1" s="74">
      <c r="A431" s="2" t="n"/>
      <c r="B431" s="2" t="n"/>
      <c r="C431" s="2" t="n"/>
      <c r="D431" s="2" t="n"/>
    </row>
    <row r="432" ht="14.25" customHeight="1" s="74">
      <c r="A432" s="2" t="n"/>
      <c r="B432" s="2" t="n"/>
      <c r="C432" s="2" t="n"/>
      <c r="D432" s="2" t="n"/>
    </row>
    <row r="433" ht="14.25" customHeight="1" s="74">
      <c r="A433" s="2" t="n"/>
      <c r="B433" s="2" t="n"/>
      <c r="C433" s="2" t="n"/>
      <c r="D433" s="2" t="n"/>
    </row>
    <row r="434" ht="14.25" customHeight="1" s="74">
      <c r="A434" s="2" t="n"/>
      <c r="B434" s="2" t="n"/>
      <c r="C434" s="2" t="n"/>
      <c r="D434" s="2" t="n"/>
    </row>
    <row r="435" ht="14.25" customHeight="1" s="74">
      <c r="A435" s="2" t="n"/>
      <c r="B435" s="2" t="n"/>
      <c r="C435" s="2" t="n"/>
      <c r="D435" s="2" t="n"/>
    </row>
    <row r="436" ht="14.25" customHeight="1" s="74">
      <c r="A436" s="2" t="n"/>
      <c r="B436" s="2" t="n"/>
      <c r="C436" s="2" t="n"/>
      <c r="D436" s="2" t="n"/>
    </row>
    <row r="437" ht="14.25" customHeight="1" s="74">
      <c r="A437" s="2" t="n"/>
      <c r="B437" s="2" t="n"/>
      <c r="C437" s="2" t="n"/>
      <c r="D437" s="2" t="n"/>
    </row>
    <row r="438" ht="14.25" customHeight="1" s="74">
      <c r="A438" s="2" t="n"/>
      <c r="B438" s="2" t="n"/>
      <c r="C438" s="2" t="n"/>
      <c r="D438" s="2" t="n"/>
    </row>
    <row r="439" ht="14.25" customHeight="1" s="74">
      <c r="A439" s="2" t="n"/>
      <c r="B439" s="2" t="n"/>
      <c r="C439" s="2" t="n"/>
      <c r="D439" s="2" t="n"/>
    </row>
    <row r="440" ht="14.25" customHeight="1" s="74">
      <c r="A440" s="2" t="n"/>
      <c r="B440" s="2" t="n"/>
      <c r="C440" s="2" t="n"/>
      <c r="D440" s="2" t="n"/>
    </row>
    <row r="441" ht="14.25" customHeight="1" s="74">
      <c r="A441" s="2" t="n"/>
      <c r="B441" s="2" t="n"/>
      <c r="C441" s="2" t="n"/>
      <c r="D441" s="2" t="n"/>
    </row>
    <row r="442" ht="14.25" customHeight="1" s="74">
      <c r="A442" s="2" t="n"/>
      <c r="B442" s="2" t="n"/>
      <c r="C442" s="2" t="n"/>
      <c r="D442" s="2" t="n"/>
    </row>
    <row r="443" ht="14.25" customHeight="1" s="74">
      <c r="A443" s="2" t="n"/>
      <c r="B443" s="2" t="n"/>
      <c r="C443" s="2" t="n"/>
      <c r="D443" s="2" t="n"/>
    </row>
    <row r="444" ht="14.25" customHeight="1" s="74">
      <c r="A444" s="2" t="n"/>
      <c r="B444" s="2" t="n"/>
      <c r="C444" s="2" t="n"/>
      <c r="D444" s="2" t="n"/>
    </row>
    <row r="445" ht="14.25" customHeight="1" s="74">
      <c r="A445" s="2" t="n"/>
      <c r="B445" s="2" t="n"/>
      <c r="C445" s="2" t="n"/>
      <c r="D445" s="2" t="n"/>
    </row>
    <row r="446" ht="14.25" customHeight="1" s="74">
      <c r="A446" s="2" t="n"/>
      <c r="B446" s="2" t="n"/>
      <c r="C446" s="2" t="n"/>
      <c r="D446" s="2" t="n"/>
    </row>
    <row r="447" ht="14.25" customHeight="1" s="74">
      <c r="A447" s="2" t="n"/>
      <c r="B447" s="2" t="n"/>
      <c r="C447" s="2" t="n"/>
      <c r="D447" s="2" t="n"/>
    </row>
    <row r="448" ht="14.25" customHeight="1" s="74">
      <c r="A448" s="2" t="n"/>
      <c r="B448" s="2" t="n"/>
      <c r="C448" s="2" t="n"/>
      <c r="D448" s="2" t="n"/>
    </row>
    <row r="449" ht="14.25" customHeight="1" s="74">
      <c r="A449" s="2" t="n"/>
      <c r="B449" s="2" t="n"/>
      <c r="C449" s="2" t="n"/>
      <c r="D449" s="2" t="n"/>
    </row>
    <row r="450" ht="14.25" customHeight="1" s="74">
      <c r="A450" s="2" t="n"/>
      <c r="B450" s="2" t="n"/>
      <c r="C450" s="2" t="n"/>
      <c r="D450" s="2" t="n"/>
    </row>
    <row r="451" ht="14.25" customHeight="1" s="74">
      <c r="A451" s="2" t="n"/>
      <c r="B451" s="2" t="n"/>
      <c r="C451" s="2" t="n"/>
      <c r="D451" s="2" t="n"/>
    </row>
    <row r="452" ht="14.25" customHeight="1" s="74">
      <c r="A452" s="2" t="n"/>
      <c r="B452" s="2" t="n"/>
      <c r="C452" s="2" t="n"/>
      <c r="D452" s="2" t="n"/>
    </row>
    <row r="453" ht="14.25" customHeight="1" s="74">
      <c r="A453" s="2" t="n"/>
      <c r="B453" s="2" t="n"/>
      <c r="C453" s="2" t="n"/>
      <c r="D453" s="2" t="n"/>
    </row>
    <row r="454" ht="14.25" customHeight="1" s="74">
      <c r="A454" s="2" t="n"/>
      <c r="B454" s="2" t="n"/>
      <c r="C454" s="2" t="n"/>
      <c r="D454" s="2" t="n"/>
    </row>
    <row r="455" ht="14.25" customHeight="1" s="74">
      <c r="A455" s="2" t="n"/>
      <c r="B455" s="2" t="n"/>
      <c r="C455" s="2" t="n"/>
      <c r="D455" s="2" t="n"/>
    </row>
    <row r="456" ht="14.25" customHeight="1" s="74">
      <c r="A456" s="2" t="n"/>
      <c r="B456" s="2" t="n"/>
      <c r="C456" s="2" t="n"/>
      <c r="D456" s="2" t="n"/>
    </row>
    <row r="457" ht="14.25" customHeight="1" s="74">
      <c r="A457" s="2" t="n"/>
      <c r="B457" s="2" t="n"/>
      <c r="C457" s="2" t="n"/>
      <c r="D457" s="2" t="n"/>
    </row>
    <row r="458" ht="14.25" customHeight="1" s="74">
      <c r="A458" s="2" t="n"/>
      <c r="B458" s="2" t="n"/>
      <c r="C458" s="2" t="n"/>
      <c r="D458" s="2" t="n"/>
    </row>
    <row r="459" ht="14.25" customHeight="1" s="74">
      <c r="A459" s="2" t="n"/>
      <c r="B459" s="2" t="n"/>
      <c r="C459" s="2" t="n"/>
      <c r="D459" s="2" t="n"/>
    </row>
    <row r="460" ht="14.25" customHeight="1" s="74">
      <c r="A460" s="2" t="n"/>
      <c r="B460" s="2" t="n"/>
      <c r="C460" s="2" t="n"/>
      <c r="D460" s="2" t="n"/>
    </row>
    <row r="461" ht="14.25" customHeight="1" s="74">
      <c r="A461" s="2" t="n"/>
      <c r="B461" s="2" t="n"/>
      <c r="C461" s="2" t="n"/>
      <c r="D461" s="2" t="n"/>
    </row>
    <row r="462" ht="14.25" customHeight="1" s="74">
      <c r="A462" s="2" t="n"/>
      <c r="B462" s="2" t="n"/>
      <c r="C462" s="2" t="n"/>
      <c r="D462" s="2" t="n"/>
    </row>
    <row r="463" ht="14.25" customHeight="1" s="74">
      <c r="A463" s="2" t="n"/>
      <c r="B463" s="2" t="n"/>
      <c r="C463" s="2" t="n"/>
      <c r="D463" s="2" t="n"/>
    </row>
    <row r="464" ht="14.25" customHeight="1" s="74">
      <c r="A464" s="2" t="n"/>
      <c r="B464" s="2" t="n"/>
      <c r="C464" s="2" t="n"/>
      <c r="D464" s="2" t="n"/>
    </row>
    <row r="465" ht="14.25" customHeight="1" s="74">
      <c r="A465" s="2" t="n"/>
      <c r="B465" s="2" t="n"/>
      <c r="C465" s="2" t="n"/>
      <c r="D465" s="2" t="n"/>
    </row>
    <row r="466" ht="14.25" customHeight="1" s="74">
      <c r="A466" s="2" t="n"/>
      <c r="B466" s="2" t="n"/>
      <c r="C466" s="2" t="n"/>
      <c r="D466" s="2" t="n"/>
    </row>
    <row r="467" ht="14.25" customHeight="1" s="74">
      <c r="A467" s="2" t="n"/>
      <c r="B467" s="2" t="n"/>
      <c r="C467" s="2" t="n"/>
      <c r="D467" s="2" t="n"/>
    </row>
    <row r="468" ht="14.25" customHeight="1" s="74">
      <c r="A468" s="2" t="n"/>
      <c r="B468" s="2" t="n"/>
      <c r="C468" s="2" t="n"/>
      <c r="D468" s="2" t="n"/>
    </row>
    <row r="469" ht="14.25" customHeight="1" s="74">
      <c r="A469" s="2" t="n"/>
      <c r="B469" s="2" t="n"/>
      <c r="C469" s="2" t="n"/>
      <c r="D469" s="2" t="n"/>
    </row>
    <row r="470" ht="14.25" customHeight="1" s="74">
      <c r="A470" s="2" t="n"/>
      <c r="B470" s="2" t="n"/>
      <c r="C470" s="2" t="n"/>
      <c r="D470" s="2" t="n"/>
    </row>
    <row r="471" ht="14.25" customHeight="1" s="74">
      <c r="A471" s="2" t="n"/>
      <c r="B471" s="2" t="n"/>
      <c r="C471" s="2" t="n"/>
      <c r="D471" s="2" t="n"/>
    </row>
    <row r="472" ht="14.25" customHeight="1" s="74">
      <c r="A472" s="2" t="n"/>
      <c r="B472" s="2" t="n"/>
      <c r="C472" s="2" t="n"/>
      <c r="D472" s="2" t="n"/>
    </row>
    <row r="473" ht="14.25" customHeight="1" s="74">
      <c r="A473" s="2" t="n"/>
      <c r="B473" s="2" t="n"/>
      <c r="C473" s="2" t="n"/>
      <c r="D473" s="2" t="n"/>
    </row>
    <row r="474" ht="14.25" customHeight="1" s="74">
      <c r="A474" s="2" t="n"/>
      <c r="B474" s="2" t="n"/>
      <c r="C474" s="2" t="n"/>
      <c r="D474" s="2" t="n"/>
    </row>
    <row r="475" ht="14.25" customHeight="1" s="74">
      <c r="A475" s="2" t="n"/>
      <c r="B475" s="2" t="n"/>
      <c r="C475" s="2" t="n"/>
      <c r="D475" s="2" t="n"/>
    </row>
    <row r="476" ht="14.25" customHeight="1" s="74">
      <c r="A476" s="2" t="n"/>
      <c r="B476" s="2" t="n"/>
      <c r="C476" s="2" t="n"/>
      <c r="D476" s="2" t="n"/>
    </row>
    <row r="477" ht="14.25" customHeight="1" s="74">
      <c r="A477" s="2" t="n"/>
      <c r="B477" s="2" t="n"/>
      <c r="C477" s="2" t="n"/>
      <c r="D477" s="2" t="n"/>
    </row>
    <row r="478" ht="14.25" customHeight="1" s="74">
      <c r="A478" s="2" t="n"/>
      <c r="B478" s="2" t="n"/>
      <c r="C478" s="2" t="n"/>
      <c r="D478" s="2" t="n"/>
    </row>
    <row r="479" ht="14.25" customHeight="1" s="74">
      <c r="A479" s="2" t="n"/>
      <c r="B479" s="2" t="n"/>
      <c r="C479" s="2" t="n"/>
      <c r="D479" s="2" t="n"/>
    </row>
    <row r="480" ht="14.25" customHeight="1" s="74">
      <c r="A480" s="2" t="n"/>
      <c r="B480" s="2" t="n"/>
      <c r="C480" s="2" t="n"/>
      <c r="D480" s="2" t="n"/>
    </row>
    <row r="481" ht="14.25" customHeight="1" s="74">
      <c r="A481" s="2" t="n"/>
      <c r="B481" s="2" t="n"/>
      <c r="C481" s="2" t="n"/>
      <c r="D481" s="2" t="n"/>
    </row>
    <row r="482" ht="14.25" customHeight="1" s="74">
      <c r="A482" s="2" t="n"/>
      <c r="B482" s="2" t="n"/>
      <c r="C482" s="2" t="n"/>
      <c r="D482" s="2" t="n"/>
    </row>
    <row r="483" ht="14.25" customHeight="1" s="74">
      <c r="A483" s="2" t="n"/>
      <c r="B483" s="2" t="n"/>
      <c r="C483" s="2" t="n"/>
      <c r="D483" s="2" t="n"/>
    </row>
    <row r="484" ht="14.25" customHeight="1" s="74">
      <c r="A484" s="2" t="n"/>
      <c r="B484" s="2" t="n"/>
      <c r="C484" s="2" t="n"/>
      <c r="D484" s="2" t="n"/>
    </row>
    <row r="485" ht="14.25" customHeight="1" s="74">
      <c r="A485" s="2" t="n"/>
      <c r="B485" s="2" t="n"/>
      <c r="C485" s="2" t="n"/>
      <c r="D485" s="2" t="n"/>
    </row>
    <row r="486" ht="14.25" customHeight="1" s="74">
      <c r="A486" s="2" t="n"/>
      <c r="B486" s="2" t="n"/>
      <c r="C486" s="2" t="n"/>
      <c r="D486" s="2" t="n"/>
    </row>
    <row r="487" ht="14.25" customHeight="1" s="74">
      <c r="A487" s="2" t="n"/>
      <c r="B487" s="2" t="n"/>
      <c r="C487" s="2" t="n"/>
      <c r="D487" s="2" t="n"/>
    </row>
    <row r="488" ht="14.25" customHeight="1" s="74">
      <c r="A488" s="2" t="n"/>
      <c r="B488" s="2" t="n"/>
      <c r="C488" s="2" t="n"/>
      <c r="D488" s="2" t="n"/>
    </row>
    <row r="489" ht="14.25" customHeight="1" s="74">
      <c r="A489" s="2" t="n"/>
      <c r="B489" s="2" t="n"/>
      <c r="C489" s="2" t="n"/>
      <c r="D489" s="2" t="n"/>
    </row>
    <row r="490" ht="14.25" customHeight="1" s="74">
      <c r="A490" s="2" t="n"/>
      <c r="B490" s="2" t="n"/>
      <c r="C490" s="2" t="n"/>
      <c r="D490" s="2" t="n"/>
    </row>
    <row r="491" ht="14.25" customHeight="1" s="74">
      <c r="A491" s="2" t="n"/>
      <c r="B491" s="2" t="n"/>
      <c r="C491" s="2" t="n"/>
      <c r="D491" s="2" t="n"/>
    </row>
    <row r="492" ht="14.25" customHeight="1" s="74">
      <c r="A492" s="2" t="n"/>
      <c r="B492" s="2" t="n"/>
      <c r="C492" s="2" t="n"/>
      <c r="D492" s="2" t="n"/>
    </row>
    <row r="493" ht="14.25" customHeight="1" s="74">
      <c r="A493" s="2" t="n"/>
      <c r="B493" s="2" t="n"/>
      <c r="C493" s="2" t="n"/>
      <c r="D493" s="2" t="n"/>
    </row>
    <row r="494" ht="14.25" customHeight="1" s="74">
      <c r="A494" s="2" t="n"/>
      <c r="B494" s="2" t="n"/>
      <c r="C494" s="2" t="n"/>
      <c r="D494" s="2" t="n"/>
    </row>
    <row r="495" ht="14.25" customHeight="1" s="74">
      <c r="A495" s="2" t="n"/>
      <c r="B495" s="2" t="n"/>
      <c r="C495" s="2" t="n"/>
      <c r="D495" s="2" t="n"/>
    </row>
    <row r="496" ht="14.25" customHeight="1" s="74">
      <c r="A496" s="2" t="n"/>
      <c r="B496" s="2" t="n"/>
      <c r="C496" s="2" t="n"/>
      <c r="D496" s="2" t="n"/>
    </row>
    <row r="497" ht="14.25" customHeight="1" s="74">
      <c r="A497" s="2" t="n"/>
      <c r="B497" s="2" t="n"/>
      <c r="C497" s="2" t="n"/>
      <c r="D497" s="2" t="n"/>
    </row>
    <row r="498" ht="14.25" customHeight="1" s="74">
      <c r="A498" s="2" t="n"/>
      <c r="B498" s="2" t="n"/>
      <c r="C498" s="2" t="n"/>
      <c r="D498" s="2" t="n"/>
    </row>
    <row r="499" ht="14.25" customHeight="1" s="74">
      <c r="A499" s="2" t="n"/>
      <c r="B499" s="2" t="n"/>
      <c r="C499" s="2" t="n"/>
      <c r="D499" s="2" t="n"/>
    </row>
    <row r="500" ht="14.25" customHeight="1" s="74">
      <c r="A500" s="2" t="n"/>
      <c r="B500" s="2" t="n"/>
      <c r="C500" s="2" t="n"/>
      <c r="D500" s="2" t="n"/>
    </row>
    <row r="501" ht="14.25" customHeight="1" s="74">
      <c r="A501" s="2" t="n"/>
      <c r="B501" s="2" t="n"/>
      <c r="C501" s="2" t="n"/>
      <c r="D501" s="2" t="n"/>
    </row>
    <row r="502" ht="14.25" customHeight="1" s="74">
      <c r="A502" s="2" t="n"/>
      <c r="B502" s="2" t="n"/>
      <c r="C502" s="2" t="n"/>
      <c r="D502" s="2" t="n"/>
    </row>
    <row r="503" ht="14.25" customHeight="1" s="74">
      <c r="A503" s="2" t="n"/>
      <c r="B503" s="2" t="n"/>
      <c r="C503" s="2" t="n"/>
      <c r="D503" s="2" t="n"/>
    </row>
    <row r="504" ht="14.25" customHeight="1" s="74">
      <c r="A504" s="2" t="n"/>
      <c r="B504" s="2" t="n"/>
      <c r="C504" s="2" t="n"/>
      <c r="D504" s="2" t="n"/>
    </row>
    <row r="505" ht="14.25" customHeight="1" s="74">
      <c r="A505" s="2" t="n"/>
      <c r="B505" s="2" t="n"/>
      <c r="C505" s="2" t="n"/>
      <c r="D505" s="2" t="n"/>
    </row>
    <row r="506" ht="14.25" customHeight="1" s="74">
      <c r="A506" s="2" t="n"/>
      <c r="B506" s="2" t="n"/>
      <c r="C506" s="2" t="n"/>
      <c r="D506" s="2" t="n"/>
    </row>
    <row r="507" ht="14.25" customHeight="1" s="74">
      <c r="A507" s="2" t="n"/>
      <c r="B507" s="2" t="n"/>
      <c r="C507" s="2" t="n"/>
      <c r="D507" s="2" t="n"/>
    </row>
    <row r="508" ht="14.25" customHeight="1" s="74">
      <c r="A508" s="2" t="n"/>
      <c r="B508" s="2" t="n"/>
      <c r="C508" s="2" t="n"/>
      <c r="D508" s="2" t="n"/>
    </row>
    <row r="509" ht="14.25" customHeight="1" s="74">
      <c r="A509" s="2" t="n"/>
      <c r="B509" s="2" t="n"/>
      <c r="C509" s="2" t="n"/>
      <c r="D509" s="2" t="n"/>
    </row>
    <row r="510" ht="14.25" customHeight="1" s="74">
      <c r="A510" s="2" t="n"/>
      <c r="B510" s="2" t="n"/>
      <c r="C510" s="2" t="n"/>
      <c r="D510" s="2" t="n"/>
    </row>
    <row r="511" ht="14.25" customHeight="1" s="74">
      <c r="A511" s="2" t="n"/>
      <c r="B511" s="2" t="n"/>
      <c r="C511" s="2" t="n"/>
      <c r="D511" s="2" t="n"/>
    </row>
    <row r="512" ht="14.25" customHeight="1" s="74">
      <c r="A512" s="2" t="n"/>
      <c r="B512" s="2" t="n"/>
      <c r="C512" s="2" t="n"/>
      <c r="D512" s="2" t="n"/>
    </row>
    <row r="513" ht="14.25" customHeight="1" s="74">
      <c r="A513" s="2" t="n"/>
      <c r="B513" s="2" t="n"/>
      <c r="C513" s="2" t="n"/>
      <c r="D513" s="2" t="n"/>
    </row>
    <row r="514" ht="14.25" customHeight="1" s="74">
      <c r="A514" s="2" t="n"/>
      <c r="B514" s="2" t="n"/>
      <c r="C514" s="2" t="n"/>
      <c r="D514" s="2" t="n"/>
    </row>
    <row r="515" ht="14.25" customHeight="1" s="74">
      <c r="A515" s="2" t="n"/>
      <c r="B515" s="2" t="n"/>
      <c r="C515" s="2" t="n"/>
      <c r="D515" s="2" t="n"/>
    </row>
    <row r="516" ht="14.25" customHeight="1" s="74">
      <c r="A516" s="2" t="n"/>
      <c r="B516" s="2" t="n"/>
      <c r="C516" s="2" t="n"/>
      <c r="D516" s="2" t="n"/>
    </row>
    <row r="517" ht="14.25" customHeight="1" s="74">
      <c r="A517" s="2" t="n"/>
      <c r="B517" s="2" t="n"/>
      <c r="C517" s="2" t="n"/>
      <c r="D517" s="2" t="n"/>
    </row>
    <row r="518" ht="14.25" customHeight="1" s="74">
      <c r="A518" s="2" t="n"/>
      <c r="B518" s="2" t="n"/>
      <c r="C518" s="2" t="n"/>
      <c r="D518" s="2" t="n"/>
    </row>
    <row r="519" ht="14.25" customHeight="1" s="74">
      <c r="A519" s="2" t="n"/>
      <c r="B519" s="2" t="n"/>
      <c r="C519" s="2" t="n"/>
      <c r="D519" s="2" t="n"/>
    </row>
    <row r="520" ht="14.25" customHeight="1" s="74">
      <c r="A520" s="2" t="n"/>
      <c r="B520" s="2" t="n"/>
      <c r="C520" s="2" t="n"/>
      <c r="D520" s="2" t="n"/>
    </row>
    <row r="521" ht="14.25" customHeight="1" s="74">
      <c r="A521" s="2" t="n"/>
      <c r="B521" s="2" t="n"/>
      <c r="C521" s="2" t="n"/>
      <c r="D521" s="2" t="n"/>
    </row>
    <row r="522" ht="14.25" customHeight="1" s="74">
      <c r="A522" s="2" t="n"/>
      <c r="B522" s="2" t="n"/>
      <c r="C522" s="2" t="n"/>
      <c r="D522" s="2" t="n"/>
    </row>
    <row r="523" ht="14.25" customHeight="1" s="74">
      <c r="A523" s="2" t="n"/>
      <c r="B523" s="2" t="n"/>
      <c r="C523" s="2" t="n"/>
      <c r="D523" s="2" t="n"/>
    </row>
    <row r="524" ht="14.25" customHeight="1" s="74">
      <c r="A524" s="2" t="n"/>
      <c r="B524" s="2" t="n"/>
      <c r="C524" s="2" t="n"/>
      <c r="D524" s="2" t="n"/>
    </row>
    <row r="525" ht="14.25" customHeight="1" s="74">
      <c r="A525" s="2" t="n"/>
      <c r="B525" s="2" t="n"/>
      <c r="C525" s="2" t="n"/>
      <c r="D525" s="2" t="n"/>
    </row>
    <row r="526" ht="14.25" customHeight="1" s="74">
      <c r="A526" s="2" t="n"/>
      <c r="B526" s="2" t="n"/>
      <c r="C526" s="2" t="n"/>
      <c r="D526" s="2" t="n"/>
    </row>
    <row r="527" ht="14.25" customHeight="1" s="74">
      <c r="A527" s="2" t="n"/>
      <c r="B527" s="2" t="n"/>
      <c r="C527" s="2" t="n"/>
      <c r="D527" s="2" t="n"/>
    </row>
    <row r="528" ht="14.25" customHeight="1" s="74">
      <c r="A528" s="2" t="n"/>
      <c r="B528" s="2" t="n"/>
      <c r="C528" s="2" t="n"/>
      <c r="D528" s="2" t="n"/>
    </row>
    <row r="529" ht="14.25" customHeight="1" s="74">
      <c r="A529" s="2" t="n"/>
      <c r="B529" s="2" t="n"/>
      <c r="C529" s="2" t="n"/>
      <c r="D529" s="2" t="n"/>
    </row>
    <row r="530" ht="14.25" customHeight="1" s="74">
      <c r="A530" s="2" t="n"/>
      <c r="B530" s="2" t="n"/>
      <c r="C530" s="2" t="n"/>
      <c r="D530" s="2" t="n"/>
    </row>
    <row r="531" ht="14.25" customHeight="1" s="74">
      <c r="A531" s="2" t="n"/>
      <c r="B531" s="2" t="n"/>
      <c r="C531" s="2" t="n"/>
      <c r="D531" s="2" t="n"/>
    </row>
    <row r="532" ht="14.25" customHeight="1" s="74">
      <c r="A532" s="2" t="n"/>
      <c r="B532" s="2" t="n"/>
      <c r="C532" s="2" t="n"/>
      <c r="D532" s="2" t="n"/>
    </row>
    <row r="533" ht="14.25" customHeight="1" s="74">
      <c r="A533" s="2" t="n"/>
      <c r="B533" s="2" t="n"/>
      <c r="C533" s="2" t="n"/>
      <c r="D533" s="2" t="n"/>
    </row>
    <row r="534" ht="14.25" customHeight="1" s="74">
      <c r="A534" s="2" t="n"/>
      <c r="B534" s="2" t="n"/>
      <c r="C534" s="2" t="n"/>
      <c r="D534" s="2" t="n"/>
    </row>
    <row r="535" ht="14.25" customHeight="1" s="74">
      <c r="A535" s="2" t="n"/>
      <c r="B535" s="2" t="n"/>
      <c r="C535" s="2" t="n"/>
      <c r="D535" s="2" t="n"/>
    </row>
    <row r="536" ht="14.25" customHeight="1" s="74">
      <c r="A536" s="2" t="n"/>
      <c r="B536" s="2" t="n"/>
      <c r="C536" s="2" t="n"/>
      <c r="D536" s="2" t="n"/>
    </row>
    <row r="537" ht="14.25" customHeight="1" s="74">
      <c r="A537" s="2" t="n"/>
      <c r="B537" s="2" t="n"/>
      <c r="C537" s="2" t="n"/>
      <c r="D537" s="2" t="n"/>
    </row>
    <row r="538" ht="14.25" customHeight="1" s="74">
      <c r="A538" s="2" t="n"/>
      <c r="B538" s="2" t="n"/>
      <c r="C538" s="2" t="n"/>
      <c r="D538" s="2" t="n"/>
    </row>
    <row r="539" ht="14.25" customHeight="1" s="74">
      <c r="A539" s="2" t="n"/>
      <c r="B539" s="2" t="n"/>
      <c r="C539" s="2" t="n"/>
      <c r="D539" s="2" t="n"/>
    </row>
    <row r="540" ht="14.25" customHeight="1" s="74">
      <c r="A540" s="2" t="n"/>
      <c r="B540" s="2" t="n"/>
      <c r="C540" s="2" t="n"/>
      <c r="D540" s="2" t="n"/>
    </row>
    <row r="541" ht="14.25" customHeight="1" s="74">
      <c r="A541" s="2" t="n"/>
      <c r="B541" s="2" t="n"/>
      <c r="C541" s="2" t="n"/>
      <c r="D541" s="2" t="n"/>
    </row>
    <row r="542" ht="14.25" customHeight="1" s="74">
      <c r="A542" s="2" t="n"/>
      <c r="B542" s="2" t="n"/>
      <c r="C542" s="2" t="n"/>
      <c r="D542" s="2" t="n"/>
    </row>
    <row r="543" ht="14.25" customHeight="1" s="74">
      <c r="A543" s="2" t="n"/>
      <c r="B543" s="2" t="n"/>
      <c r="C543" s="2" t="n"/>
      <c r="D543" s="2" t="n"/>
    </row>
    <row r="544" ht="14.25" customHeight="1" s="74">
      <c r="A544" s="2" t="n"/>
      <c r="B544" s="2" t="n"/>
      <c r="C544" s="2" t="n"/>
      <c r="D544" s="2" t="n"/>
    </row>
    <row r="545" ht="14.25" customHeight="1" s="74">
      <c r="A545" s="2" t="n"/>
      <c r="B545" s="2" t="n"/>
      <c r="C545" s="2" t="n"/>
      <c r="D545" s="2" t="n"/>
    </row>
    <row r="546" ht="14.25" customHeight="1" s="74">
      <c r="A546" s="2" t="n"/>
      <c r="B546" s="2" t="n"/>
      <c r="C546" s="2" t="n"/>
      <c r="D546" s="2" t="n"/>
    </row>
    <row r="547" ht="14.25" customHeight="1" s="74">
      <c r="A547" s="2" t="n"/>
      <c r="B547" s="2" t="n"/>
      <c r="C547" s="2" t="n"/>
      <c r="D547" s="2" t="n"/>
    </row>
    <row r="548" ht="14.25" customHeight="1" s="74">
      <c r="A548" s="2" t="n"/>
      <c r="B548" s="2" t="n"/>
      <c r="C548" s="2" t="n"/>
      <c r="D548" s="2" t="n"/>
    </row>
    <row r="549" ht="14.25" customHeight="1" s="74">
      <c r="A549" s="2" t="n"/>
      <c r="B549" s="2" t="n"/>
      <c r="C549" s="2" t="n"/>
      <c r="D549" s="2" t="n"/>
    </row>
    <row r="550" ht="14.25" customHeight="1" s="74">
      <c r="A550" s="2" t="n"/>
      <c r="B550" s="2" t="n"/>
      <c r="C550" s="2" t="n"/>
      <c r="D550" s="2" t="n"/>
    </row>
    <row r="551" ht="14.25" customHeight="1" s="74">
      <c r="A551" s="2" t="n"/>
      <c r="B551" s="2" t="n"/>
      <c r="C551" s="2" t="n"/>
      <c r="D551" s="2" t="n"/>
    </row>
    <row r="552" ht="14.25" customHeight="1" s="74">
      <c r="A552" s="2" t="n"/>
      <c r="B552" s="2" t="n"/>
      <c r="C552" s="2" t="n"/>
      <c r="D552" s="2" t="n"/>
    </row>
    <row r="553" ht="14.25" customHeight="1" s="74">
      <c r="A553" s="2" t="n"/>
      <c r="B553" s="2" t="n"/>
      <c r="C553" s="2" t="n"/>
      <c r="D553" s="2" t="n"/>
    </row>
    <row r="554" ht="14.25" customHeight="1" s="74">
      <c r="A554" s="2" t="n"/>
      <c r="B554" s="2" t="n"/>
      <c r="C554" s="2" t="n"/>
      <c r="D554" s="2" t="n"/>
    </row>
    <row r="555" ht="14.25" customHeight="1" s="74">
      <c r="A555" s="2" t="n"/>
      <c r="B555" s="2" t="n"/>
      <c r="C555" s="2" t="n"/>
      <c r="D555" s="2" t="n"/>
    </row>
    <row r="556" ht="14.25" customHeight="1" s="74">
      <c r="A556" s="2" t="n"/>
      <c r="B556" s="2" t="n"/>
      <c r="C556" s="2" t="n"/>
      <c r="D556" s="2" t="n"/>
    </row>
    <row r="557" ht="14.25" customHeight="1" s="74">
      <c r="A557" s="2" t="n"/>
      <c r="B557" s="2" t="n"/>
      <c r="C557" s="2" t="n"/>
      <c r="D557" s="2" t="n"/>
    </row>
    <row r="558" ht="14.25" customHeight="1" s="74">
      <c r="A558" s="2" t="n"/>
      <c r="B558" s="2" t="n"/>
      <c r="C558" s="2" t="n"/>
      <c r="D558" s="2" t="n"/>
    </row>
    <row r="559" ht="14.25" customHeight="1" s="74">
      <c r="A559" s="2" t="n"/>
      <c r="B559" s="2" t="n"/>
      <c r="C559" s="2" t="n"/>
      <c r="D559" s="2" t="n"/>
    </row>
    <row r="560" ht="14.25" customHeight="1" s="74">
      <c r="A560" s="2" t="n"/>
      <c r="B560" s="2" t="n"/>
      <c r="C560" s="2" t="n"/>
      <c r="D560" s="2" t="n"/>
    </row>
    <row r="561" ht="14.25" customHeight="1" s="74">
      <c r="A561" s="2" t="n"/>
      <c r="B561" s="2" t="n"/>
      <c r="C561" s="2" t="n"/>
      <c r="D561" s="2" t="n"/>
    </row>
    <row r="562" ht="14.25" customHeight="1" s="74">
      <c r="A562" s="2" t="n"/>
      <c r="B562" s="2" t="n"/>
      <c r="C562" s="2" t="n"/>
      <c r="D562" s="2" t="n"/>
    </row>
    <row r="563" ht="14.25" customHeight="1" s="74">
      <c r="A563" s="2" t="n"/>
      <c r="B563" s="2" t="n"/>
      <c r="C563" s="2" t="n"/>
      <c r="D563" s="2" t="n"/>
    </row>
    <row r="564" ht="14.25" customHeight="1" s="74">
      <c r="A564" s="2" t="n"/>
      <c r="B564" s="2" t="n"/>
      <c r="C564" s="2" t="n"/>
      <c r="D564" s="2" t="n"/>
    </row>
    <row r="565" ht="14.25" customHeight="1" s="74">
      <c r="A565" s="2" t="n"/>
      <c r="B565" s="2" t="n"/>
      <c r="C565" s="2" t="n"/>
      <c r="D565" s="2" t="n"/>
    </row>
    <row r="566" ht="14.25" customHeight="1" s="74">
      <c r="A566" s="2" t="n"/>
      <c r="B566" s="2" t="n"/>
      <c r="C566" s="2" t="n"/>
      <c r="D566" s="2" t="n"/>
    </row>
    <row r="567" ht="14.25" customHeight="1" s="74">
      <c r="A567" s="2" t="n"/>
      <c r="B567" s="2" t="n"/>
      <c r="C567" s="2" t="n"/>
      <c r="D567" s="2" t="n"/>
    </row>
    <row r="568" ht="14.25" customHeight="1" s="74">
      <c r="A568" s="2" t="n"/>
      <c r="B568" s="2" t="n"/>
      <c r="C568" s="2" t="n"/>
      <c r="D568" s="2" t="n"/>
    </row>
    <row r="569" ht="14.25" customHeight="1" s="74">
      <c r="A569" s="2" t="n"/>
      <c r="B569" s="2" t="n"/>
      <c r="C569" s="2" t="n"/>
      <c r="D569" s="2" t="n"/>
    </row>
    <row r="570" ht="14.25" customHeight="1" s="74">
      <c r="A570" s="2" t="n"/>
      <c r="B570" s="2" t="n"/>
      <c r="C570" s="2" t="n"/>
      <c r="D570" s="2" t="n"/>
    </row>
    <row r="571" ht="14.25" customHeight="1" s="74">
      <c r="A571" s="2" t="n"/>
      <c r="B571" s="2" t="n"/>
      <c r="C571" s="2" t="n"/>
      <c r="D571" s="2" t="n"/>
    </row>
    <row r="572" ht="14.25" customHeight="1" s="74">
      <c r="A572" s="2" t="n"/>
      <c r="B572" s="2" t="n"/>
      <c r="C572" s="2" t="n"/>
      <c r="D572" s="2" t="n"/>
    </row>
    <row r="573" ht="14.25" customHeight="1" s="74">
      <c r="A573" s="2" t="n"/>
      <c r="B573" s="2" t="n"/>
      <c r="C573" s="2" t="n"/>
      <c r="D573" s="2" t="n"/>
    </row>
    <row r="574" ht="14.25" customHeight="1" s="74">
      <c r="A574" s="2" t="n"/>
      <c r="B574" s="2" t="n"/>
      <c r="C574" s="2" t="n"/>
      <c r="D574" s="2" t="n"/>
    </row>
    <row r="575" ht="14.25" customHeight="1" s="74">
      <c r="A575" s="2" t="n"/>
      <c r="B575" s="2" t="n"/>
      <c r="C575" s="2" t="n"/>
      <c r="D575" s="2" t="n"/>
    </row>
    <row r="576" ht="14.25" customHeight="1" s="74">
      <c r="A576" s="2" t="n"/>
      <c r="B576" s="2" t="n"/>
      <c r="C576" s="2" t="n"/>
      <c r="D576" s="2" t="n"/>
    </row>
    <row r="577" ht="14.25" customHeight="1" s="74">
      <c r="A577" s="2" t="n"/>
      <c r="B577" s="2" t="n"/>
      <c r="C577" s="2" t="n"/>
      <c r="D577" s="2" t="n"/>
    </row>
    <row r="578" ht="14.25" customHeight="1" s="74">
      <c r="A578" s="2" t="n"/>
      <c r="B578" s="2" t="n"/>
      <c r="C578" s="2" t="n"/>
      <c r="D578" s="2" t="n"/>
    </row>
    <row r="579" ht="14.25" customHeight="1" s="74">
      <c r="A579" s="2" t="n"/>
      <c r="B579" s="2" t="n"/>
      <c r="C579" s="2" t="n"/>
      <c r="D579" s="2" t="n"/>
    </row>
    <row r="580" ht="14.25" customHeight="1" s="74">
      <c r="A580" s="2" t="n"/>
      <c r="B580" s="2" t="n"/>
      <c r="C580" s="2" t="n"/>
      <c r="D580" s="2" t="n"/>
    </row>
    <row r="581" ht="14.25" customHeight="1" s="74">
      <c r="A581" s="2" t="n"/>
      <c r="B581" s="2" t="n"/>
      <c r="C581" s="2" t="n"/>
      <c r="D581" s="2" t="n"/>
    </row>
    <row r="582" ht="14.25" customHeight="1" s="74">
      <c r="A582" s="2" t="n"/>
      <c r="B582" s="2" t="n"/>
      <c r="C582" s="2" t="n"/>
      <c r="D582" s="2" t="n"/>
    </row>
    <row r="583" ht="14.25" customHeight="1" s="74">
      <c r="A583" s="2" t="n"/>
      <c r="B583" s="2" t="n"/>
      <c r="C583" s="2" t="n"/>
      <c r="D583" s="2" t="n"/>
    </row>
    <row r="584" ht="14.25" customHeight="1" s="74">
      <c r="A584" s="2" t="n"/>
      <c r="B584" s="2" t="n"/>
      <c r="C584" s="2" t="n"/>
      <c r="D584" s="2" t="n"/>
    </row>
    <row r="585" ht="14.25" customHeight="1" s="74">
      <c r="A585" s="2" t="n"/>
      <c r="B585" s="2" t="n"/>
      <c r="C585" s="2" t="n"/>
      <c r="D585" s="2" t="n"/>
    </row>
    <row r="586" ht="14.25" customHeight="1" s="74">
      <c r="A586" s="2" t="n"/>
      <c r="B586" s="2" t="n"/>
      <c r="C586" s="2" t="n"/>
      <c r="D586" s="2" t="n"/>
    </row>
    <row r="587" ht="14.25" customHeight="1" s="74">
      <c r="A587" s="2" t="n"/>
      <c r="B587" s="2" t="n"/>
      <c r="C587" s="2" t="n"/>
      <c r="D587" s="2" t="n"/>
    </row>
    <row r="588" ht="14.25" customHeight="1" s="74">
      <c r="A588" s="2" t="n"/>
      <c r="B588" s="2" t="n"/>
      <c r="C588" s="2" t="n"/>
      <c r="D588" s="2" t="n"/>
    </row>
    <row r="589" ht="14.25" customHeight="1" s="74">
      <c r="A589" s="2" t="n"/>
      <c r="B589" s="2" t="n"/>
      <c r="C589" s="2" t="n"/>
      <c r="D589" s="2" t="n"/>
    </row>
    <row r="590" ht="14.25" customHeight="1" s="74">
      <c r="A590" s="2" t="n"/>
      <c r="B590" s="2" t="n"/>
      <c r="C590" s="2" t="n"/>
      <c r="D590" s="2" t="n"/>
    </row>
    <row r="591" ht="14.25" customHeight="1" s="74">
      <c r="A591" s="2" t="n"/>
      <c r="B591" s="2" t="n"/>
      <c r="C591" s="2" t="n"/>
      <c r="D591" s="2" t="n"/>
    </row>
    <row r="592" ht="14.25" customHeight="1" s="74">
      <c r="A592" s="2" t="n"/>
      <c r="B592" s="2" t="n"/>
      <c r="C592" s="2" t="n"/>
      <c r="D592" s="2" t="n"/>
    </row>
    <row r="593" ht="14.25" customHeight="1" s="74">
      <c r="A593" s="2" t="n"/>
      <c r="B593" s="2" t="n"/>
      <c r="C593" s="2" t="n"/>
      <c r="D593" s="2" t="n"/>
    </row>
    <row r="594" ht="14.25" customHeight="1" s="74">
      <c r="A594" s="2" t="n"/>
      <c r="B594" s="2" t="n"/>
      <c r="C594" s="2" t="n"/>
      <c r="D594" s="2" t="n"/>
    </row>
    <row r="595" ht="14.25" customHeight="1" s="74">
      <c r="A595" s="2" t="n"/>
      <c r="B595" s="2" t="n"/>
      <c r="C595" s="2" t="n"/>
      <c r="D595" s="2" t="n"/>
    </row>
    <row r="596" ht="14.25" customHeight="1" s="74">
      <c r="A596" s="2" t="n"/>
      <c r="B596" s="2" t="n"/>
      <c r="C596" s="2" t="n"/>
      <c r="D596" s="2" t="n"/>
    </row>
    <row r="597" ht="14.25" customHeight="1" s="74">
      <c r="A597" s="2" t="n"/>
      <c r="B597" s="2" t="n"/>
      <c r="C597" s="2" t="n"/>
      <c r="D597" s="2" t="n"/>
    </row>
    <row r="598" ht="14.25" customHeight="1" s="74">
      <c r="A598" s="2" t="n"/>
      <c r="B598" s="2" t="n"/>
      <c r="C598" s="2" t="n"/>
      <c r="D598" s="2" t="n"/>
    </row>
    <row r="599" ht="14.25" customHeight="1" s="74">
      <c r="A599" s="2" t="n"/>
      <c r="B599" s="2" t="n"/>
      <c r="C599" s="2" t="n"/>
      <c r="D599" s="2" t="n"/>
    </row>
    <row r="600" ht="14.25" customHeight="1" s="74">
      <c r="A600" s="2" t="n"/>
      <c r="B600" s="2" t="n"/>
      <c r="C600" s="2" t="n"/>
      <c r="D600" s="2" t="n"/>
    </row>
    <row r="601" ht="14.25" customHeight="1" s="74">
      <c r="A601" s="2" t="n"/>
      <c r="B601" s="2" t="n"/>
      <c r="C601" s="2" t="n"/>
      <c r="D601" s="2" t="n"/>
    </row>
    <row r="602" ht="14.25" customHeight="1" s="74">
      <c r="A602" s="2" t="n"/>
      <c r="B602" s="2" t="n"/>
      <c r="C602" s="2" t="n"/>
      <c r="D602" s="2" t="n"/>
    </row>
    <row r="603" ht="14.25" customHeight="1" s="74">
      <c r="A603" s="2" t="n"/>
      <c r="B603" s="2" t="n"/>
      <c r="C603" s="2" t="n"/>
      <c r="D603" s="2" t="n"/>
    </row>
    <row r="604" ht="14.25" customHeight="1" s="74">
      <c r="A604" s="2" t="n"/>
      <c r="B604" s="2" t="n"/>
      <c r="C604" s="2" t="n"/>
      <c r="D604" s="2" t="n"/>
    </row>
    <row r="605" ht="14.25" customHeight="1" s="74">
      <c r="A605" s="2" t="n"/>
      <c r="B605" s="2" t="n"/>
      <c r="C605" s="2" t="n"/>
      <c r="D605" s="2" t="n"/>
    </row>
    <row r="606" ht="14.25" customHeight="1" s="74">
      <c r="A606" s="2" t="n"/>
      <c r="B606" s="2" t="n"/>
      <c r="C606" s="2" t="n"/>
      <c r="D606" s="2" t="n"/>
    </row>
    <row r="607" ht="14.25" customHeight="1" s="74">
      <c r="A607" s="2" t="n"/>
      <c r="B607" s="2" t="n"/>
      <c r="C607" s="2" t="n"/>
      <c r="D607" s="2" t="n"/>
    </row>
    <row r="608" ht="14.25" customHeight="1" s="74">
      <c r="A608" s="2" t="n"/>
      <c r="B608" s="2" t="n"/>
      <c r="C608" s="2" t="n"/>
      <c r="D608" s="2" t="n"/>
    </row>
    <row r="609" ht="14.25" customHeight="1" s="74">
      <c r="A609" s="2" t="n"/>
      <c r="B609" s="2" t="n"/>
      <c r="C609" s="2" t="n"/>
      <c r="D609" s="2" t="n"/>
    </row>
    <row r="610" ht="14.25" customHeight="1" s="74">
      <c r="A610" s="2" t="n"/>
      <c r="B610" s="2" t="n"/>
      <c r="C610" s="2" t="n"/>
      <c r="D610" s="2" t="n"/>
    </row>
    <row r="611" ht="14.25" customHeight="1" s="74">
      <c r="A611" s="2" t="n"/>
      <c r="B611" s="2" t="n"/>
      <c r="C611" s="2" t="n"/>
      <c r="D611" s="2" t="n"/>
    </row>
    <row r="612" ht="14.25" customHeight="1" s="74">
      <c r="A612" s="2" t="n"/>
      <c r="B612" s="2" t="n"/>
      <c r="C612" s="2" t="n"/>
      <c r="D612" s="2" t="n"/>
    </row>
    <row r="613" ht="14.25" customHeight="1" s="74">
      <c r="A613" s="2" t="n"/>
      <c r="B613" s="2" t="n"/>
      <c r="C613" s="2" t="n"/>
      <c r="D613" s="2" t="n"/>
    </row>
    <row r="614" ht="14.25" customHeight="1" s="74">
      <c r="A614" s="2" t="n"/>
      <c r="B614" s="2" t="n"/>
      <c r="C614" s="2" t="n"/>
      <c r="D614" s="2" t="n"/>
    </row>
    <row r="615" ht="14.25" customHeight="1" s="74">
      <c r="A615" s="2" t="n"/>
      <c r="B615" s="2" t="n"/>
      <c r="C615" s="2" t="n"/>
      <c r="D615" s="2" t="n"/>
    </row>
    <row r="616" ht="14.25" customHeight="1" s="74">
      <c r="A616" s="2" t="n"/>
      <c r="B616" s="2" t="n"/>
      <c r="C616" s="2" t="n"/>
      <c r="D616" s="2" t="n"/>
    </row>
    <row r="617" ht="14.25" customHeight="1" s="74">
      <c r="A617" s="2" t="n"/>
      <c r="B617" s="2" t="n"/>
      <c r="C617" s="2" t="n"/>
      <c r="D617" s="2" t="n"/>
    </row>
    <row r="618" ht="14.25" customHeight="1" s="74">
      <c r="A618" s="2" t="n"/>
      <c r="B618" s="2" t="n"/>
      <c r="C618" s="2" t="n"/>
      <c r="D618" s="2" t="n"/>
    </row>
    <row r="619" ht="14.25" customHeight="1" s="74">
      <c r="A619" s="2" t="n"/>
      <c r="B619" s="2" t="n"/>
      <c r="C619" s="2" t="n"/>
      <c r="D619" s="2" t="n"/>
    </row>
    <row r="620" ht="14.25" customHeight="1" s="74">
      <c r="A620" s="2" t="n"/>
      <c r="B620" s="2" t="n"/>
      <c r="C620" s="2" t="n"/>
      <c r="D620" s="2" t="n"/>
    </row>
    <row r="621" ht="14.25" customHeight="1" s="74">
      <c r="A621" s="2" t="n"/>
      <c r="B621" s="2" t="n"/>
      <c r="C621" s="2" t="n"/>
      <c r="D621" s="2" t="n"/>
    </row>
    <row r="622" ht="14.25" customHeight="1" s="74">
      <c r="A622" s="2" t="n"/>
      <c r="B622" s="2" t="n"/>
      <c r="C622" s="2" t="n"/>
      <c r="D622" s="2" t="n"/>
    </row>
    <row r="623" ht="14.25" customHeight="1" s="74">
      <c r="A623" s="2" t="n"/>
      <c r="B623" s="2" t="n"/>
      <c r="C623" s="2" t="n"/>
      <c r="D623" s="2" t="n"/>
    </row>
    <row r="624" ht="14.25" customHeight="1" s="74">
      <c r="A624" s="2" t="n"/>
      <c r="B624" s="2" t="n"/>
      <c r="C624" s="2" t="n"/>
      <c r="D624" s="2" t="n"/>
    </row>
    <row r="625" ht="14.25" customHeight="1" s="74">
      <c r="A625" s="2" t="n"/>
      <c r="B625" s="2" t="n"/>
      <c r="C625" s="2" t="n"/>
      <c r="D625" s="2" t="n"/>
    </row>
    <row r="626" ht="14.25" customHeight="1" s="74">
      <c r="A626" s="2" t="n"/>
      <c r="B626" s="2" t="n"/>
      <c r="C626" s="2" t="n"/>
      <c r="D626" s="2" t="n"/>
    </row>
    <row r="627" ht="14.25" customHeight="1" s="74">
      <c r="A627" s="2" t="n"/>
      <c r="B627" s="2" t="n"/>
      <c r="C627" s="2" t="n"/>
      <c r="D627" s="2" t="n"/>
    </row>
    <row r="628" ht="14.25" customHeight="1" s="74">
      <c r="A628" s="2" t="n"/>
      <c r="B628" s="2" t="n"/>
      <c r="C628" s="2" t="n"/>
      <c r="D628" s="2" t="n"/>
    </row>
    <row r="629" ht="14.25" customHeight="1" s="74">
      <c r="A629" s="2" t="n"/>
      <c r="B629" s="2" t="n"/>
      <c r="C629" s="2" t="n"/>
      <c r="D629" s="2" t="n"/>
    </row>
    <row r="630" ht="14.25" customHeight="1" s="74">
      <c r="A630" s="2" t="n"/>
      <c r="B630" s="2" t="n"/>
      <c r="C630" s="2" t="n"/>
      <c r="D630" s="2" t="n"/>
    </row>
    <row r="631" ht="14.25" customHeight="1" s="74">
      <c r="A631" s="2" t="n"/>
      <c r="B631" s="2" t="n"/>
      <c r="C631" s="2" t="n"/>
      <c r="D631" s="2" t="n"/>
    </row>
    <row r="632" ht="14.25" customHeight="1" s="74">
      <c r="A632" s="2" t="n"/>
      <c r="B632" s="2" t="n"/>
      <c r="C632" s="2" t="n"/>
      <c r="D632" s="2" t="n"/>
    </row>
    <row r="633" ht="14.25" customHeight="1" s="74">
      <c r="A633" s="2" t="n"/>
      <c r="B633" s="2" t="n"/>
      <c r="C633" s="2" t="n"/>
      <c r="D633" s="2" t="n"/>
    </row>
    <row r="634" ht="14.25" customHeight="1" s="74">
      <c r="A634" s="2" t="n"/>
      <c r="B634" s="2" t="n"/>
      <c r="C634" s="2" t="n"/>
      <c r="D634" s="2" t="n"/>
    </row>
    <row r="635" ht="14.25" customHeight="1" s="74">
      <c r="A635" s="2" t="n"/>
      <c r="B635" s="2" t="n"/>
      <c r="C635" s="2" t="n"/>
      <c r="D635" s="2" t="n"/>
    </row>
    <row r="636" ht="14.25" customHeight="1" s="74">
      <c r="A636" s="2" t="n"/>
      <c r="B636" s="2" t="n"/>
      <c r="C636" s="2" t="n"/>
      <c r="D636" s="2" t="n"/>
    </row>
    <row r="637" ht="14.25" customHeight="1" s="74">
      <c r="A637" s="2" t="n"/>
      <c r="B637" s="2" t="n"/>
      <c r="C637" s="2" t="n"/>
      <c r="D637" s="2" t="n"/>
    </row>
    <row r="638" ht="14.25" customHeight="1" s="74">
      <c r="A638" s="2" t="n"/>
      <c r="B638" s="2" t="n"/>
      <c r="C638" s="2" t="n"/>
      <c r="D638" s="2" t="n"/>
    </row>
    <row r="639" ht="14.25" customHeight="1" s="74">
      <c r="A639" s="2" t="n"/>
      <c r="B639" s="2" t="n"/>
      <c r="C639" s="2" t="n"/>
      <c r="D639" s="2" t="n"/>
    </row>
    <row r="640" ht="14.25" customHeight="1" s="74">
      <c r="A640" s="2" t="n"/>
      <c r="B640" s="2" t="n"/>
      <c r="C640" s="2" t="n"/>
      <c r="D640" s="2" t="n"/>
    </row>
    <row r="641" ht="14.25" customHeight="1" s="74">
      <c r="A641" s="2" t="n"/>
      <c r="B641" s="2" t="n"/>
      <c r="C641" s="2" t="n"/>
      <c r="D641" s="2" t="n"/>
    </row>
    <row r="642" ht="14.25" customHeight="1" s="74">
      <c r="A642" s="2" t="n"/>
      <c r="B642" s="2" t="n"/>
      <c r="C642" s="2" t="n"/>
      <c r="D642" s="2" t="n"/>
    </row>
    <row r="643" ht="14.25" customHeight="1" s="74">
      <c r="A643" s="2" t="n"/>
      <c r="B643" s="2" t="n"/>
      <c r="C643" s="2" t="n"/>
      <c r="D643" s="2" t="n"/>
    </row>
    <row r="644" ht="14.25" customHeight="1" s="74">
      <c r="A644" s="2" t="n"/>
      <c r="B644" s="2" t="n"/>
      <c r="C644" s="2" t="n"/>
      <c r="D644" s="2" t="n"/>
    </row>
    <row r="645" ht="14.25" customHeight="1" s="74">
      <c r="A645" s="2" t="n"/>
      <c r="B645" s="2" t="n"/>
      <c r="C645" s="2" t="n"/>
      <c r="D645" s="2" t="n"/>
    </row>
    <row r="646" ht="14.25" customHeight="1" s="74">
      <c r="A646" s="2" t="n"/>
      <c r="B646" s="2" t="n"/>
      <c r="C646" s="2" t="n"/>
      <c r="D646" s="2" t="n"/>
    </row>
    <row r="647" ht="14.25" customHeight="1" s="74">
      <c r="A647" s="2" t="n"/>
      <c r="B647" s="2" t="n"/>
      <c r="C647" s="2" t="n"/>
      <c r="D647" s="2" t="n"/>
    </row>
    <row r="648" ht="14.25" customHeight="1" s="74">
      <c r="A648" s="2" t="n"/>
      <c r="B648" s="2" t="n"/>
      <c r="C648" s="2" t="n"/>
      <c r="D648" s="2" t="n"/>
    </row>
    <row r="649" ht="14.25" customHeight="1" s="74">
      <c r="A649" s="2" t="n"/>
      <c r="B649" s="2" t="n"/>
      <c r="C649" s="2" t="n"/>
      <c r="D649" s="2" t="n"/>
    </row>
    <row r="650" ht="14.25" customHeight="1" s="74">
      <c r="A650" s="2" t="n"/>
      <c r="B650" s="2" t="n"/>
      <c r="C650" s="2" t="n"/>
      <c r="D650" s="2" t="n"/>
    </row>
    <row r="651" ht="14.25" customHeight="1" s="74">
      <c r="A651" s="2" t="n"/>
      <c r="B651" s="2" t="n"/>
      <c r="C651" s="2" t="n"/>
      <c r="D651" s="2" t="n"/>
    </row>
    <row r="652" ht="14.25" customHeight="1" s="74">
      <c r="A652" s="2" t="n"/>
      <c r="B652" s="2" t="n"/>
      <c r="C652" s="2" t="n"/>
      <c r="D652" s="2" t="n"/>
    </row>
    <row r="653" ht="14.25" customHeight="1" s="74">
      <c r="A653" s="2" t="n"/>
      <c r="B653" s="2" t="n"/>
      <c r="C653" s="2" t="n"/>
      <c r="D653" s="2" t="n"/>
    </row>
    <row r="654" ht="14.25" customHeight="1" s="74">
      <c r="A654" s="2" t="n"/>
      <c r="B654" s="2" t="n"/>
      <c r="C654" s="2" t="n"/>
      <c r="D654" s="2" t="n"/>
    </row>
    <row r="655" ht="14.25" customHeight="1" s="74">
      <c r="A655" s="2" t="n"/>
      <c r="B655" s="2" t="n"/>
      <c r="C655" s="2" t="n"/>
      <c r="D655" s="2" t="n"/>
    </row>
    <row r="656" ht="14.25" customHeight="1" s="74">
      <c r="A656" s="2" t="n"/>
      <c r="B656" s="2" t="n"/>
      <c r="C656" s="2" t="n"/>
      <c r="D656" s="2" t="n"/>
    </row>
    <row r="657" ht="14.25" customHeight="1" s="74">
      <c r="A657" s="2" t="n"/>
      <c r="B657" s="2" t="n"/>
      <c r="C657" s="2" t="n"/>
      <c r="D657" s="2" t="n"/>
    </row>
    <row r="658" ht="14.25" customHeight="1" s="74">
      <c r="A658" s="2" t="n"/>
      <c r="B658" s="2" t="n"/>
      <c r="C658" s="2" t="n"/>
      <c r="D658" s="2" t="n"/>
    </row>
    <row r="659" ht="14.25" customHeight="1" s="74">
      <c r="A659" s="2" t="n"/>
      <c r="B659" s="2" t="n"/>
      <c r="C659" s="2" t="n"/>
      <c r="D659" s="2" t="n"/>
    </row>
    <row r="660" ht="14.25" customHeight="1" s="74">
      <c r="A660" s="2" t="n"/>
      <c r="B660" s="2" t="n"/>
      <c r="C660" s="2" t="n"/>
      <c r="D660" s="2" t="n"/>
    </row>
    <row r="661" ht="14.25" customHeight="1" s="74">
      <c r="A661" s="2" t="n"/>
      <c r="B661" s="2" t="n"/>
      <c r="C661" s="2" t="n"/>
      <c r="D661" s="2" t="n"/>
    </row>
    <row r="662" ht="14.25" customHeight="1" s="74">
      <c r="A662" s="2" t="n"/>
      <c r="B662" s="2" t="n"/>
      <c r="C662" s="2" t="n"/>
      <c r="D662" s="2" t="n"/>
    </row>
    <row r="663" ht="14.25" customHeight="1" s="74">
      <c r="A663" s="2" t="n"/>
      <c r="B663" s="2" t="n"/>
      <c r="C663" s="2" t="n"/>
      <c r="D663" s="2" t="n"/>
    </row>
    <row r="664" ht="14.25" customHeight="1" s="74">
      <c r="A664" s="2" t="n"/>
      <c r="B664" s="2" t="n"/>
      <c r="C664" s="2" t="n"/>
      <c r="D664" s="2" t="n"/>
    </row>
    <row r="665" ht="14.25" customHeight="1" s="74">
      <c r="A665" s="2" t="n"/>
      <c r="B665" s="2" t="n"/>
      <c r="C665" s="2" t="n"/>
      <c r="D665" s="2" t="n"/>
    </row>
    <row r="666" ht="14.25" customHeight="1" s="74">
      <c r="A666" s="2" t="n"/>
      <c r="B666" s="2" t="n"/>
      <c r="C666" s="2" t="n"/>
      <c r="D666" s="2" t="n"/>
    </row>
    <row r="667" ht="14.25" customHeight="1" s="74">
      <c r="A667" s="2" t="n"/>
      <c r="B667" s="2" t="n"/>
      <c r="C667" s="2" t="n"/>
      <c r="D667" s="2" t="n"/>
    </row>
    <row r="668" ht="14.25" customHeight="1" s="74">
      <c r="A668" s="2" t="n"/>
      <c r="B668" s="2" t="n"/>
      <c r="C668" s="2" t="n"/>
      <c r="D668" s="2" t="n"/>
    </row>
    <row r="669" ht="14.25" customHeight="1" s="74">
      <c r="A669" s="2" t="n"/>
      <c r="B669" s="2" t="n"/>
      <c r="C669" s="2" t="n"/>
      <c r="D669" s="2" t="n"/>
    </row>
    <row r="670" ht="14.25" customHeight="1" s="74">
      <c r="A670" s="2" t="n"/>
      <c r="B670" s="2" t="n"/>
      <c r="C670" s="2" t="n"/>
      <c r="D670" s="2" t="n"/>
    </row>
    <row r="671" ht="14.25" customHeight="1" s="74">
      <c r="A671" s="2" t="n"/>
      <c r="B671" s="2" t="n"/>
      <c r="C671" s="2" t="n"/>
      <c r="D671" s="2" t="n"/>
    </row>
    <row r="672" ht="14.25" customHeight="1" s="74">
      <c r="A672" s="2" t="n"/>
      <c r="B672" s="2" t="n"/>
      <c r="C672" s="2" t="n"/>
      <c r="D672" s="2" t="n"/>
    </row>
    <row r="673" ht="14.25" customHeight="1" s="74">
      <c r="A673" s="2" t="n"/>
      <c r="B673" s="2" t="n"/>
      <c r="C673" s="2" t="n"/>
      <c r="D673" s="2" t="n"/>
    </row>
    <row r="674" ht="14.25" customHeight="1" s="74">
      <c r="A674" s="2" t="n"/>
      <c r="B674" s="2" t="n"/>
      <c r="C674" s="2" t="n"/>
      <c r="D674" s="2" t="n"/>
    </row>
    <row r="675" ht="14.25" customHeight="1" s="74">
      <c r="A675" s="2" t="n"/>
      <c r="B675" s="2" t="n"/>
      <c r="C675" s="2" t="n"/>
      <c r="D675" s="2" t="n"/>
    </row>
    <row r="676" ht="14.25" customHeight="1" s="74">
      <c r="A676" s="2" t="n"/>
      <c r="B676" s="2" t="n"/>
      <c r="C676" s="2" t="n"/>
      <c r="D676" s="2" t="n"/>
    </row>
    <row r="677" ht="14.25" customHeight="1" s="74">
      <c r="A677" s="2" t="n"/>
      <c r="B677" s="2" t="n"/>
      <c r="C677" s="2" t="n"/>
      <c r="D677" s="2" t="n"/>
    </row>
    <row r="678" ht="14.25" customHeight="1" s="74">
      <c r="A678" s="2" t="n"/>
      <c r="B678" s="2" t="n"/>
      <c r="C678" s="2" t="n"/>
      <c r="D678" s="2" t="n"/>
    </row>
    <row r="679" ht="14.25" customHeight="1" s="74">
      <c r="A679" s="2" t="n"/>
      <c r="B679" s="2" t="n"/>
      <c r="C679" s="2" t="n"/>
      <c r="D679" s="2" t="n"/>
    </row>
    <row r="680" ht="14.25" customHeight="1" s="74">
      <c r="A680" s="2" t="n"/>
      <c r="B680" s="2" t="n"/>
      <c r="C680" s="2" t="n"/>
      <c r="D680" s="2" t="n"/>
    </row>
    <row r="681" ht="14.25" customHeight="1" s="74">
      <c r="A681" s="2" t="n"/>
      <c r="B681" s="2" t="n"/>
      <c r="C681" s="2" t="n"/>
      <c r="D681" s="2" t="n"/>
    </row>
    <row r="682" ht="14.25" customHeight="1" s="74">
      <c r="A682" s="2" t="n"/>
      <c r="B682" s="2" t="n"/>
      <c r="C682" s="2" t="n"/>
      <c r="D682" s="2" t="n"/>
    </row>
    <row r="683" ht="14.25" customHeight="1" s="74">
      <c r="A683" s="2" t="n"/>
      <c r="B683" s="2" t="n"/>
      <c r="C683" s="2" t="n"/>
      <c r="D683" s="2" t="n"/>
    </row>
    <row r="684" ht="14.25" customHeight="1" s="74">
      <c r="A684" s="2" t="n"/>
      <c r="B684" s="2" t="n"/>
      <c r="C684" s="2" t="n"/>
      <c r="D684" s="2" t="n"/>
    </row>
    <row r="685" ht="14.25" customHeight="1" s="74">
      <c r="A685" s="2" t="n"/>
      <c r="B685" s="2" t="n"/>
      <c r="C685" s="2" t="n"/>
      <c r="D685" s="2" t="n"/>
    </row>
    <row r="686" ht="14.25" customHeight="1" s="74">
      <c r="A686" s="2" t="n"/>
      <c r="B686" s="2" t="n"/>
      <c r="C686" s="2" t="n"/>
      <c r="D686" s="2" t="n"/>
    </row>
    <row r="687" ht="14.25" customHeight="1" s="74">
      <c r="A687" s="2" t="n"/>
      <c r="B687" s="2" t="n"/>
      <c r="C687" s="2" t="n"/>
      <c r="D687" s="2" t="n"/>
    </row>
    <row r="688" ht="14.25" customHeight="1" s="74">
      <c r="A688" s="2" t="n"/>
      <c r="B688" s="2" t="n"/>
      <c r="C688" s="2" t="n"/>
      <c r="D688" s="2" t="n"/>
    </row>
    <row r="689" ht="14.25" customHeight="1" s="74">
      <c r="A689" s="2" t="n"/>
      <c r="B689" s="2" t="n"/>
      <c r="C689" s="2" t="n"/>
      <c r="D689" s="2" t="n"/>
    </row>
    <row r="690" ht="14.25" customHeight="1" s="74">
      <c r="A690" s="2" t="n"/>
      <c r="B690" s="2" t="n"/>
      <c r="C690" s="2" t="n"/>
      <c r="D690" s="2" t="n"/>
    </row>
    <row r="691" ht="14.25" customHeight="1" s="74">
      <c r="A691" s="2" t="n"/>
      <c r="B691" s="2" t="n"/>
      <c r="C691" s="2" t="n"/>
      <c r="D691" s="2" t="n"/>
    </row>
    <row r="692" ht="14.25" customHeight="1" s="74">
      <c r="A692" s="2" t="n"/>
      <c r="B692" s="2" t="n"/>
      <c r="C692" s="2" t="n"/>
      <c r="D692" s="2" t="n"/>
    </row>
    <row r="693" ht="14.25" customHeight="1" s="74">
      <c r="A693" s="2" t="n"/>
      <c r="B693" s="2" t="n"/>
      <c r="C693" s="2" t="n"/>
      <c r="D693" s="2" t="n"/>
    </row>
    <row r="694" ht="14.25" customHeight="1" s="74">
      <c r="A694" s="2" t="n"/>
      <c r="B694" s="2" t="n"/>
      <c r="C694" s="2" t="n"/>
      <c r="D694" s="2" t="n"/>
    </row>
    <row r="695" ht="14.25" customHeight="1" s="74">
      <c r="A695" s="2" t="n"/>
      <c r="B695" s="2" t="n"/>
      <c r="C695" s="2" t="n"/>
      <c r="D695" s="2" t="n"/>
    </row>
    <row r="696" ht="14.25" customHeight="1" s="74">
      <c r="A696" s="2" t="n"/>
      <c r="B696" s="2" t="n"/>
      <c r="C696" s="2" t="n"/>
      <c r="D696" s="2" t="n"/>
    </row>
    <row r="697" ht="14.25" customHeight="1" s="74">
      <c r="A697" s="2" t="n"/>
      <c r="B697" s="2" t="n"/>
      <c r="C697" s="2" t="n"/>
      <c r="D697" s="2" t="n"/>
    </row>
    <row r="698" ht="14.25" customHeight="1" s="74">
      <c r="A698" s="2" t="n"/>
      <c r="B698" s="2" t="n"/>
      <c r="C698" s="2" t="n"/>
      <c r="D698" s="2" t="n"/>
    </row>
    <row r="699" ht="14.25" customHeight="1" s="74">
      <c r="A699" s="2" t="n"/>
      <c r="B699" s="2" t="n"/>
      <c r="C699" s="2" t="n"/>
      <c r="D699" s="2" t="n"/>
    </row>
    <row r="700" ht="14.25" customHeight="1" s="74">
      <c r="A700" s="2" t="n"/>
      <c r="B700" s="2" t="n"/>
      <c r="C700" s="2" t="n"/>
      <c r="D700" s="2" t="n"/>
    </row>
    <row r="701" ht="14.25" customHeight="1" s="74">
      <c r="A701" s="2" t="n"/>
      <c r="B701" s="2" t="n"/>
      <c r="C701" s="2" t="n"/>
      <c r="D701" s="2" t="n"/>
    </row>
    <row r="702" ht="14.25" customHeight="1" s="74">
      <c r="A702" s="2" t="n"/>
      <c r="B702" s="2" t="n"/>
      <c r="C702" s="2" t="n"/>
      <c r="D702" s="2" t="n"/>
    </row>
    <row r="703" ht="14.25" customHeight="1" s="74">
      <c r="A703" s="2" t="n"/>
      <c r="B703" s="2" t="n"/>
      <c r="C703" s="2" t="n"/>
      <c r="D703" s="2" t="n"/>
    </row>
    <row r="704" ht="14.25" customHeight="1" s="74">
      <c r="A704" s="2" t="n"/>
      <c r="B704" s="2" t="n"/>
      <c r="C704" s="2" t="n"/>
      <c r="D704" s="2" t="n"/>
    </row>
    <row r="705" ht="14.25" customHeight="1" s="74">
      <c r="A705" s="2" t="n"/>
      <c r="B705" s="2" t="n"/>
      <c r="C705" s="2" t="n"/>
      <c r="D705" s="2" t="n"/>
    </row>
    <row r="706" ht="14.25" customHeight="1" s="74">
      <c r="A706" s="2" t="n"/>
      <c r="B706" s="2" t="n"/>
      <c r="C706" s="2" t="n"/>
      <c r="D706" s="2" t="n"/>
    </row>
    <row r="707" ht="14.25" customHeight="1" s="74">
      <c r="A707" s="2" t="n"/>
      <c r="B707" s="2" t="n"/>
      <c r="C707" s="2" t="n"/>
      <c r="D707" s="2" t="n"/>
    </row>
    <row r="708" ht="14.25" customHeight="1" s="74">
      <c r="A708" s="2" t="n"/>
      <c r="B708" s="2" t="n"/>
      <c r="C708" s="2" t="n"/>
      <c r="D708" s="2" t="n"/>
    </row>
    <row r="709" ht="14.25" customHeight="1" s="74">
      <c r="A709" s="2" t="n"/>
      <c r="B709" s="2" t="n"/>
      <c r="C709" s="2" t="n"/>
      <c r="D709" s="2" t="n"/>
    </row>
    <row r="710" ht="14.25" customHeight="1" s="74">
      <c r="A710" s="2" t="n"/>
      <c r="B710" s="2" t="n"/>
      <c r="C710" s="2" t="n"/>
      <c r="D710" s="2" t="n"/>
    </row>
    <row r="711" ht="14.25" customHeight="1" s="74">
      <c r="A711" s="2" t="n"/>
      <c r="B711" s="2" t="n"/>
      <c r="C711" s="2" t="n"/>
      <c r="D711" s="2" t="n"/>
    </row>
    <row r="712" ht="14.25" customHeight="1" s="74">
      <c r="A712" s="2" t="n"/>
      <c r="B712" s="2" t="n"/>
      <c r="C712" s="2" t="n"/>
      <c r="D712" s="2" t="n"/>
    </row>
    <row r="713" ht="14.25" customHeight="1" s="74">
      <c r="A713" s="2" t="n"/>
      <c r="B713" s="2" t="n"/>
      <c r="C713" s="2" t="n"/>
      <c r="D713" s="2" t="n"/>
    </row>
    <row r="714" ht="14.25" customHeight="1" s="74">
      <c r="A714" s="2" t="n"/>
      <c r="B714" s="2" t="n"/>
      <c r="C714" s="2" t="n"/>
      <c r="D714" s="2" t="n"/>
    </row>
    <row r="715" ht="14.25" customHeight="1" s="74">
      <c r="A715" s="2" t="n"/>
      <c r="B715" s="2" t="n"/>
      <c r="C715" s="2" t="n"/>
      <c r="D715" s="2" t="n"/>
    </row>
    <row r="716" ht="14.25" customHeight="1" s="74">
      <c r="A716" s="2" t="n"/>
      <c r="B716" s="2" t="n"/>
      <c r="C716" s="2" t="n"/>
      <c r="D716" s="2" t="n"/>
    </row>
    <row r="717" ht="14.25" customHeight="1" s="74">
      <c r="A717" s="2" t="n"/>
      <c r="B717" s="2" t="n"/>
      <c r="C717" s="2" t="n"/>
      <c r="D717" s="2" t="n"/>
    </row>
    <row r="718" ht="14.25" customHeight="1" s="74">
      <c r="A718" s="2" t="n"/>
      <c r="B718" s="2" t="n"/>
      <c r="C718" s="2" t="n"/>
      <c r="D718" s="2" t="n"/>
    </row>
    <row r="719" ht="14.25" customHeight="1" s="74">
      <c r="A719" s="2" t="n"/>
      <c r="B719" s="2" t="n"/>
      <c r="C719" s="2" t="n"/>
      <c r="D719" s="2" t="n"/>
    </row>
    <row r="720" ht="14.25" customHeight="1" s="74">
      <c r="A720" s="2" t="n"/>
      <c r="B720" s="2" t="n"/>
      <c r="C720" s="2" t="n"/>
      <c r="D720" s="2" t="n"/>
    </row>
    <row r="721" ht="14.25" customHeight="1" s="74">
      <c r="A721" s="2" t="n"/>
      <c r="B721" s="2" t="n"/>
      <c r="C721" s="2" t="n"/>
      <c r="D721" s="2" t="n"/>
    </row>
    <row r="722" ht="14.25" customHeight="1" s="74">
      <c r="A722" s="2" t="n"/>
      <c r="B722" s="2" t="n"/>
      <c r="C722" s="2" t="n"/>
      <c r="D722" s="2" t="n"/>
    </row>
    <row r="723" ht="14.25" customHeight="1" s="74">
      <c r="A723" s="2" t="n"/>
      <c r="B723" s="2" t="n"/>
      <c r="C723" s="2" t="n"/>
      <c r="D723" s="2" t="n"/>
    </row>
    <row r="724" ht="14.25" customHeight="1" s="74">
      <c r="A724" s="2" t="n"/>
      <c r="B724" s="2" t="n"/>
      <c r="C724" s="2" t="n"/>
      <c r="D724" s="2" t="n"/>
    </row>
    <row r="725" ht="14.25" customHeight="1" s="74">
      <c r="A725" s="2" t="n"/>
      <c r="B725" s="2" t="n"/>
      <c r="C725" s="2" t="n"/>
      <c r="D725" s="2" t="n"/>
    </row>
    <row r="726" ht="14.25" customHeight="1" s="74">
      <c r="A726" s="2" t="n"/>
      <c r="B726" s="2" t="n"/>
      <c r="C726" s="2" t="n"/>
      <c r="D726" s="2" t="n"/>
    </row>
    <row r="727" ht="14.25" customHeight="1" s="74">
      <c r="A727" s="2" t="n"/>
      <c r="B727" s="2" t="n"/>
      <c r="C727" s="2" t="n"/>
      <c r="D727" s="2" t="n"/>
    </row>
    <row r="728" ht="14.25" customHeight="1" s="74">
      <c r="A728" s="2" t="n"/>
      <c r="B728" s="2" t="n"/>
      <c r="C728" s="2" t="n"/>
      <c r="D728" s="2" t="n"/>
    </row>
    <row r="729" ht="14.25" customHeight="1" s="74">
      <c r="A729" s="2" t="n"/>
      <c r="B729" s="2" t="n"/>
      <c r="C729" s="2" t="n"/>
      <c r="D729" s="2" t="n"/>
    </row>
    <row r="730" ht="14.25" customHeight="1" s="74">
      <c r="A730" s="2" t="n"/>
      <c r="B730" s="2" t="n"/>
      <c r="C730" s="2" t="n"/>
      <c r="D730" s="2" t="n"/>
    </row>
    <row r="731" ht="14.25" customHeight="1" s="74">
      <c r="A731" s="2" t="n"/>
      <c r="B731" s="2" t="n"/>
      <c r="C731" s="2" t="n"/>
      <c r="D731" s="2" t="n"/>
    </row>
    <row r="732" ht="14.25" customHeight="1" s="74">
      <c r="A732" s="2" t="n"/>
      <c r="B732" s="2" t="n"/>
      <c r="C732" s="2" t="n"/>
      <c r="D732" s="2" t="n"/>
    </row>
    <row r="733" ht="14.25" customHeight="1" s="74">
      <c r="A733" s="2" t="n"/>
      <c r="B733" s="2" t="n"/>
      <c r="C733" s="2" t="n"/>
      <c r="D733" s="2" t="n"/>
    </row>
    <row r="734" ht="14.25" customHeight="1" s="74">
      <c r="A734" s="2" t="n"/>
      <c r="B734" s="2" t="n"/>
      <c r="C734" s="2" t="n"/>
      <c r="D734" s="2" t="n"/>
    </row>
    <row r="735" ht="14.25" customHeight="1" s="74">
      <c r="A735" s="2" t="n"/>
      <c r="B735" s="2" t="n"/>
      <c r="C735" s="2" t="n"/>
      <c r="D735" s="2" t="n"/>
    </row>
    <row r="736" ht="14.25" customHeight="1" s="74">
      <c r="A736" s="2" t="n"/>
      <c r="B736" s="2" t="n"/>
      <c r="C736" s="2" t="n"/>
      <c r="D736" s="2" t="n"/>
    </row>
    <row r="737" ht="14.25" customHeight="1" s="74">
      <c r="A737" s="2" t="n"/>
      <c r="B737" s="2" t="n"/>
      <c r="C737" s="2" t="n"/>
      <c r="D737" s="2" t="n"/>
    </row>
    <row r="738" ht="14.25" customHeight="1" s="74">
      <c r="A738" s="2" t="n"/>
      <c r="B738" s="2" t="n"/>
      <c r="C738" s="2" t="n"/>
      <c r="D738" s="2" t="n"/>
    </row>
    <row r="739" ht="14.25" customHeight="1" s="74">
      <c r="A739" s="2" t="n"/>
      <c r="B739" s="2" t="n"/>
      <c r="C739" s="2" t="n"/>
      <c r="D739" s="2" t="n"/>
    </row>
    <row r="740" ht="14.25" customHeight="1" s="74">
      <c r="A740" s="2" t="n"/>
      <c r="B740" s="2" t="n"/>
      <c r="C740" s="2" t="n"/>
      <c r="D740" s="2" t="n"/>
    </row>
    <row r="741" ht="14.25" customHeight="1" s="74">
      <c r="A741" s="2" t="n"/>
      <c r="B741" s="2" t="n"/>
      <c r="C741" s="2" t="n"/>
      <c r="D741" s="2" t="n"/>
    </row>
    <row r="742" ht="14.25" customHeight="1" s="74">
      <c r="A742" s="2" t="n"/>
      <c r="B742" s="2" t="n"/>
      <c r="C742" s="2" t="n"/>
      <c r="D742" s="2" t="n"/>
    </row>
    <row r="743" ht="14.25" customHeight="1" s="74">
      <c r="A743" s="2" t="n"/>
      <c r="B743" s="2" t="n"/>
      <c r="C743" s="2" t="n"/>
      <c r="D743" s="2" t="n"/>
    </row>
    <row r="744" ht="14.25" customHeight="1" s="74">
      <c r="A744" s="2" t="n"/>
      <c r="B744" s="2" t="n"/>
      <c r="C744" s="2" t="n"/>
      <c r="D744" s="2" t="n"/>
    </row>
    <row r="745" ht="14.25" customHeight="1" s="74">
      <c r="A745" s="2" t="n"/>
      <c r="B745" s="2" t="n"/>
      <c r="C745" s="2" t="n"/>
      <c r="D745" s="2" t="n"/>
    </row>
    <row r="746" ht="14.25" customHeight="1" s="74">
      <c r="A746" s="2" t="n"/>
      <c r="B746" s="2" t="n"/>
      <c r="C746" s="2" t="n"/>
      <c r="D746" s="2" t="n"/>
    </row>
    <row r="747" ht="14.25" customHeight="1" s="74">
      <c r="A747" s="2" t="n"/>
      <c r="B747" s="2" t="n"/>
      <c r="C747" s="2" t="n"/>
      <c r="D747" s="2" t="n"/>
    </row>
    <row r="748" ht="14.25" customHeight="1" s="74">
      <c r="A748" s="2" t="n"/>
      <c r="B748" s="2" t="n"/>
      <c r="C748" s="2" t="n"/>
      <c r="D748" s="2" t="n"/>
    </row>
    <row r="749" ht="14.25" customHeight="1" s="74">
      <c r="A749" s="2" t="n"/>
      <c r="B749" s="2" t="n"/>
      <c r="C749" s="2" t="n"/>
      <c r="D749" s="2" t="n"/>
    </row>
    <row r="750" ht="14.25" customHeight="1" s="74">
      <c r="A750" s="2" t="n"/>
      <c r="B750" s="2" t="n"/>
      <c r="C750" s="2" t="n"/>
      <c r="D750" s="2" t="n"/>
    </row>
    <row r="751" ht="14.25" customHeight="1" s="74">
      <c r="A751" s="2" t="n"/>
      <c r="B751" s="2" t="n"/>
      <c r="C751" s="2" t="n"/>
      <c r="D751" s="2" t="n"/>
    </row>
    <row r="752" ht="14.25" customHeight="1" s="74">
      <c r="A752" s="2" t="n"/>
      <c r="B752" s="2" t="n"/>
      <c r="C752" s="2" t="n"/>
      <c r="D752" s="2" t="n"/>
    </row>
    <row r="753" ht="14.25" customHeight="1" s="74">
      <c r="A753" s="2" t="n"/>
      <c r="B753" s="2" t="n"/>
      <c r="C753" s="2" t="n"/>
      <c r="D753" s="2" t="n"/>
    </row>
    <row r="754" ht="14.25" customHeight="1" s="74">
      <c r="A754" s="2" t="n"/>
      <c r="B754" s="2" t="n"/>
      <c r="C754" s="2" t="n"/>
      <c r="D754" s="2" t="n"/>
    </row>
    <row r="755" ht="14.25" customHeight="1" s="74">
      <c r="A755" s="2" t="n"/>
      <c r="B755" s="2" t="n"/>
      <c r="C755" s="2" t="n"/>
      <c r="D755" s="2" t="n"/>
    </row>
    <row r="756" ht="14.25" customHeight="1" s="74">
      <c r="A756" s="2" t="n"/>
      <c r="B756" s="2" t="n"/>
      <c r="C756" s="2" t="n"/>
      <c r="D756" s="2" t="n"/>
    </row>
    <row r="757" ht="14.25" customHeight="1" s="74">
      <c r="A757" s="2" t="n"/>
      <c r="B757" s="2" t="n"/>
      <c r="C757" s="2" t="n"/>
      <c r="D757" s="2" t="n"/>
    </row>
    <row r="758" ht="14.25" customHeight="1" s="74">
      <c r="A758" s="2" t="n"/>
      <c r="B758" s="2" t="n"/>
      <c r="C758" s="2" t="n"/>
      <c r="D758" s="2" t="n"/>
    </row>
    <row r="759" ht="14.25" customHeight="1" s="74">
      <c r="A759" s="2" t="n"/>
      <c r="B759" s="2" t="n"/>
      <c r="C759" s="2" t="n"/>
      <c r="D759" s="2" t="n"/>
    </row>
    <row r="760" ht="14.25" customHeight="1" s="74">
      <c r="A760" s="2" t="n"/>
      <c r="B760" s="2" t="n"/>
      <c r="C760" s="2" t="n"/>
      <c r="D760" s="2" t="n"/>
    </row>
    <row r="761" ht="14.25" customHeight="1" s="74">
      <c r="A761" s="2" t="n"/>
      <c r="B761" s="2" t="n"/>
      <c r="C761" s="2" t="n"/>
      <c r="D761" s="2" t="n"/>
    </row>
    <row r="762" ht="14.25" customHeight="1" s="74">
      <c r="A762" s="2" t="n"/>
      <c r="B762" s="2" t="n"/>
      <c r="C762" s="2" t="n"/>
      <c r="D762" s="2" t="n"/>
    </row>
    <row r="763" ht="14.25" customHeight="1" s="74">
      <c r="A763" s="2" t="n"/>
      <c r="B763" s="2" t="n"/>
      <c r="C763" s="2" t="n"/>
      <c r="D763" s="2" t="n"/>
    </row>
    <row r="764" ht="14.25" customHeight="1" s="74">
      <c r="A764" s="2" t="n"/>
      <c r="B764" s="2" t="n"/>
      <c r="C764" s="2" t="n"/>
      <c r="D764" s="2" t="n"/>
    </row>
    <row r="765" ht="14.25" customHeight="1" s="74">
      <c r="A765" s="2" t="n"/>
      <c r="B765" s="2" t="n"/>
      <c r="C765" s="2" t="n"/>
      <c r="D765" s="2" t="n"/>
    </row>
    <row r="766" ht="14.25" customHeight="1" s="74">
      <c r="A766" s="2" t="n"/>
      <c r="B766" s="2" t="n"/>
      <c r="C766" s="2" t="n"/>
      <c r="D766" s="2" t="n"/>
    </row>
    <row r="767" ht="14.25" customHeight="1" s="74">
      <c r="A767" s="2" t="n"/>
      <c r="B767" s="2" t="n"/>
      <c r="C767" s="2" t="n"/>
      <c r="D767" s="2" t="n"/>
    </row>
    <row r="768" ht="14.25" customHeight="1" s="74">
      <c r="A768" s="2" t="n"/>
      <c r="B768" s="2" t="n"/>
      <c r="C768" s="2" t="n"/>
      <c r="D768" s="2" t="n"/>
    </row>
    <row r="769" ht="14.25" customHeight="1" s="74">
      <c r="A769" s="2" t="n"/>
      <c r="B769" s="2" t="n"/>
      <c r="C769" s="2" t="n"/>
      <c r="D769" s="2" t="n"/>
    </row>
    <row r="770" ht="14.25" customHeight="1" s="74">
      <c r="A770" s="2" t="n"/>
      <c r="B770" s="2" t="n"/>
      <c r="C770" s="2" t="n"/>
      <c r="D770" s="2" t="n"/>
    </row>
    <row r="771" ht="14.25" customHeight="1" s="74">
      <c r="A771" s="2" t="n"/>
      <c r="B771" s="2" t="n"/>
      <c r="C771" s="2" t="n"/>
      <c r="D771" s="2" t="n"/>
    </row>
    <row r="772" ht="14.25" customHeight="1" s="74">
      <c r="A772" s="2" t="n"/>
      <c r="B772" s="2" t="n"/>
      <c r="C772" s="2" t="n"/>
      <c r="D772" s="2" t="n"/>
    </row>
    <row r="773" ht="14.25" customHeight="1" s="74">
      <c r="A773" s="2" t="n"/>
      <c r="B773" s="2" t="n"/>
      <c r="C773" s="2" t="n"/>
      <c r="D773" s="2" t="n"/>
    </row>
    <row r="774" ht="14.25" customHeight="1" s="74">
      <c r="A774" s="2" t="n"/>
      <c r="B774" s="2" t="n"/>
      <c r="C774" s="2" t="n"/>
      <c r="D774" s="2" t="n"/>
    </row>
    <row r="775" ht="14.25" customHeight="1" s="74">
      <c r="A775" s="2" t="n"/>
      <c r="B775" s="2" t="n"/>
      <c r="C775" s="2" t="n"/>
      <c r="D775" s="2" t="n"/>
    </row>
    <row r="776" ht="14.25" customHeight="1" s="74">
      <c r="A776" s="2" t="n"/>
      <c r="B776" s="2" t="n"/>
      <c r="C776" s="2" t="n"/>
      <c r="D776" s="2" t="n"/>
    </row>
    <row r="777" ht="14.25" customHeight="1" s="74">
      <c r="A777" s="2" t="n"/>
      <c r="B777" s="2" t="n"/>
      <c r="C777" s="2" t="n"/>
      <c r="D777" s="2" t="n"/>
    </row>
    <row r="778" ht="14.25" customHeight="1" s="74">
      <c r="A778" s="2" t="n"/>
      <c r="B778" s="2" t="n"/>
      <c r="C778" s="2" t="n"/>
      <c r="D778" s="2" t="n"/>
    </row>
    <row r="779" ht="14.25" customHeight="1" s="74">
      <c r="A779" s="2" t="n"/>
      <c r="B779" s="2" t="n"/>
      <c r="C779" s="2" t="n"/>
      <c r="D779" s="2" t="n"/>
    </row>
    <row r="780" ht="14.25" customHeight="1" s="74">
      <c r="A780" s="2" t="n"/>
      <c r="B780" s="2" t="n"/>
      <c r="C780" s="2" t="n"/>
      <c r="D780" s="2" t="n"/>
    </row>
    <row r="781" ht="14.25" customHeight="1" s="74">
      <c r="A781" s="2" t="n"/>
      <c r="B781" s="2" t="n"/>
      <c r="C781" s="2" t="n"/>
      <c r="D781" s="2" t="n"/>
    </row>
    <row r="782" ht="14.25" customHeight="1" s="74">
      <c r="A782" s="2" t="n"/>
      <c r="B782" s="2" t="n"/>
      <c r="C782" s="2" t="n"/>
      <c r="D782" s="2" t="n"/>
    </row>
    <row r="783" ht="14.25" customHeight="1" s="74">
      <c r="A783" s="2" t="n"/>
      <c r="B783" s="2" t="n"/>
      <c r="C783" s="2" t="n"/>
      <c r="D783" s="2" t="n"/>
    </row>
    <row r="784" ht="14.25" customHeight="1" s="74">
      <c r="A784" s="2" t="n"/>
      <c r="B784" s="2" t="n"/>
      <c r="C784" s="2" t="n"/>
      <c r="D784" s="2" t="n"/>
    </row>
    <row r="785" ht="14.25" customHeight="1" s="74">
      <c r="A785" s="2" t="n"/>
      <c r="B785" s="2" t="n"/>
      <c r="C785" s="2" t="n"/>
      <c r="D785" s="2" t="n"/>
    </row>
    <row r="786" ht="14.25" customHeight="1" s="74">
      <c r="A786" s="2" t="n"/>
      <c r="B786" s="2" t="n"/>
      <c r="C786" s="2" t="n"/>
      <c r="D786" s="2" t="n"/>
    </row>
    <row r="787" ht="14.25" customHeight="1" s="74">
      <c r="A787" s="2" t="n"/>
      <c r="B787" s="2" t="n"/>
      <c r="C787" s="2" t="n"/>
      <c r="D787" s="2" t="n"/>
    </row>
    <row r="788" ht="14.25" customHeight="1" s="74">
      <c r="A788" s="2" t="n"/>
      <c r="B788" s="2" t="n"/>
      <c r="C788" s="2" t="n"/>
      <c r="D788" s="2" t="n"/>
    </row>
    <row r="789" ht="14.25" customHeight="1" s="74">
      <c r="A789" s="2" t="n"/>
      <c r="B789" s="2" t="n"/>
      <c r="C789" s="2" t="n"/>
      <c r="D789" s="2" t="n"/>
    </row>
    <row r="790" ht="14.25" customHeight="1" s="74">
      <c r="A790" s="2" t="n"/>
      <c r="B790" s="2" t="n"/>
      <c r="C790" s="2" t="n"/>
      <c r="D790" s="2" t="n"/>
    </row>
    <row r="791" ht="14.25" customHeight="1" s="74">
      <c r="A791" s="2" t="n"/>
      <c r="B791" s="2" t="n"/>
      <c r="C791" s="2" t="n"/>
      <c r="D791" s="2" t="n"/>
    </row>
    <row r="792" ht="14.25" customHeight="1" s="74">
      <c r="A792" s="2" t="n"/>
      <c r="B792" s="2" t="n"/>
      <c r="C792" s="2" t="n"/>
      <c r="D792" s="2" t="n"/>
    </row>
    <row r="793" ht="14.25" customHeight="1" s="74">
      <c r="A793" s="2" t="n"/>
      <c r="B793" s="2" t="n"/>
      <c r="C793" s="2" t="n"/>
      <c r="D793" s="2" t="n"/>
    </row>
    <row r="794" ht="14.25" customHeight="1" s="74">
      <c r="A794" s="2" t="n"/>
      <c r="B794" s="2" t="n"/>
      <c r="C794" s="2" t="n"/>
      <c r="D794" s="2" t="n"/>
    </row>
    <row r="795" ht="14.25" customHeight="1" s="74">
      <c r="A795" s="2" t="n"/>
      <c r="B795" s="2" t="n"/>
      <c r="C795" s="2" t="n"/>
      <c r="D795" s="2" t="n"/>
    </row>
    <row r="796" ht="14.25" customHeight="1" s="74">
      <c r="A796" s="2" t="n"/>
      <c r="B796" s="2" t="n"/>
      <c r="C796" s="2" t="n"/>
      <c r="D796" s="2" t="n"/>
    </row>
    <row r="797" ht="14.25" customHeight="1" s="74">
      <c r="A797" s="2" t="n"/>
      <c r="B797" s="2" t="n"/>
      <c r="C797" s="2" t="n"/>
      <c r="D797" s="2" t="n"/>
    </row>
    <row r="798" ht="14.25" customHeight="1" s="74">
      <c r="A798" s="2" t="n"/>
      <c r="B798" s="2" t="n"/>
      <c r="C798" s="2" t="n"/>
      <c r="D798" s="2" t="n"/>
    </row>
    <row r="799" ht="14.25" customHeight="1" s="74">
      <c r="A799" s="2" t="n"/>
      <c r="B799" s="2" t="n"/>
      <c r="C799" s="2" t="n"/>
      <c r="D799" s="2" t="n"/>
    </row>
    <row r="800" ht="14.25" customHeight="1" s="74">
      <c r="A800" s="2" t="n"/>
      <c r="B800" s="2" t="n"/>
      <c r="C800" s="2" t="n"/>
      <c r="D800" s="2" t="n"/>
    </row>
    <row r="801" ht="14.25" customHeight="1" s="74">
      <c r="A801" s="2" t="n"/>
      <c r="B801" s="2" t="n"/>
      <c r="C801" s="2" t="n"/>
      <c r="D801" s="2" t="n"/>
    </row>
    <row r="802" ht="14.25" customHeight="1" s="74">
      <c r="A802" s="2" t="n"/>
      <c r="B802" s="2" t="n"/>
      <c r="C802" s="2" t="n"/>
      <c r="D802" s="2" t="n"/>
    </row>
    <row r="803" ht="14.25" customHeight="1" s="74">
      <c r="A803" s="2" t="n"/>
      <c r="B803" s="2" t="n"/>
      <c r="C803" s="2" t="n"/>
      <c r="D803" s="2" t="n"/>
    </row>
    <row r="804" ht="14.25" customHeight="1" s="74">
      <c r="A804" s="2" t="n"/>
      <c r="B804" s="2" t="n"/>
      <c r="C804" s="2" t="n"/>
      <c r="D804" s="2" t="n"/>
    </row>
    <row r="805" ht="14.25" customHeight="1" s="74">
      <c r="A805" s="2" t="n"/>
      <c r="B805" s="2" t="n"/>
      <c r="C805" s="2" t="n"/>
      <c r="D805" s="2" t="n"/>
    </row>
    <row r="806" ht="14.25" customHeight="1" s="74">
      <c r="A806" s="2" t="n"/>
      <c r="B806" s="2" t="n"/>
      <c r="C806" s="2" t="n"/>
      <c r="D806" s="2" t="n"/>
    </row>
    <row r="807" ht="14.25" customHeight="1" s="74">
      <c r="A807" s="2" t="n"/>
      <c r="B807" s="2" t="n"/>
      <c r="C807" s="2" t="n"/>
      <c r="D807" s="2" t="n"/>
    </row>
    <row r="808" ht="14.25" customHeight="1" s="74">
      <c r="A808" s="2" t="n"/>
      <c r="B808" s="2" t="n"/>
      <c r="C808" s="2" t="n"/>
      <c r="D808" s="2" t="n"/>
    </row>
    <row r="809" ht="14.25" customHeight="1" s="74">
      <c r="A809" s="2" t="n"/>
      <c r="B809" s="2" t="n"/>
      <c r="C809" s="2" t="n"/>
      <c r="D809" s="2" t="n"/>
    </row>
    <row r="810" ht="14.25" customHeight="1" s="74">
      <c r="A810" s="2" t="n"/>
      <c r="B810" s="2" t="n"/>
      <c r="C810" s="2" t="n"/>
      <c r="D810" s="2" t="n"/>
    </row>
    <row r="811" ht="14.25" customHeight="1" s="74">
      <c r="A811" s="2" t="n"/>
      <c r="B811" s="2" t="n"/>
      <c r="C811" s="2" t="n"/>
      <c r="D811" s="2" t="n"/>
    </row>
    <row r="812" ht="14.25" customHeight="1" s="74">
      <c r="A812" s="2" t="n"/>
      <c r="B812" s="2" t="n"/>
      <c r="C812" s="2" t="n"/>
      <c r="D812" s="2" t="n"/>
    </row>
    <row r="813" ht="14.25" customHeight="1" s="74">
      <c r="A813" s="2" t="n"/>
      <c r="B813" s="2" t="n"/>
      <c r="C813" s="2" t="n"/>
      <c r="D813" s="2" t="n"/>
    </row>
    <row r="814" ht="14.25" customHeight="1" s="74">
      <c r="A814" s="2" t="n"/>
      <c r="B814" s="2" t="n"/>
      <c r="C814" s="2" t="n"/>
      <c r="D814" s="2" t="n"/>
    </row>
    <row r="815" ht="14.25" customHeight="1" s="74">
      <c r="A815" s="2" t="n"/>
      <c r="B815" s="2" t="n"/>
      <c r="C815" s="2" t="n"/>
      <c r="D815" s="2" t="n"/>
    </row>
    <row r="816" ht="14.25" customHeight="1" s="74">
      <c r="A816" s="2" t="n"/>
      <c r="B816" s="2" t="n"/>
      <c r="C816" s="2" t="n"/>
      <c r="D816" s="2" t="n"/>
    </row>
    <row r="817" ht="14.25" customHeight="1" s="74">
      <c r="A817" s="2" t="n"/>
      <c r="B817" s="2" t="n"/>
      <c r="C817" s="2" t="n"/>
      <c r="D817" s="2" t="n"/>
    </row>
    <row r="818" ht="14.25" customHeight="1" s="74">
      <c r="A818" s="2" t="n"/>
      <c r="B818" s="2" t="n"/>
      <c r="C818" s="2" t="n"/>
      <c r="D818" s="2" t="n"/>
    </row>
    <row r="819" ht="14.25" customHeight="1" s="74">
      <c r="A819" s="2" t="n"/>
      <c r="B819" s="2" t="n"/>
      <c r="C819" s="2" t="n"/>
      <c r="D819" s="2" t="n"/>
    </row>
    <row r="820" ht="14.25" customHeight="1" s="74">
      <c r="A820" s="2" t="n"/>
      <c r="B820" s="2" t="n"/>
      <c r="C820" s="2" t="n"/>
      <c r="D820" s="2" t="n"/>
    </row>
    <row r="821" ht="14.25" customHeight="1" s="74">
      <c r="A821" s="2" t="n"/>
      <c r="B821" s="2" t="n"/>
      <c r="C821" s="2" t="n"/>
      <c r="D821" s="2" t="n"/>
    </row>
    <row r="822" ht="14.25" customHeight="1" s="74">
      <c r="A822" s="2" t="n"/>
      <c r="B822" s="2" t="n"/>
      <c r="C822" s="2" t="n"/>
      <c r="D822" s="2" t="n"/>
    </row>
    <row r="823" ht="14.25" customHeight="1" s="74">
      <c r="A823" s="2" t="n"/>
      <c r="B823" s="2" t="n"/>
      <c r="C823" s="2" t="n"/>
      <c r="D823" s="2" t="n"/>
    </row>
    <row r="824" ht="14.25" customHeight="1" s="74">
      <c r="A824" s="2" t="n"/>
      <c r="B824" s="2" t="n"/>
      <c r="C824" s="2" t="n"/>
      <c r="D824" s="2" t="n"/>
    </row>
    <row r="825" ht="14.25" customHeight="1" s="74">
      <c r="A825" s="2" t="n"/>
      <c r="B825" s="2" t="n"/>
      <c r="C825" s="2" t="n"/>
      <c r="D825" s="2" t="n"/>
    </row>
    <row r="826" ht="14.25" customHeight="1" s="74">
      <c r="A826" s="2" t="n"/>
      <c r="B826" s="2" t="n"/>
      <c r="C826" s="2" t="n"/>
      <c r="D826" s="2" t="n"/>
    </row>
    <row r="827" ht="14.25" customHeight="1" s="74">
      <c r="A827" s="2" t="n"/>
      <c r="B827" s="2" t="n"/>
      <c r="C827" s="2" t="n"/>
      <c r="D827" s="2" t="n"/>
    </row>
    <row r="828" ht="14.25" customHeight="1" s="74">
      <c r="A828" s="2" t="n"/>
      <c r="B828" s="2" t="n"/>
      <c r="C828" s="2" t="n"/>
      <c r="D828" s="2" t="n"/>
    </row>
    <row r="829" ht="14.25" customHeight="1" s="74">
      <c r="A829" s="2" t="n"/>
      <c r="B829" s="2" t="n"/>
      <c r="C829" s="2" t="n"/>
      <c r="D829" s="2" t="n"/>
    </row>
    <row r="830" ht="14.25" customHeight="1" s="74">
      <c r="A830" s="2" t="n"/>
      <c r="B830" s="2" t="n"/>
      <c r="C830" s="2" t="n"/>
      <c r="D830" s="2" t="n"/>
    </row>
    <row r="831" ht="14.25" customHeight="1" s="74">
      <c r="A831" s="2" t="n"/>
      <c r="B831" s="2" t="n"/>
      <c r="C831" s="2" t="n"/>
      <c r="D831" s="2" t="n"/>
    </row>
    <row r="832" ht="14.25" customHeight="1" s="74">
      <c r="A832" s="2" t="n"/>
      <c r="B832" s="2" t="n"/>
      <c r="C832" s="2" t="n"/>
      <c r="D832" s="2" t="n"/>
    </row>
    <row r="833" ht="14.25" customHeight="1" s="74">
      <c r="A833" s="2" t="n"/>
      <c r="B833" s="2" t="n"/>
      <c r="C833" s="2" t="n"/>
      <c r="D833" s="2" t="n"/>
    </row>
    <row r="834" ht="14.25" customHeight="1" s="74">
      <c r="A834" s="2" t="n"/>
      <c r="B834" s="2" t="n"/>
      <c r="C834" s="2" t="n"/>
      <c r="D834" s="2" t="n"/>
    </row>
    <row r="835" ht="14.25" customHeight="1" s="74">
      <c r="A835" s="2" t="n"/>
      <c r="B835" s="2" t="n"/>
      <c r="C835" s="2" t="n"/>
      <c r="D835" s="2" t="n"/>
    </row>
    <row r="836" ht="14.25" customHeight="1" s="74">
      <c r="A836" s="2" t="n"/>
      <c r="B836" s="2" t="n"/>
      <c r="C836" s="2" t="n"/>
      <c r="D836" s="2" t="n"/>
    </row>
    <row r="837" ht="14.25" customHeight="1" s="74">
      <c r="A837" s="2" t="n"/>
      <c r="B837" s="2" t="n"/>
      <c r="C837" s="2" t="n"/>
      <c r="D837" s="2" t="n"/>
    </row>
    <row r="838" ht="14.25" customHeight="1" s="74">
      <c r="A838" s="2" t="n"/>
      <c r="B838" s="2" t="n"/>
      <c r="C838" s="2" t="n"/>
      <c r="D838" s="2" t="n"/>
    </row>
    <row r="839" ht="14.25" customHeight="1" s="74">
      <c r="A839" s="2" t="n"/>
      <c r="B839" s="2" t="n"/>
      <c r="C839" s="2" t="n"/>
      <c r="D839" s="2" t="n"/>
    </row>
    <row r="840" ht="14.25" customHeight="1" s="74">
      <c r="A840" s="2" t="n"/>
      <c r="B840" s="2" t="n"/>
      <c r="C840" s="2" t="n"/>
      <c r="D840" s="2" t="n"/>
    </row>
    <row r="841" ht="14.25" customHeight="1" s="74">
      <c r="A841" s="2" t="n"/>
      <c r="B841" s="2" t="n"/>
      <c r="C841" s="2" t="n"/>
      <c r="D841" s="2" t="n"/>
    </row>
    <row r="842" ht="14.25" customHeight="1" s="74">
      <c r="A842" s="2" t="n"/>
      <c r="B842" s="2" t="n"/>
      <c r="C842" s="2" t="n"/>
      <c r="D842" s="2" t="n"/>
    </row>
    <row r="843" ht="14.25" customHeight="1" s="74">
      <c r="A843" s="2" t="n"/>
      <c r="B843" s="2" t="n"/>
      <c r="C843" s="2" t="n"/>
      <c r="D843" s="2" t="n"/>
    </row>
    <row r="844" ht="14.25" customHeight="1" s="74">
      <c r="A844" s="2" t="n"/>
      <c r="B844" s="2" t="n"/>
      <c r="C844" s="2" t="n"/>
      <c r="D844" s="2" t="n"/>
    </row>
    <row r="845" ht="14.25" customHeight="1" s="74">
      <c r="A845" s="2" t="n"/>
      <c r="B845" s="2" t="n"/>
      <c r="C845" s="2" t="n"/>
      <c r="D845" s="2" t="n"/>
    </row>
    <row r="846" ht="14.25" customHeight="1" s="74">
      <c r="A846" s="2" t="n"/>
      <c r="B846" s="2" t="n"/>
      <c r="C846" s="2" t="n"/>
      <c r="D846" s="2" t="n"/>
    </row>
    <row r="847" ht="14.25" customHeight="1" s="74">
      <c r="A847" s="2" t="n"/>
      <c r="B847" s="2" t="n"/>
      <c r="C847" s="2" t="n"/>
      <c r="D847" s="2" t="n"/>
    </row>
    <row r="848" ht="14.25" customHeight="1" s="74">
      <c r="A848" s="2" t="n"/>
      <c r="B848" s="2" t="n"/>
      <c r="C848" s="2" t="n"/>
      <c r="D848" s="2" t="n"/>
    </row>
    <row r="849" ht="14.25" customHeight="1" s="74">
      <c r="A849" s="2" t="n"/>
      <c r="B849" s="2" t="n"/>
      <c r="C849" s="2" t="n"/>
      <c r="D849" s="2" t="n"/>
    </row>
    <row r="850" ht="14.25" customHeight="1" s="74">
      <c r="A850" s="2" t="n"/>
      <c r="B850" s="2" t="n"/>
      <c r="C850" s="2" t="n"/>
      <c r="D850" s="2" t="n"/>
    </row>
    <row r="851" ht="14.25" customHeight="1" s="74">
      <c r="A851" s="2" t="n"/>
      <c r="B851" s="2" t="n"/>
      <c r="C851" s="2" t="n"/>
      <c r="D851" s="2" t="n"/>
    </row>
    <row r="852" ht="14.25" customHeight="1" s="74">
      <c r="A852" s="2" t="n"/>
      <c r="B852" s="2" t="n"/>
      <c r="C852" s="2" t="n"/>
      <c r="D852" s="2" t="n"/>
    </row>
    <row r="853" ht="14.25" customHeight="1" s="74">
      <c r="A853" s="2" t="n"/>
      <c r="B853" s="2" t="n"/>
      <c r="C853" s="2" t="n"/>
      <c r="D853" s="2" t="n"/>
    </row>
    <row r="854" ht="14.25" customHeight="1" s="74">
      <c r="A854" s="2" t="n"/>
      <c r="B854" s="2" t="n"/>
      <c r="C854" s="2" t="n"/>
      <c r="D854" s="2" t="n"/>
    </row>
    <row r="855" ht="14.25" customHeight="1" s="74">
      <c r="A855" s="2" t="n"/>
      <c r="B855" s="2" t="n"/>
      <c r="C855" s="2" t="n"/>
      <c r="D855" s="2" t="n"/>
    </row>
    <row r="856" ht="14.25" customHeight="1" s="74">
      <c r="A856" s="2" t="n"/>
      <c r="B856" s="2" t="n"/>
      <c r="C856" s="2" t="n"/>
      <c r="D856" s="2" t="n"/>
    </row>
    <row r="857" ht="14.25" customHeight="1" s="74">
      <c r="A857" s="2" t="n"/>
      <c r="B857" s="2" t="n"/>
      <c r="C857" s="2" t="n"/>
      <c r="D857" s="2" t="n"/>
    </row>
    <row r="858" ht="14.25" customHeight="1" s="74">
      <c r="A858" s="2" t="n"/>
      <c r="B858" s="2" t="n"/>
      <c r="C858" s="2" t="n"/>
      <c r="D858" s="2" t="n"/>
    </row>
    <row r="859" ht="14.25" customHeight="1" s="74">
      <c r="A859" s="2" t="n"/>
      <c r="B859" s="2" t="n"/>
      <c r="C859" s="2" t="n"/>
      <c r="D859" s="2" t="n"/>
    </row>
    <row r="860" ht="14.25" customHeight="1" s="74">
      <c r="A860" s="2" t="n"/>
      <c r="B860" s="2" t="n"/>
      <c r="C860" s="2" t="n"/>
      <c r="D860" s="2" t="n"/>
    </row>
    <row r="861" ht="14.25" customHeight="1" s="74">
      <c r="A861" s="2" t="n"/>
      <c r="B861" s="2" t="n"/>
      <c r="C861" s="2" t="n"/>
      <c r="D861" s="2" t="n"/>
    </row>
    <row r="862" ht="14.25" customHeight="1" s="74">
      <c r="A862" s="2" t="n"/>
      <c r="B862" s="2" t="n"/>
      <c r="C862" s="2" t="n"/>
      <c r="D862" s="2" t="n"/>
    </row>
    <row r="863" ht="14.25" customHeight="1" s="74">
      <c r="A863" s="2" t="n"/>
      <c r="B863" s="2" t="n"/>
      <c r="C863" s="2" t="n"/>
      <c r="D863" s="2" t="n"/>
    </row>
    <row r="864" ht="14.25" customHeight="1" s="74">
      <c r="A864" s="2" t="n"/>
      <c r="B864" s="2" t="n"/>
      <c r="C864" s="2" t="n"/>
      <c r="D864" s="2" t="n"/>
    </row>
    <row r="865" ht="14.25" customHeight="1" s="74">
      <c r="A865" s="2" t="n"/>
      <c r="B865" s="2" t="n"/>
      <c r="C865" s="2" t="n"/>
      <c r="D865" s="2" t="n"/>
    </row>
    <row r="866" ht="14.25" customHeight="1" s="74">
      <c r="A866" s="2" t="n"/>
      <c r="B866" s="2" t="n"/>
      <c r="C866" s="2" t="n"/>
      <c r="D866" s="2" t="n"/>
    </row>
    <row r="867" ht="14.25" customHeight="1" s="74">
      <c r="A867" s="2" t="n"/>
      <c r="B867" s="2" t="n"/>
      <c r="C867" s="2" t="n"/>
      <c r="D867" s="2" t="n"/>
    </row>
    <row r="868" ht="14.25" customHeight="1" s="74">
      <c r="A868" s="2" t="n"/>
      <c r="B868" s="2" t="n"/>
      <c r="C868" s="2" t="n"/>
      <c r="D868" s="2" t="n"/>
    </row>
    <row r="869" ht="14.25" customHeight="1" s="74">
      <c r="A869" s="2" t="n"/>
      <c r="B869" s="2" t="n"/>
      <c r="C869" s="2" t="n"/>
      <c r="D869" s="2" t="n"/>
    </row>
    <row r="870" ht="14.25" customHeight="1" s="74">
      <c r="A870" s="2" t="n"/>
      <c r="B870" s="2" t="n"/>
      <c r="C870" s="2" t="n"/>
      <c r="D870" s="2" t="n"/>
    </row>
    <row r="871" ht="14.25" customHeight="1" s="74">
      <c r="A871" s="2" t="n"/>
      <c r="B871" s="2" t="n"/>
      <c r="C871" s="2" t="n"/>
      <c r="D871" s="2" t="n"/>
    </row>
    <row r="872" ht="14.25" customHeight="1" s="74">
      <c r="A872" s="2" t="n"/>
      <c r="B872" s="2" t="n"/>
      <c r="C872" s="2" t="n"/>
      <c r="D872" s="2" t="n"/>
    </row>
    <row r="873" ht="14.25" customHeight="1" s="74">
      <c r="A873" s="2" t="n"/>
      <c r="B873" s="2" t="n"/>
      <c r="C873" s="2" t="n"/>
      <c r="D873" s="2" t="n"/>
    </row>
    <row r="874" ht="14.25" customHeight="1" s="74">
      <c r="A874" s="2" t="n"/>
      <c r="B874" s="2" t="n"/>
      <c r="C874" s="2" t="n"/>
      <c r="D874" s="2" t="n"/>
    </row>
    <row r="875" ht="14.25" customHeight="1" s="74">
      <c r="A875" s="2" t="n"/>
      <c r="B875" s="2" t="n"/>
      <c r="C875" s="2" t="n"/>
      <c r="D875" s="2" t="n"/>
    </row>
    <row r="876" ht="14.25" customHeight="1" s="74">
      <c r="A876" s="2" t="n"/>
      <c r="B876" s="2" t="n"/>
      <c r="C876" s="2" t="n"/>
      <c r="D876" s="2" t="n"/>
    </row>
    <row r="877" ht="14.25" customHeight="1" s="74">
      <c r="A877" s="2" t="n"/>
      <c r="B877" s="2" t="n"/>
      <c r="C877" s="2" t="n"/>
      <c r="D877" s="2" t="n"/>
    </row>
    <row r="878" ht="14.25" customHeight="1" s="74">
      <c r="A878" s="2" t="n"/>
      <c r="B878" s="2" t="n"/>
      <c r="C878" s="2" t="n"/>
      <c r="D878" s="2" t="n"/>
    </row>
    <row r="879" ht="14.25" customHeight="1" s="74">
      <c r="A879" s="2" t="n"/>
      <c r="B879" s="2" t="n"/>
      <c r="C879" s="2" t="n"/>
      <c r="D879" s="2" t="n"/>
    </row>
    <row r="880" ht="14.25" customHeight="1" s="74">
      <c r="A880" s="2" t="n"/>
      <c r="B880" s="2" t="n"/>
      <c r="C880" s="2" t="n"/>
      <c r="D880" s="2" t="n"/>
    </row>
    <row r="881" ht="14.25" customHeight="1" s="74">
      <c r="A881" s="2" t="n"/>
      <c r="B881" s="2" t="n"/>
      <c r="C881" s="2" t="n"/>
      <c r="D881" s="2" t="n"/>
    </row>
    <row r="882" ht="14.25" customHeight="1" s="74">
      <c r="A882" s="2" t="n"/>
      <c r="B882" s="2" t="n"/>
      <c r="C882" s="2" t="n"/>
      <c r="D882" s="2" t="n"/>
    </row>
    <row r="883" ht="14.25" customHeight="1" s="74">
      <c r="A883" s="2" t="n"/>
      <c r="B883" s="2" t="n"/>
      <c r="C883" s="2" t="n"/>
      <c r="D883" s="2" t="n"/>
    </row>
    <row r="884" ht="14.25" customHeight="1" s="74">
      <c r="A884" s="2" t="n"/>
      <c r="B884" s="2" t="n"/>
      <c r="C884" s="2" t="n"/>
      <c r="D884" s="2" t="n"/>
    </row>
    <row r="885" ht="14.25" customHeight="1" s="74">
      <c r="A885" s="2" t="n"/>
      <c r="B885" s="2" t="n"/>
      <c r="C885" s="2" t="n"/>
      <c r="D885" s="2" t="n"/>
    </row>
    <row r="886" ht="14.25" customHeight="1" s="74">
      <c r="A886" s="2" t="n"/>
      <c r="B886" s="2" t="n"/>
      <c r="C886" s="2" t="n"/>
      <c r="D886" s="2" t="n"/>
    </row>
    <row r="887" ht="14.25" customHeight="1" s="74">
      <c r="A887" s="2" t="n"/>
      <c r="B887" s="2" t="n"/>
      <c r="C887" s="2" t="n"/>
      <c r="D887" s="2" t="n"/>
    </row>
    <row r="888" ht="14.25" customHeight="1" s="74">
      <c r="A888" s="2" t="n"/>
      <c r="B888" s="2" t="n"/>
      <c r="C888" s="2" t="n"/>
      <c r="D888" s="2" t="n"/>
    </row>
    <row r="889" ht="14.25" customHeight="1" s="74">
      <c r="A889" s="2" t="n"/>
      <c r="B889" s="2" t="n"/>
      <c r="C889" s="2" t="n"/>
      <c r="D889" s="2" t="n"/>
    </row>
    <row r="890" ht="14.25" customHeight="1" s="74">
      <c r="A890" s="2" t="n"/>
      <c r="B890" s="2" t="n"/>
      <c r="C890" s="2" t="n"/>
      <c r="D890" s="2" t="n"/>
    </row>
    <row r="891" ht="14.25" customHeight="1" s="74">
      <c r="A891" s="2" t="n"/>
      <c r="B891" s="2" t="n"/>
      <c r="C891" s="2" t="n"/>
      <c r="D891" s="2" t="n"/>
    </row>
    <row r="892" ht="14.25" customHeight="1" s="74">
      <c r="A892" s="2" t="n"/>
      <c r="B892" s="2" t="n"/>
      <c r="C892" s="2" t="n"/>
      <c r="D892" s="2" t="n"/>
    </row>
    <row r="893" ht="14.25" customHeight="1" s="74">
      <c r="A893" s="2" t="n"/>
      <c r="B893" s="2" t="n"/>
      <c r="C893" s="2" t="n"/>
      <c r="D893" s="2" t="n"/>
    </row>
    <row r="894" ht="14.25" customHeight="1" s="74">
      <c r="A894" s="2" t="n"/>
      <c r="B894" s="2" t="n"/>
      <c r="C894" s="2" t="n"/>
      <c r="D894" s="2" t="n"/>
    </row>
    <row r="895" ht="14.25" customHeight="1" s="74">
      <c r="A895" s="2" t="n"/>
      <c r="B895" s="2" t="n"/>
      <c r="C895" s="2" t="n"/>
      <c r="D895" s="2" t="n"/>
    </row>
    <row r="896" ht="14.25" customHeight="1" s="74">
      <c r="A896" s="2" t="n"/>
      <c r="B896" s="2" t="n"/>
      <c r="C896" s="2" t="n"/>
      <c r="D896" s="2" t="n"/>
    </row>
    <row r="897" ht="14.25" customHeight="1" s="74">
      <c r="A897" s="2" t="n"/>
      <c r="B897" s="2" t="n"/>
      <c r="C897" s="2" t="n"/>
      <c r="D897" s="2" t="n"/>
    </row>
    <row r="898" ht="14.25" customHeight="1" s="74">
      <c r="A898" s="2" t="n"/>
      <c r="B898" s="2" t="n"/>
      <c r="C898" s="2" t="n"/>
      <c r="D898" s="2" t="n"/>
    </row>
    <row r="899" ht="14.25" customHeight="1" s="74">
      <c r="A899" s="2" t="n"/>
      <c r="B899" s="2" t="n"/>
      <c r="C899" s="2" t="n"/>
      <c r="D899" s="2" t="n"/>
    </row>
    <row r="900" ht="14.25" customHeight="1" s="74">
      <c r="A900" s="2" t="n"/>
      <c r="B900" s="2" t="n"/>
      <c r="C900" s="2" t="n"/>
      <c r="D900" s="2" t="n"/>
    </row>
    <row r="901" ht="14.25" customHeight="1" s="74">
      <c r="A901" s="2" t="n"/>
      <c r="B901" s="2" t="n"/>
      <c r="C901" s="2" t="n"/>
      <c r="D901" s="2" t="n"/>
    </row>
    <row r="902" ht="14.25" customHeight="1" s="74">
      <c r="A902" s="2" t="n"/>
      <c r="B902" s="2" t="n"/>
      <c r="C902" s="2" t="n"/>
      <c r="D902" s="2" t="n"/>
    </row>
    <row r="903" ht="14.25" customHeight="1" s="74">
      <c r="A903" s="2" t="n"/>
      <c r="B903" s="2" t="n"/>
      <c r="C903" s="2" t="n"/>
      <c r="D903" s="2" t="n"/>
    </row>
    <row r="904" ht="14.25" customHeight="1" s="74">
      <c r="A904" s="2" t="n"/>
      <c r="B904" s="2" t="n"/>
      <c r="C904" s="2" t="n"/>
      <c r="D904" s="2" t="n"/>
    </row>
    <row r="905" ht="14.25" customHeight="1" s="74">
      <c r="A905" s="2" t="n"/>
      <c r="B905" s="2" t="n"/>
      <c r="C905" s="2" t="n"/>
      <c r="D905" s="2" t="n"/>
    </row>
    <row r="906" ht="14.25" customHeight="1" s="74">
      <c r="A906" s="2" t="n"/>
      <c r="B906" s="2" t="n"/>
      <c r="C906" s="2" t="n"/>
      <c r="D906" s="2" t="n"/>
    </row>
    <row r="907" ht="14.25" customHeight="1" s="74">
      <c r="A907" s="2" t="n"/>
      <c r="B907" s="2" t="n"/>
      <c r="C907" s="2" t="n"/>
      <c r="D907" s="2" t="n"/>
    </row>
    <row r="908" ht="14.25" customHeight="1" s="74">
      <c r="A908" s="2" t="n"/>
      <c r="B908" s="2" t="n"/>
      <c r="C908" s="2" t="n"/>
      <c r="D908" s="2" t="n"/>
    </row>
    <row r="909" ht="14.25" customHeight="1" s="74">
      <c r="A909" s="2" t="n"/>
      <c r="B909" s="2" t="n"/>
      <c r="C909" s="2" t="n"/>
      <c r="D909" s="2" t="n"/>
    </row>
    <row r="910" ht="14.25" customHeight="1" s="74">
      <c r="A910" s="2" t="n"/>
      <c r="B910" s="2" t="n"/>
      <c r="C910" s="2" t="n"/>
      <c r="D910" s="2" t="n"/>
    </row>
    <row r="911" ht="14.25" customHeight="1" s="74">
      <c r="A911" s="2" t="n"/>
      <c r="B911" s="2" t="n"/>
      <c r="C911" s="2" t="n"/>
      <c r="D911" s="2" t="n"/>
    </row>
    <row r="912" ht="14.25" customHeight="1" s="74">
      <c r="A912" s="2" t="n"/>
      <c r="B912" s="2" t="n"/>
      <c r="C912" s="2" t="n"/>
      <c r="D912" s="2" t="n"/>
    </row>
    <row r="913" ht="14.25" customHeight="1" s="74">
      <c r="A913" s="2" t="n"/>
      <c r="B913" s="2" t="n"/>
      <c r="C913" s="2" t="n"/>
      <c r="D913" s="2" t="n"/>
    </row>
    <row r="914" ht="14.25" customHeight="1" s="74">
      <c r="A914" s="2" t="n"/>
      <c r="B914" s="2" t="n"/>
      <c r="C914" s="2" t="n"/>
      <c r="D914" s="2" t="n"/>
    </row>
    <row r="915" ht="14.25" customHeight="1" s="74">
      <c r="A915" s="2" t="n"/>
      <c r="B915" s="2" t="n"/>
      <c r="C915" s="2" t="n"/>
      <c r="D915" s="2" t="n"/>
    </row>
    <row r="916" ht="14.25" customHeight="1" s="74">
      <c r="A916" s="2" t="n"/>
      <c r="B916" s="2" t="n"/>
      <c r="C916" s="2" t="n"/>
      <c r="D916" s="2" t="n"/>
    </row>
    <row r="917" ht="14.25" customHeight="1" s="74">
      <c r="A917" s="2" t="n"/>
      <c r="B917" s="2" t="n"/>
      <c r="C917" s="2" t="n"/>
      <c r="D917" s="2" t="n"/>
    </row>
    <row r="918" ht="14.25" customHeight="1" s="74">
      <c r="A918" s="2" t="n"/>
      <c r="B918" s="2" t="n"/>
      <c r="C918" s="2" t="n"/>
      <c r="D918" s="2" t="n"/>
    </row>
    <row r="919" ht="14.25" customHeight="1" s="74">
      <c r="A919" s="2" t="n"/>
      <c r="B919" s="2" t="n"/>
      <c r="C919" s="2" t="n"/>
      <c r="D919" s="2" t="n"/>
    </row>
    <row r="920" ht="14.25" customHeight="1" s="74">
      <c r="A920" s="2" t="n"/>
      <c r="B920" s="2" t="n"/>
      <c r="C920" s="2" t="n"/>
      <c r="D920" s="2" t="n"/>
    </row>
    <row r="921" ht="14.25" customHeight="1" s="74">
      <c r="A921" s="2" t="n"/>
      <c r="B921" s="2" t="n"/>
      <c r="C921" s="2" t="n"/>
      <c r="D921" s="2" t="n"/>
    </row>
    <row r="922" ht="14.25" customHeight="1" s="74">
      <c r="A922" s="2" t="n"/>
      <c r="B922" s="2" t="n"/>
      <c r="C922" s="2" t="n"/>
      <c r="D922" s="2" t="n"/>
    </row>
    <row r="923" ht="14.25" customHeight="1" s="74">
      <c r="A923" s="2" t="n"/>
      <c r="B923" s="2" t="n"/>
      <c r="C923" s="2" t="n"/>
      <c r="D923" s="2" t="n"/>
    </row>
    <row r="924" ht="14.25" customHeight="1" s="74">
      <c r="A924" s="2" t="n"/>
      <c r="B924" s="2" t="n"/>
      <c r="C924" s="2" t="n"/>
      <c r="D924" s="2" t="n"/>
    </row>
    <row r="925" ht="14.25" customHeight="1" s="74">
      <c r="A925" s="2" t="n"/>
      <c r="B925" s="2" t="n"/>
      <c r="C925" s="2" t="n"/>
      <c r="D925" s="2" t="n"/>
    </row>
    <row r="926" ht="14.25" customHeight="1" s="74">
      <c r="A926" s="2" t="n"/>
      <c r="B926" s="2" t="n"/>
      <c r="C926" s="2" t="n"/>
      <c r="D926" s="2" t="n"/>
    </row>
    <row r="927" ht="14.25" customHeight="1" s="74">
      <c r="A927" s="2" t="n"/>
      <c r="B927" s="2" t="n"/>
      <c r="C927" s="2" t="n"/>
      <c r="D927" s="2" t="n"/>
    </row>
    <row r="928" ht="14.25" customHeight="1" s="74">
      <c r="A928" s="2" t="n"/>
      <c r="B928" s="2" t="n"/>
      <c r="C928" s="2" t="n"/>
      <c r="D928" s="2" t="n"/>
    </row>
    <row r="929" ht="14.25" customHeight="1" s="74">
      <c r="A929" s="2" t="n"/>
      <c r="B929" s="2" t="n"/>
      <c r="C929" s="2" t="n"/>
      <c r="D929" s="2" t="n"/>
    </row>
    <row r="930" ht="14.25" customHeight="1" s="74">
      <c r="A930" s="2" t="n"/>
      <c r="B930" s="2" t="n"/>
      <c r="C930" s="2" t="n"/>
      <c r="D930" s="2" t="n"/>
    </row>
    <row r="931" ht="14.25" customHeight="1" s="74">
      <c r="A931" s="2" t="n"/>
      <c r="B931" s="2" t="n"/>
      <c r="C931" s="2" t="n"/>
      <c r="D931" s="2" t="n"/>
    </row>
    <row r="932" ht="14.25" customHeight="1" s="74">
      <c r="A932" s="2" t="n"/>
      <c r="B932" s="2" t="n"/>
      <c r="C932" s="2" t="n"/>
      <c r="D932" s="2" t="n"/>
    </row>
    <row r="933" ht="14.25" customHeight="1" s="74">
      <c r="A933" s="2" t="n"/>
      <c r="B933" s="2" t="n"/>
      <c r="C933" s="2" t="n"/>
      <c r="D933" s="2" t="n"/>
    </row>
    <row r="934" ht="14.25" customHeight="1" s="74">
      <c r="A934" s="2" t="n"/>
      <c r="B934" s="2" t="n"/>
      <c r="C934" s="2" t="n"/>
      <c r="D934" s="2" t="n"/>
    </row>
    <row r="935" ht="14.25" customHeight="1" s="74">
      <c r="A935" s="2" t="n"/>
      <c r="B935" s="2" t="n"/>
      <c r="C935" s="2" t="n"/>
      <c r="D935" s="2" t="n"/>
    </row>
    <row r="936" ht="14.25" customHeight="1" s="74">
      <c r="A936" s="2" t="n"/>
      <c r="B936" s="2" t="n"/>
      <c r="C936" s="2" t="n"/>
      <c r="D936" s="2" t="n"/>
    </row>
    <row r="937" ht="14.25" customHeight="1" s="74">
      <c r="A937" s="2" t="n"/>
      <c r="B937" s="2" t="n"/>
      <c r="C937" s="2" t="n"/>
      <c r="D937" s="2" t="n"/>
    </row>
    <row r="938" ht="14.25" customHeight="1" s="74">
      <c r="A938" s="2" t="n"/>
      <c r="B938" s="2" t="n"/>
      <c r="C938" s="2" t="n"/>
      <c r="D938" s="2" t="n"/>
    </row>
    <row r="939" ht="14.25" customHeight="1" s="74">
      <c r="A939" s="2" t="n"/>
      <c r="B939" s="2" t="n"/>
      <c r="C939" s="2" t="n"/>
      <c r="D939" s="2" t="n"/>
    </row>
    <row r="940" ht="14.25" customHeight="1" s="74">
      <c r="A940" s="2" t="n"/>
      <c r="B940" s="2" t="n"/>
      <c r="C940" s="2" t="n"/>
      <c r="D940" s="2" t="n"/>
    </row>
    <row r="941" ht="14.25" customHeight="1" s="74">
      <c r="A941" s="2" t="n"/>
      <c r="B941" s="2" t="n"/>
      <c r="C941" s="2" t="n"/>
      <c r="D941" s="2" t="n"/>
    </row>
    <row r="942" ht="14.25" customHeight="1" s="74">
      <c r="A942" s="2" t="n"/>
      <c r="B942" s="2" t="n"/>
      <c r="C942" s="2" t="n"/>
      <c r="D942" s="2" t="n"/>
    </row>
    <row r="943" ht="14.25" customHeight="1" s="74">
      <c r="A943" s="2" t="n"/>
      <c r="B943" s="2" t="n"/>
      <c r="C943" s="2" t="n"/>
      <c r="D943" s="2" t="n"/>
    </row>
    <row r="944" ht="14.25" customHeight="1" s="74">
      <c r="A944" s="2" t="n"/>
      <c r="B944" s="2" t="n"/>
      <c r="C944" s="2" t="n"/>
      <c r="D944" s="2" t="n"/>
    </row>
    <row r="945" ht="14.25" customHeight="1" s="74">
      <c r="A945" s="2" t="n"/>
      <c r="B945" s="2" t="n"/>
      <c r="C945" s="2" t="n"/>
      <c r="D945" s="2" t="n"/>
    </row>
    <row r="946" ht="14.25" customHeight="1" s="74">
      <c r="A946" s="2" t="n"/>
      <c r="B946" s="2" t="n"/>
      <c r="C946" s="2" t="n"/>
      <c r="D946" s="2" t="n"/>
    </row>
    <row r="947" ht="14.25" customHeight="1" s="74">
      <c r="A947" s="2" t="n"/>
      <c r="B947" s="2" t="n"/>
      <c r="C947" s="2" t="n"/>
      <c r="D947" s="2" t="n"/>
    </row>
    <row r="948" ht="14.25" customHeight="1" s="74">
      <c r="A948" s="2" t="n"/>
      <c r="B948" s="2" t="n"/>
      <c r="C948" s="2" t="n"/>
      <c r="D948" s="2" t="n"/>
    </row>
    <row r="949" ht="14.25" customHeight="1" s="74">
      <c r="A949" s="2" t="n"/>
      <c r="B949" s="2" t="n"/>
      <c r="C949" s="2" t="n"/>
      <c r="D949" s="2" t="n"/>
    </row>
    <row r="950" ht="14.25" customHeight="1" s="74">
      <c r="A950" s="2" t="n"/>
      <c r="B950" s="2" t="n"/>
      <c r="C950" s="2" t="n"/>
      <c r="D950" s="2" t="n"/>
    </row>
    <row r="951" ht="14.25" customHeight="1" s="74">
      <c r="A951" s="2" t="n"/>
      <c r="B951" s="2" t="n"/>
      <c r="C951" s="2" t="n"/>
      <c r="D951" s="2" t="n"/>
    </row>
    <row r="952" ht="14.25" customHeight="1" s="74">
      <c r="A952" s="2" t="n"/>
      <c r="B952" s="2" t="n"/>
      <c r="C952" s="2" t="n"/>
      <c r="D952" s="2" t="n"/>
    </row>
    <row r="953" ht="14.25" customHeight="1" s="74">
      <c r="A953" s="2" t="n"/>
      <c r="B953" s="2" t="n"/>
      <c r="C953" s="2" t="n"/>
      <c r="D953" s="2" t="n"/>
    </row>
    <row r="954" ht="14.25" customHeight="1" s="74">
      <c r="A954" s="2" t="n"/>
      <c r="B954" s="2" t="n"/>
      <c r="C954" s="2" t="n"/>
      <c r="D954" s="2" t="n"/>
    </row>
    <row r="955" ht="14.25" customHeight="1" s="74">
      <c r="A955" s="2" t="n"/>
      <c r="B955" s="2" t="n"/>
      <c r="C955" s="2" t="n"/>
      <c r="D955" s="2" t="n"/>
    </row>
    <row r="956" ht="14.25" customHeight="1" s="74">
      <c r="A956" s="2" t="n"/>
      <c r="B956" s="2" t="n"/>
      <c r="C956" s="2" t="n"/>
      <c r="D956" s="2" t="n"/>
    </row>
    <row r="957" ht="14.25" customHeight="1" s="74">
      <c r="A957" s="2" t="n"/>
      <c r="B957" s="2" t="n"/>
      <c r="C957" s="2" t="n"/>
      <c r="D957" s="2" t="n"/>
    </row>
    <row r="958" ht="14.25" customHeight="1" s="74">
      <c r="A958" s="2" t="n"/>
      <c r="B958" s="2" t="n"/>
      <c r="C958" s="2" t="n"/>
      <c r="D958" s="2" t="n"/>
    </row>
    <row r="959" ht="14.25" customHeight="1" s="74">
      <c r="A959" s="2" t="n"/>
      <c r="B959" s="2" t="n"/>
      <c r="C959" s="2" t="n"/>
      <c r="D959" s="2" t="n"/>
    </row>
    <row r="960" ht="14.25" customHeight="1" s="74">
      <c r="A960" s="2" t="n"/>
      <c r="B960" s="2" t="n"/>
      <c r="C960" s="2" t="n"/>
      <c r="D960" s="2" t="n"/>
    </row>
    <row r="961" ht="14.25" customHeight="1" s="74">
      <c r="A961" s="2" t="n"/>
      <c r="B961" s="2" t="n"/>
      <c r="C961" s="2" t="n"/>
      <c r="D961" s="2" t="n"/>
    </row>
    <row r="962" ht="14.25" customHeight="1" s="74">
      <c r="A962" s="2" t="n"/>
      <c r="B962" s="2" t="n"/>
      <c r="C962" s="2" t="n"/>
      <c r="D962" s="2" t="n"/>
    </row>
    <row r="963" ht="14.25" customHeight="1" s="74">
      <c r="A963" s="2" t="n"/>
      <c r="B963" s="2" t="n"/>
      <c r="C963" s="2" t="n"/>
      <c r="D963" s="2" t="n"/>
    </row>
    <row r="964" ht="14.25" customHeight="1" s="74">
      <c r="A964" s="2" t="n"/>
      <c r="B964" s="2" t="n"/>
      <c r="C964" s="2" t="n"/>
      <c r="D964" s="2" t="n"/>
    </row>
    <row r="965" ht="14.25" customHeight="1" s="74">
      <c r="A965" s="2" t="n"/>
      <c r="B965" s="2" t="n"/>
      <c r="C965" s="2" t="n"/>
      <c r="D965" s="2" t="n"/>
    </row>
    <row r="966" ht="14.25" customHeight="1" s="74">
      <c r="A966" s="2" t="n"/>
      <c r="B966" s="2" t="n"/>
      <c r="C966" s="2" t="n"/>
      <c r="D966" s="2" t="n"/>
    </row>
    <row r="967" ht="14.25" customHeight="1" s="74">
      <c r="A967" s="2" t="n"/>
      <c r="B967" s="2" t="n"/>
      <c r="C967" s="2" t="n"/>
      <c r="D967" s="2" t="n"/>
    </row>
    <row r="968" ht="14.25" customHeight="1" s="74">
      <c r="A968" s="2" t="n"/>
      <c r="B968" s="2" t="n"/>
      <c r="C968" s="2" t="n"/>
      <c r="D968" s="2" t="n"/>
    </row>
    <row r="969" ht="14.25" customHeight="1" s="74">
      <c r="A969" s="2" t="n"/>
      <c r="B969" s="2" t="n"/>
      <c r="C969" s="2" t="n"/>
      <c r="D969" s="2" t="n"/>
    </row>
    <row r="970" ht="14.25" customHeight="1" s="74">
      <c r="A970" s="2" t="n"/>
      <c r="B970" s="2" t="n"/>
      <c r="C970" s="2" t="n"/>
      <c r="D970" s="2" t="n"/>
    </row>
    <row r="971" ht="14.25" customHeight="1" s="74">
      <c r="A971" s="2" t="n"/>
      <c r="B971" s="2" t="n"/>
      <c r="C971" s="2" t="n"/>
      <c r="D971" s="2" t="n"/>
    </row>
    <row r="972" ht="14.25" customHeight="1" s="74">
      <c r="A972" s="2" t="n"/>
      <c r="B972" s="2" t="n"/>
      <c r="C972" s="2" t="n"/>
      <c r="D972" s="2" t="n"/>
    </row>
    <row r="973" ht="14.25" customHeight="1" s="74">
      <c r="A973" s="2" t="n"/>
      <c r="B973" s="2" t="n"/>
      <c r="C973" s="2" t="n"/>
      <c r="D973" s="2" t="n"/>
    </row>
    <row r="974" ht="14.25" customHeight="1" s="74">
      <c r="A974" s="2" t="n"/>
      <c r="B974" s="2" t="n"/>
      <c r="C974" s="2" t="n"/>
      <c r="D974" s="2" t="n"/>
    </row>
    <row r="975" ht="14.25" customHeight="1" s="74">
      <c r="A975" s="2" t="n"/>
      <c r="B975" s="2" t="n"/>
      <c r="C975" s="2" t="n"/>
      <c r="D975" s="2" t="n"/>
    </row>
    <row r="976" ht="14.25" customHeight="1" s="74">
      <c r="A976" s="2" t="n"/>
      <c r="B976" s="2" t="n"/>
      <c r="C976" s="2" t="n"/>
      <c r="D976" s="2" t="n"/>
    </row>
    <row r="977" ht="14.25" customHeight="1" s="74">
      <c r="A977" s="2" t="n"/>
      <c r="B977" s="2" t="n"/>
      <c r="C977" s="2" t="n"/>
      <c r="D977" s="2" t="n"/>
    </row>
    <row r="978" ht="14.25" customHeight="1" s="74">
      <c r="A978" s="2" t="n"/>
      <c r="B978" s="2" t="n"/>
      <c r="C978" s="2" t="n"/>
      <c r="D978" s="2" t="n"/>
    </row>
    <row r="979" ht="14.25" customHeight="1" s="74">
      <c r="A979" s="2" t="n"/>
      <c r="B979" s="2" t="n"/>
      <c r="C979" s="2" t="n"/>
      <c r="D979" s="2" t="n"/>
    </row>
    <row r="980" ht="14.25" customHeight="1" s="74">
      <c r="A980" s="2" t="n"/>
      <c r="B980" s="2" t="n"/>
      <c r="C980" s="2" t="n"/>
      <c r="D980" s="2" t="n"/>
    </row>
    <row r="981" ht="14.25" customHeight="1" s="74">
      <c r="A981" s="2" t="n"/>
      <c r="B981" s="2" t="n"/>
      <c r="C981" s="2" t="n"/>
      <c r="D981" s="2" t="n"/>
    </row>
    <row r="982" ht="14.25" customHeight="1" s="74">
      <c r="A982" s="2" t="n"/>
      <c r="B982" s="2" t="n"/>
      <c r="C982" s="2" t="n"/>
      <c r="D982" s="2" t="n"/>
    </row>
    <row r="983" ht="14.25" customHeight="1" s="74">
      <c r="A983" s="2" t="n"/>
      <c r="B983" s="2" t="n"/>
      <c r="C983" s="2" t="n"/>
      <c r="D983" s="2" t="n"/>
    </row>
    <row r="984" ht="14.25" customHeight="1" s="74">
      <c r="A984" s="2" t="n"/>
      <c r="B984" s="2" t="n"/>
      <c r="C984" s="2" t="n"/>
      <c r="D984" s="2" t="n"/>
    </row>
    <row r="985" ht="14.25" customHeight="1" s="74">
      <c r="A985" s="2" t="n"/>
      <c r="B985" s="2" t="n"/>
      <c r="C985" s="2" t="n"/>
      <c r="D985" s="2" t="n"/>
    </row>
    <row r="986" ht="14.25" customHeight="1" s="74">
      <c r="A986" s="2" t="n"/>
      <c r="B986" s="2" t="n"/>
      <c r="C986" s="2" t="n"/>
      <c r="D986" s="2" t="n"/>
    </row>
    <row r="987" ht="14.25" customHeight="1" s="74">
      <c r="A987" s="2" t="n"/>
      <c r="B987" s="2" t="n"/>
      <c r="C987" s="2" t="n"/>
      <c r="D987" s="2" t="n"/>
    </row>
    <row r="988" ht="14.25" customHeight="1" s="74">
      <c r="A988" s="2" t="n"/>
      <c r="B988" s="2" t="n"/>
      <c r="C988" s="2" t="n"/>
      <c r="D988" s="2" t="n"/>
    </row>
    <row r="989" ht="14.25" customHeight="1" s="74">
      <c r="A989" s="2" t="n"/>
      <c r="B989" s="2" t="n"/>
      <c r="C989" s="2" t="n"/>
      <c r="D989" s="2" t="n"/>
    </row>
    <row r="990" ht="14.25" customHeight="1" s="74">
      <c r="A990" s="2" t="n"/>
      <c r="B990" s="2" t="n"/>
      <c r="C990" s="2" t="n"/>
      <c r="D990" s="2" t="n"/>
    </row>
    <row r="991" ht="14.25" customHeight="1" s="74">
      <c r="A991" s="2" t="n"/>
      <c r="B991" s="2" t="n"/>
      <c r="C991" s="2" t="n"/>
      <c r="D991" s="2" t="n"/>
    </row>
    <row r="992" ht="14.25" customHeight="1" s="74">
      <c r="A992" s="2" t="n"/>
      <c r="B992" s="2" t="n"/>
      <c r="C992" s="2" t="n"/>
      <c r="D992" s="2" t="n"/>
    </row>
    <row r="993" ht="14.25" customHeight="1" s="74">
      <c r="A993" s="2" t="n"/>
      <c r="B993" s="2" t="n"/>
      <c r="C993" s="2" t="n"/>
      <c r="D993" s="2" t="n"/>
    </row>
    <row r="994" ht="14.25" customHeight="1" s="74">
      <c r="A994" s="2" t="n"/>
      <c r="B994" s="2" t="n"/>
      <c r="C994" s="2" t="n"/>
      <c r="D994" s="2" t="n"/>
    </row>
    <row r="995" ht="14.25" customHeight="1" s="74">
      <c r="A995" s="2" t="n"/>
      <c r="B995" s="2" t="n"/>
      <c r="C995" s="2" t="n"/>
      <c r="D995" s="2" t="n"/>
    </row>
    <row r="996" ht="14.25" customHeight="1" s="74">
      <c r="A996" s="2" t="n"/>
      <c r="B996" s="2" t="n"/>
      <c r="C996" s="2" t="n"/>
      <c r="D996" s="2" t="n"/>
    </row>
    <row r="997" ht="14.25" customHeight="1" s="74">
      <c r="A997" s="2" t="n"/>
      <c r="B997" s="2" t="n"/>
      <c r="C997" s="2" t="n"/>
      <c r="D997" s="2" t="n"/>
    </row>
    <row r="998" ht="14.25" customHeight="1" s="74">
      <c r="A998" s="2" t="n"/>
      <c r="B998" s="2" t="n"/>
      <c r="C998" s="2" t="n"/>
      <c r="D998" s="2" t="n"/>
    </row>
    <row r="999" ht="14.25" customHeight="1" s="74">
      <c r="A999" s="2" t="n"/>
      <c r="B999" s="2" t="n"/>
      <c r="C999" s="2" t="n"/>
      <c r="D999" s="2" t="n"/>
    </row>
    <row r="1000" ht="14.25" customHeight="1" s="74">
      <c r="A1000" s="2" t="n"/>
      <c r="B1000" s="2" t="n"/>
      <c r="C1000" s="2" t="n"/>
      <c r="D1000" s="2" t="n"/>
    </row>
  </sheetData>
  <pageMargins left="0.7" right="0.7" top="0.75" bottom="0.75" header="0" footer="0"/>
  <pageSetup orientation="portrait" paperSize="9"/>
</worksheet>
</file>

<file path=xl/worksheets/sheet7.xml><?xml version="1.0" encoding="utf-8"?>
<worksheet xmlns="http://schemas.openxmlformats.org/spreadsheetml/2006/main">
  <sheetPr>
    <outlinePr summaryBelow="1" summaryRight="1"/>
    <pageSetUpPr/>
  </sheetPr>
  <dimension ref="A1:K75"/>
  <sheetViews>
    <sheetView topLeftCell="A4" workbookViewId="0">
      <selection activeCell="E19" sqref="E19"/>
    </sheetView>
  </sheetViews>
  <sheetFormatPr baseColWidth="10" defaultColWidth="11" defaultRowHeight="14"/>
  <cols>
    <col width="13.5" customWidth="1" style="74" min="2" max="2"/>
    <col width="29.6640625" customWidth="1" style="74" min="3" max="3"/>
    <col width="19.33203125" customWidth="1" style="74" min="4" max="4"/>
    <col width="22.33203125" customWidth="1" style="74" min="5" max="5"/>
    <col width="20.1640625" customWidth="1" style="74" min="6" max="6"/>
  </cols>
  <sheetData>
    <row r="1">
      <c r="A1" s="13" t="inlineStr">
        <is>
          <t>IRA downscaling</t>
        </is>
      </c>
    </row>
    <row r="3">
      <c r="A3" s="13" t="inlineStr">
        <is>
          <t>1.8 GW solar allocated across states based on retail sales</t>
        </is>
      </c>
    </row>
    <row r="7">
      <c r="I7" s="14" t="inlineStr">
        <is>
          <t>GW per year</t>
        </is>
      </c>
    </row>
    <row r="8">
      <c r="I8" t="n">
        <v>1.8</v>
      </c>
    </row>
    <row r="17">
      <c r="A17">
        <f>About!B1</f>
        <v/>
      </c>
    </row>
    <row r="18">
      <c r="A18" s="13" t="inlineStr">
        <is>
          <t>Rural (MW)</t>
        </is>
      </c>
      <c r="B18" s="13" t="n"/>
      <c r="C18" s="13" t="n"/>
      <c r="D18" s="13" t="n"/>
    </row>
    <row r="19">
      <c r="A19" s="60">
        <f>SUMIFS(K24:K75,A24:A75,A17)</f>
        <v/>
      </c>
      <c r="B19" s="60" t="n"/>
    </row>
    <row r="22">
      <c r="A22" t="inlineStr">
        <is>
          <t>https://www.eia.gov/electricity/state/</t>
        </is>
      </c>
    </row>
    <row r="23">
      <c r="A23" t="inlineStr">
        <is>
          <t>Name</t>
        </is>
      </c>
      <c r="B23" t="inlineStr">
        <is>
          <t>Average retail price (cents/kWh)</t>
        </is>
      </c>
      <c r="C23" t="inlineStr">
        <is>
          <t>Net summer capacity (MW)</t>
        </is>
      </c>
      <c r="D23" t="inlineStr">
        <is>
          <t>Net generation (MWh)</t>
        </is>
      </c>
      <c r="E23" t="inlineStr">
        <is>
          <t>Total retail sales (MWh)</t>
        </is>
      </c>
      <c r="F23" s="14" t="inlineStr">
        <is>
          <t>Percentage of national</t>
        </is>
      </c>
      <c r="G23" s="56" t="inlineStr">
        <is>
          <t>Urban</t>
        </is>
      </c>
      <c r="H23" s="56" t="inlineStr">
        <is>
          <t>Rural</t>
        </is>
      </c>
      <c r="I23" s="61" t="inlineStr">
        <is>
          <t>Urban (MW)</t>
        </is>
      </c>
      <c r="J23" s="61" t="inlineStr">
        <is>
          <t>Rural (MW)</t>
        </is>
      </c>
      <c r="K23" s="56" t="inlineStr">
        <is>
          <t>Total</t>
        </is>
      </c>
    </row>
    <row r="24">
      <c r="A24" t="inlineStr">
        <is>
          <t>Alabama</t>
        </is>
      </c>
      <c r="B24" t="n">
        <v>10.18</v>
      </c>
      <c r="C24" s="54" t="n">
        <v>28911</v>
      </c>
      <c r="D24" s="54" t="n">
        <v>142733330</v>
      </c>
      <c r="E24" s="54" t="n">
        <v>85585166</v>
      </c>
      <c r="F24" s="55">
        <f>E24/$E$75</f>
        <v/>
      </c>
      <c r="G24">
        <f>SUMIFS('Urban and Rural'!B:B,'Urban and Rural'!A:A,UPPER('IRA Calcs'!A24))</f>
        <v/>
      </c>
      <c r="H24">
        <f>SUMIFS('Urban and Rural'!C:C,'Urban and Rural'!A:A,UPPER('IRA Calcs'!A24))</f>
        <v/>
      </c>
      <c r="I24" s="60">
        <f>$I$8*$F24*G24*1000</f>
        <v/>
      </c>
      <c r="J24" s="60">
        <f>$I$8*$F24*H24*1000</f>
        <v/>
      </c>
      <c r="K24" s="60">
        <f>SUM(I24:J24)</f>
        <v/>
      </c>
    </row>
    <row r="25">
      <c r="A25" t="inlineStr">
        <is>
          <t>Alaska</t>
        </is>
      </c>
      <c r="B25" t="n">
        <v>20.02</v>
      </c>
      <c r="C25" s="54" t="n">
        <v>2774</v>
      </c>
      <c r="D25" s="54" t="n">
        <v>6595818</v>
      </c>
      <c r="E25" s="54" t="n">
        <v>5969339</v>
      </c>
      <c r="F25" s="55">
        <f>E25/$E$75</f>
        <v/>
      </c>
      <c r="G25">
        <f>SUMIFS('Urban and Rural'!B:B,'Urban and Rural'!A:A,UPPER('IRA Calcs'!A25))</f>
        <v/>
      </c>
      <c r="H25">
        <f>SUMIFS('Urban and Rural'!C:C,'Urban and Rural'!A:A,UPPER('IRA Calcs'!A25))</f>
        <v/>
      </c>
      <c r="I25" s="60">
        <f>$I$8*$F25*G25*1000</f>
        <v/>
      </c>
      <c r="J25" s="60">
        <f>$I$8*$F25*H25*1000</f>
        <v/>
      </c>
      <c r="K25" s="60">
        <f>SUM(I25:J25)</f>
        <v/>
      </c>
    </row>
    <row r="26">
      <c r="A26" t="inlineStr">
        <is>
          <t>Arizona</t>
        </is>
      </c>
      <c r="B26" t="n">
        <v>10.73</v>
      </c>
      <c r="C26" s="54" t="n">
        <v>27596</v>
      </c>
      <c r="D26" s="54" t="n">
        <v>108604620</v>
      </c>
      <c r="E26" s="54" t="n">
        <v>81219990</v>
      </c>
      <c r="F26" s="55">
        <f>E26/$E$75</f>
        <v/>
      </c>
      <c r="G26">
        <f>SUMIFS('Urban and Rural'!B:B,'Urban and Rural'!A:A,UPPER('IRA Calcs'!A26))</f>
        <v/>
      </c>
      <c r="H26">
        <f>SUMIFS('Urban and Rural'!C:C,'Urban and Rural'!A:A,UPPER('IRA Calcs'!A26))</f>
        <v/>
      </c>
      <c r="I26" s="60">
        <f>$I$8*$F26*G26*1000</f>
        <v/>
      </c>
      <c r="J26" s="60">
        <f>$I$8*$F26*H26*1000</f>
        <v/>
      </c>
      <c r="K26" s="60">
        <f>SUM(I26:J26)</f>
        <v/>
      </c>
    </row>
    <row r="27">
      <c r="A27" t="inlineStr">
        <is>
          <t>Arkansas</t>
        </is>
      </c>
      <c r="B27" t="n">
        <v>9.1</v>
      </c>
      <c r="C27" s="54" t="n">
        <v>14832</v>
      </c>
      <c r="D27" s="54" t="n">
        <v>61100068</v>
      </c>
      <c r="E27" s="54" t="n">
        <v>48663142</v>
      </c>
      <c r="F27" s="55">
        <f>E27/$E$75</f>
        <v/>
      </c>
      <c r="G27">
        <f>SUMIFS('Urban and Rural'!B:B,'Urban and Rural'!A:A,UPPER('IRA Calcs'!A27))</f>
        <v/>
      </c>
      <c r="H27">
        <f>SUMIFS('Urban and Rural'!C:C,'Urban and Rural'!A:A,UPPER('IRA Calcs'!A27))</f>
        <v/>
      </c>
      <c r="I27" s="60">
        <f>$I$8*$F27*G27*1000</f>
        <v/>
      </c>
      <c r="J27" s="60">
        <f>$I$8*$F27*H27*1000</f>
        <v/>
      </c>
      <c r="K27" s="60">
        <f>SUM(I27:J27)</f>
        <v/>
      </c>
    </row>
    <row r="28">
      <c r="A28" t="inlineStr">
        <is>
          <t>California</t>
        </is>
      </c>
      <c r="B28" t="n">
        <v>19.65</v>
      </c>
      <c r="C28" s="54" t="n">
        <v>81184</v>
      </c>
      <c r="D28" s="54" t="n">
        <v>197165106</v>
      </c>
      <c r="E28" s="54" t="n">
        <v>247249865</v>
      </c>
      <c r="F28" s="55">
        <f>E28/$E$75</f>
        <v/>
      </c>
      <c r="G28">
        <f>SUMIFS('Urban and Rural'!B:B,'Urban and Rural'!A:A,UPPER('IRA Calcs'!A28))</f>
        <v/>
      </c>
      <c r="H28">
        <f>SUMIFS('Urban and Rural'!C:C,'Urban and Rural'!A:A,UPPER('IRA Calcs'!A28))</f>
        <v/>
      </c>
      <c r="I28" s="60">
        <f>$I$8*$F28*G28*1000</f>
        <v/>
      </c>
      <c r="J28" s="60">
        <f>$I$8*$F28*H28*1000</f>
        <v/>
      </c>
      <c r="K28" s="60">
        <f>SUM(I28:J28)</f>
        <v/>
      </c>
    </row>
    <row r="29">
      <c r="A29" t="inlineStr">
        <is>
          <t>Colorado</t>
        </is>
      </c>
      <c r="B29" t="n">
        <v>10.9</v>
      </c>
      <c r="C29" s="54" t="n">
        <v>18296</v>
      </c>
      <c r="D29" s="54" t="n">
        <v>56838472</v>
      </c>
      <c r="E29" s="54" t="n">
        <v>56351209</v>
      </c>
      <c r="F29" s="55">
        <f>E29/$E$75</f>
        <v/>
      </c>
      <c r="G29">
        <f>SUMIFS('Urban and Rural'!B:B,'Urban and Rural'!A:A,UPPER('IRA Calcs'!A29))</f>
        <v/>
      </c>
      <c r="H29">
        <f>SUMIFS('Urban and Rural'!C:C,'Urban and Rural'!A:A,UPPER('IRA Calcs'!A29))</f>
        <v/>
      </c>
      <c r="I29" s="60">
        <f>$I$8*$F29*G29*1000</f>
        <v/>
      </c>
      <c r="J29" s="60">
        <f>$I$8*$F29*H29*1000</f>
        <v/>
      </c>
      <c r="K29" s="60">
        <f>SUM(I29:J29)</f>
        <v/>
      </c>
    </row>
    <row r="30">
      <c r="A30" t="inlineStr">
        <is>
          <t>Connecticut</t>
        </is>
      </c>
      <c r="B30" t="n">
        <v>18.32</v>
      </c>
      <c r="C30" s="54" t="n">
        <v>10112</v>
      </c>
      <c r="D30" s="54" t="n">
        <v>44079943</v>
      </c>
      <c r="E30" s="54" t="n">
        <v>27737606</v>
      </c>
      <c r="F30" s="55">
        <f>E30/$E$75</f>
        <v/>
      </c>
      <c r="G30">
        <f>SUMIFS('Urban and Rural'!B:B,'Urban and Rural'!A:A,UPPER('IRA Calcs'!A30))</f>
        <v/>
      </c>
      <c r="H30">
        <f>SUMIFS('Urban and Rural'!C:C,'Urban and Rural'!A:A,UPPER('IRA Calcs'!A30))</f>
        <v/>
      </c>
      <c r="I30" s="60">
        <f>$I$8*$F30*G30*1000</f>
        <v/>
      </c>
      <c r="J30" s="60">
        <f>$I$8*$F30*H30*1000</f>
        <v/>
      </c>
      <c r="K30" s="60">
        <f>SUM(I30:J30)</f>
        <v/>
      </c>
    </row>
    <row r="31">
      <c r="A31" t="inlineStr">
        <is>
          <t>Delaware</t>
        </is>
      </c>
      <c r="B31" t="n">
        <v>10.5</v>
      </c>
      <c r="C31" s="54" t="n">
        <v>3273</v>
      </c>
      <c r="D31" s="54" t="n">
        <v>4305126</v>
      </c>
      <c r="E31" s="54" t="n">
        <v>11479655</v>
      </c>
      <c r="F31" s="55">
        <f>E31/$E$75</f>
        <v/>
      </c>
      <c r="G31">
        <f>SUMIFS('Urban and Rural'!B:B,'Urban and Rural'!A:A,UPPER('IRA Calcs'!A31))</f>
        <v/>
      </c>
      <c r="H31">
        <f>SUMIFS('Urban and Rural'!C:C,'Urban and Rural'!A:A,UPPER('IRA Calcs'!A31))</f>
        <v/>
      </c>
      <c r="I31" s="60">
        <f>$I$8*$F31*G31*1000</f>
        <v/>
      </c>
      <c r="J31" s="60">
        <f>$I$8*$F31*H31*1000</f>
        <v/>
      </c>
      <c r="K31" s="60">
        <f>SUM(I31:J31)</f>
        <v/>
      </c>
    </row>
    <row r="32">
      <c r="A32" t="inlineStr">
        <is>
          <t>District of Columbia</t>
        </is>
      </c>
      <c r="B32" t="n">
        <v>12.81</v>
      </c>
      <c r="C32" t="n">
        <v>48</v>
      </c>
      <c r="D32" s="54" t="n">
        <v>211067</v>
      </c>
      <c r="E32" s="54" t="n">
        <v>10083372</v>
      </c>
      <c r="F32" s="55">
        <f>E32/$E$75</f>
        <v/>
      </c>
      <c r="G32">
        <f>SUMIFS('Urban and Rural'!B:B,'Urban and Rural'!A:A,UPPER('IRA Calcs'!A32))</f>
        <v/>
      </c>
      <c r="H32">
        <f>SUMIFS('Urban and Rural'!C:C,'Urban and Rural'!A:A,UPPER('IRA Calcs'!A32))</f>
        <v/>
      </c>
      <c r="I32" s="60">
        <f>$I$8*$F32*G32*1000</f>
        <v/>
      </c>
      <c r="J32" s="60">
        <f>$I$8*$F32*H32*1000</f>
        <v/>
      </c>
      <c r="K32" s="60">
        <f>SUM(I32:J32)</f>
        <v/>
      </c>
    </row>
    <row r="33">
      <c r="A33" t="inlineStr">
        <is>
          <t>Florida</t>
        </is>
      </c>
      <c r="B33" t="n">
        <v>10.67</v>
      </c>
      <c r="C33" s="54" t="n">
        <v>64610</v>
      </c>
      <c r="D33" s="54" t="n">
        <v>246450375</v>
      </c>
      <c r="E33" s="54" t="n">
        <v>241562082</v>
      </c>
      <c r="F33" s="55">
        <f>E33/$E$75</f>
        <v/>
      </c>
      <c r="G33">
        <f>SUMIFS('Urban and Rural'!B:B,'Urban and Rural'!A:A,UPPER('IRA Calcs'!A33))</f>
        <v/>
      </c>
      <c r="H33">
        <f>SUMIFS('Urban and Rural'!C:C,'Urban and Rural'!A:A,UPPER('IRA Calcs'!A33))</f>
        <v/>
      </c>
      <c r="I33" s="60">
        <f>$I$8*$F33*G33*1000</f>
        <v/>
      </c>
      <c r="J33" s="60">
        <f>$I$8*$F33*H33*1000</f>
        <v/>
      </c>
      <c r="K33" s="60">
        <f>SUM(I33:J33)</f>
        <v/>
      </c>
    </row>
    <row r="34">
      <c r="A34" t="inlineStr">
        <is>
          <t>Georgia</t>
        </is>
      </c>
      <c r="B34" t="n">
        <v>10.43</v>
      </c>
      <c r="C34" s="54" t="n">
        <v>38250</v>
      </c>
      <c r="D34" s="54" t="n">
        <v>124200528</v>
      </c>
      <c r="E34" s="54" t="n">
        <v>137363952</v>
      </c>
      <c r="F34" s="55">
        <f>E34/$E$75</f>
        <v/>
      </c>
      <c r="G34">
        <f>SUMIFS('Urban and Rural'!B:B,'Urban and Rural'!A:A,UPPER('IRA Calcs'!A34))</f>
        <v/>
      </c>
      <c r="H34">
        <f>SUMIFS('Urban and Rural'!C:C,'Urban and Rural'!A:A,UPPER('IRA Calcs'!A34))</f>
        <v/>
      </c>
      <c r="I34" s="60">
        <f>$I$8*$F34*G34*1000</f>
        <v/>
      </c>
      <c r="J34" s="60">
        <f>$I$8*$F34*H34*1000</f>
        <v/>
      </c>
      <c r="K34" s="60">
        <f>SUM(I34:J34)</f>
        <v/>
      </c>
    </row>
    <row r="35">
      <c r="A35" t="inlineStr">
        <is>
          <t>Hawaii</t>
        </is>
      </c>
      <c r="B35" t="n">
        <v>30.31</v>
      </c>
      <c r="C35" s="54" t="n">
        <v>3013</v>
      </c>
      <c r="D35" s="54" t="n">
        <v>9181831</v>
      </c>
      <c r="E35" s="54" t="n">
        <v>8936482</v>
      </c>
      <c r="F35" s="55">
        <f>E35/$E$75</f>
        <v/>
      </c>
      <c r="G35">
        <f>SUMIFS('Urban and Rural'!B:B,'Urban and Rural'!A:A,UPPER('IRA Calcs'!A35))</f>
        <v/>
      </c>
      <c r="H35">
        <f>SUMIFS('Urban and Rural'!C:C,'Urban and Rural'!A:A,UPPER('IRA Calcs'!A35))</f>
        <v/>
      </c>
      <c r="I35" s="60">
        <f>$I$8*$F35*G35*1000</f>
        <v/>
      </c>
      <c r="J35" s="60">
        <f>$I$8*$F35*H35*1000</f>
        <v/>
      </c>
      <c r="K35" s="60">
        <f>SUM(I35:J35)</f>
        <v/>
      </c>
    </row>
    <row r="36">
      <c r="A36" t="inlineStr">
        <is>
          <t>Idaho</t>
        </is>
      </c>
      <c r="B36" t="n">
        <v>8.17</v>
      </c>
      <c r="C36" s="54" t="n">
        <v>5076</v>
      </c>
      <c r="D36" s="54" t="n">
        <v>16836473</v>
      </c>
      <c r="E36" s="54" t="n">
        <v>25285616</v>
      </c>
      <c r="F36" s="55">
        <f>E36/$E$75</f>
        <v/>
      </c>
      <c r="G36">
        <f>SUMIFS('Urban and Rural'!B:B,'Urban and Rural'!A:A,UPPER('IRA Calcs'!A36))</f>
        <v/>
      </c>
      <c r="H36">
        <f>SUMIFS('Urban and Rural'!C:C,'Urban and Rural'!A:A,UPPER('IRA Calcs'!A36))</f>
        <v/>
      </c>
      <c r="I36" s="60">
        <f>$I$8*$F36*G36*1000</f>
        <v/>
      </c>
      <c r="J36" s="60">
        <f>$I$8*$F36*H36*1000</f>
        <v/>
      </c>
      <c r="K36" s="60">
        <f>SUM(I36:J36)</f>
        <v/>
      </c>
    </row>
    <row r="37">
      <c r="A37" t="inlineStr">
        <is>
          <t>Illinois</t>
        </is>
      </c>
      <c r="B37" t="n">
        <v>10.14</v>
      </c>
      <c r="C37" s="54" t="n">
        <v>45879</v>
      </c>
      <c r="D37" s="54" t="n">
        <v>181524459</v>
      </c>
      <c r="E37" s="54" t="n">
        <v>135688833</v>
      </c>
      <c r="F37" s="55">
        <f>E37/$E$75</f>
        <v/>
      </c>
      <c r="G37">
        <f>SUMIFS('Urban and Rural'!B:B,'Urban and Rural'!A:A,UPPER('IRA Calcs'!A37))</f>
        <v/>
      </c>
      <c r="H37">
        <f>SUMIFS('Urban and Rural'!C:C,'Urban and Rural'!A:A,UPPER('IRA Calcs'!A37))</f>
        <v/>
      </c>
      <c r="I37" s="60">
        <f>$I$8*$F37*G37*1000</f>
        <v/>
      </c>
      <c r="J37" s="60">
        <f>$I$8*$F37*H37*1000</f>
        <v/>
      </c>
      <c r="K37" s="60">
        <f>SUM(I37:J37)</f>
        <v/>
      </c>
    </row>
    <row r="38">
      <c r="A38" t="inlineStr">
        <is>
          <t>Indiana</t>
        </is>
      </c>
      <c r="B38" t="n">
        <v>10.36</v>
      </c>
      <c r="C38" s="54" t="n">
        <v>26842</v>
      </c>
      <c r="D38" s="54" t="n">
        <v>94164796</v>
      </c>
      <c r="E38" s="54" t="n">
        <v>99740046</v>
      </c>
      <c r="F38" s="55">
        <f>E38/$E$75</f>
        <v/>
      </c>
      <c r="G38">
        <f>SUMIFS('Urban and Rural'!B:B,'Urban and Rural'!A:A,UPPER('IRA Calcs'!A38))</f>
        <v/>
      </c>
      <c r="H38">
        <f>SUMIFS('Urban and Rural'!C:C,'Urban and Rural'!A:A,UPPER('IRA Calcs'!A38))</f>
        <v/>
      </c>
      <c r="I38" s="60">
        <f>$I$8*$F38*G38*1000</f>
        <v/>
      </c>
      <c r="J38" s="60">
        <f>$I$8*$F38*H38*1000</f>
        <v/>
      </c>
      <c r="K38" s="60">
        <f>SUM(I38:J38)</f>
        <v/>
      </c>
    </row>
    <row r="39">
      <c r="A39" t="inlineStr">
        <is>
          <t>Iowa</t>
        </is>
      </c>
      <c r="B39" t="n">
        <v>9.130000000000001</v>
      </c>
      <c r="C39" s="54" t="n">
        <v>21771</v>
      </c>
      <c r="D39" s="54" t="n">
        <v>67207008</v>
      </c>
      <c r="E39" s="54" t="n">
        <v>52893269</v>
      </c>
      <c r="F39" s="55">
        <f>E39/$E$75</f>
        <v/>
      </c>
      <c r="G39">
        <f>SUMIFS('Urban and Rural'!B:B,'Urban and Rural'!A:A,UPPER('IRA Calcs'!A39))</f>
        <v/>
      </c>
      <c r="H39">
        <f>SUMIFS('Urban and Rural'!C:C,'Urban and Rural'!A:A,UPPER('IRA Calcs'!A39))</f>
        <v/>
      </c>
      <c r="I39" s="60">
        <f>$I$8*$F39*G39*1000</f>
        <v/>
      </c>
      <c r="J39" s="60">
        <f>$I$8*$F39*H39*1000</f>
        <v/>
      </c>
      <c r="K39" s="60">
        <f>SUM(I39:J39)</f>
        <v/>
      </c>
    </row>
    <row r="40">
      <c r="A40" t="inlineStr">
        <is>
          <t>Kansas</t>
        </is>
      </c>
      <c r="B40" t="n">
        <v>10.47</v>
      </c>
      <c r="C40" s="54" t="n">
        <v>18432</v>
      </c>
      <c r="D40" s="54" t="n">
        <v>56630703</v>
      </c>
      <c r="E40" s="54" t="n">
        <v>40491786</v>
      </c>
      <c r="F40" s="55">
        <f>E40/$E$75</f>
        <v/>
      </c>
      <c r="G40">
        <f>SUMIFS('Urban and Rural'!B:B,'Urban and Rural'!A:A,UPPER('IRA Calcs'!A40))</f>
        <v/>
      </c>
      <c r="H40">
        <f>SUMIFS('Urban and Rural'!C:C,'Urban and Rural'!A:A,UPPER('IRA Calcs'!A40))</f>
        <v/>
      </c>
      <c r="I40" s="60">
        <f>$I$8*$F40*G40*1000</f>
        <v/>
      </c>
      <c r="J40" s="60">
        <f>$I$8*$F40*H40*1000</f>
        <v/>
      </c>
      <c r="K40" s="60">
        <f>SUM(I40:J40)</f>
        <v/>
      </c>
    </row>
    <row r="41">
      <c r="A41" t="inlineStr">
        <is>
          <t>Kentucky</t>
        </is>
      </c>
      <c r="B41" t="n">
        <v>9.119999999999999</v>
      </c>
      <c r="C41" s="54" t="n">
        <v>17583</v>
      </c>
      <c r="D41" s="54" t="n">
        <v>69908411</v>
      </c>
      <c r="E41" s="54" t="n">
        <v>74516986</v>
      </c>
      <c r="F41" s="55">
        <f>E41/$E$75</f>
        <v/>
      </c>
      <c r="G41">
        <f>SUMIFS('Urban and Rural'!B:B,'Urban and Rural'!A:A,UPPER('IRA Calcs'!A41))</f>
        <v/>
      </c>
      <c r="H41">
        <f>SUMIFS('Urban and Rural'!C:C,'Urban and Rural'!A:A,UPPER('IRA Calcs'!A41))</f>
        <v/>
      </c>
      <c r="I41" s="60">
        <f>$I$8*$F41*G41*1000</f>
        <v/>
      </c>
      <c r="J41" s="60">
        <f>$I$8*$F41*H41*1000</f>
        <v/>
      </c>
      <c r="K41" s="60">
        <f>SUM(I41:J41)</f>
        <v/>
      </c>
    </row>
    <row r="42">
      <c r="A42" t="inlineStr">
        <is>
          <t>Louisiana</t>
        </is>
      </c>
      <c r="B42" t="n">
        <v>8.82</v>
      </c>
      <c r="C42" s="54" t="n">
        <v>24866</v>
      </c>
      <c r="D42" s="54" t="n">
        <v>98715313</v>
      </c>
      <c r="E42" s="54" t="n">
        <v>90819346</v>
      </c>
      <c r="F42" s="55">
        <f>E42/$E$75</f>
        <v/>
      </c>
      <c r="G42">
        <f>SUMIFS('Urban and Rural'!B:B,'Urban and Rural'!A:A,UPPER('IRA Calcs'!A42))</f>
        <v/>
      </c>
      <c r="H42">
        <f>SUMIFS('Urban and Rural'!C:C,'Urban and Rural'!A:A,UPPER('IRA Calcs'!A42))</f>
        <v/>
      </c>
      <c r="I42" s="60">
        <f>$I$8*$F42*G42*1000</f>
        <v/>
      </c>
      <c r="J42" s="60">
        <f>$I$8*$F42*H42*1000</f>
        <v/>
      </c>
      <c r="K42" s="60">
        <f>SUM(I42:J42)</f>
        <v/>
      </c>
    </row>
    <row r="43">
      <c r="A43" t="inlineStr">
        <is>
          <t>Maine</t>
        </is>
      </c>
      <c r="B43" t="n">
        <v>13.96</v>
      </c>
      <c r="C43" s="54" t="n">
        <v>5026</v>
      </c>
      <c r="D43" s="54" t="n">
        <v>10908144</v>
      </c>
      <c r="E43" s="54" t="n">
        <v>11584674</v>
      </c>
      <c r="F43" s="55">
        <f>E43/$E$75</f>
        <v/>
      </c>
      <c r="G43">
        <f>SUMIFS('Urban and Rural'!B:B,'Urban and Rural'!A:A,UPPER('IRA Calcs'!A43))</f>
        <v/>
      </c>
      <c r="H43">
        <f>SUMIFS('Urban and Rural'!C:C,'Urban and Rural'!A:A,UPPER('IRA Calcs'!A43))</f>
        <v/>
      </c>
      <c r="I43" s="60">
        <f>$I$8*$F43*G43*1000</f>
        <v/>
      </c>
      <c r="J43" s="60">
        <f>$I$8*$F43*H43*1000</f>
        <v/>
      </c>
      <c r="K43" s="60">
        <f>SUM(I43:J43)</f>
        <v/>
      </c>
    </row>
    <row r="44">
      <c r="A44" t="inlineStr">
        <is>
          <t>Maryland</t>
        </is>
      </c>
      <c r="B44" t="n">
        <v>11.48</v>
      </c>
      <c r="C44" s="54" t="n">
        <v>13006</v>
      </c>
      <c r="D44" s="54" t="n">
        <v>38235713</v>
      </c>
      <c r="E44" s="54" t="n">
        <v>59303974</v>
      </c>
      <c r="F44" s="55">
        <f>E44/$E$75</f>
        <v/>
      </c>
      <c r="G44">
        <f>SUMIFS('Urban and Rural'!B:B,'Urban and Rural'!A:A,UPPER('IRA Calcs'!A44))</f>
        <v/>
      </c>
      <c r="H44">
        <f>SUMIFS('Urban and Rural'!C:C,'Urban and Rural'!A:A,UPPER('IRA Calcs'!A44))</f>
        <v/>
      </c>
      <c r="I44" s="60">
        <f>$I$8*$F44*G44*1000</f>
        <v/>
      </c>
      <c r="J44" s="60">
        <f>$I$8*$F44*H44*1000</f>
        <v/>
      </c>
      <c r="K44" s="60">
        <f>SUM(I44:J44)</f>
        <v/>
      </c>
    </row>
    <row r="45">
      <c r="A45" t="inlineStr">
        <is>
          <t>Massachusetts</t>
        </is>
      </c>
      <c r="B45" t="n">
        <v>19.06</v>
      </c>
      <c r="C45" s="54" t="n">
        <v>12747</v>
      </c>
      <c r="D45" s="54" t="n">
        <v>19477347</v>
      </c>
      <c r="E45" s="54" t="n">
        <v>50798388</v>
      </c>
      <c r="F45" s="55">
        <f>E45/$E$75</f>
        <v/>
      </c>
      <c r="G45">
        <f>SUMIFS('Urban and Rural'!B:B,'Urban and Rural'!A:A,UPPER('IRA Calcs'!A45))</f>
        <v/>
      </c>
      <c r="H45">
        <f>SUMIFS('Urban and Rural'!C:C,'Urban and Rural'!A:A,UPPER('IRA Calcs'!A45))</f>
        <v/>
      </c>
      <c r="I45" s="60">
        <f>$I$8*$F45*G45*1000</f>
        <v/>
      </c>
      <c r="J45" s="60">
        <f>$I$8*$F45*H45*1000</f>
        <v/>
      </c>
      <c r="K45" s="60">
        <f>SUM(I45:J45)</f>
        <v/>
      </c>
    </row>
    <row r="46">
      <c r="A46" t="inlineStr">
        <is>
          <t>Michigan</t>
        </is>
      </c>
      <c r="B46" t="n">
        <v>12.93</v>
      </c>
      <c r="C46" s="54" t="n">
        <v>30141</v>
      </c>
      <c r="D46" s="54" t="n">
        <v>115513130</v>
      </c>
      <c r="E46" s="54" t="n">
        <v>99813281</v>
      </c>
      <c r="F46" s="55">
        <f>E46/$E$75</f>
        <v/>
      </c>
      <c r="G46">
        <f>SUMIFS('Urban and Rural'!B:B,'Urban and Rural'!A:A,UPPER('IRA Calcs'!A46))</f>
        <v/>
      </c>
      <c r="H46">
        <f>SUMIFS('Urban and Rural'!C:C,'Urban and Rural'!A:A,UPPER('IRA Calcs'!A46))</f>
        <v/>
      </c>
      <c r="I46" s="60">
        <f>$I$8*$F46*G46*1000</f>
        <v/>
      </c>
      <c r="J46" s="60">
        <f>$I$8*$F46*H46*1000</f>
        <v/>
      </c>
      <c r="K46" s="60">
        <f>SUM(I46:J46)</f>
        <v/>
      </c>
    </row>
    <row r="47">
      <c r="A47" t="inlineStr">
        <is>
          <t>Minnesota</t>
        </is>
      </c>
      <c r="B47" t="n">
        <v>11.08</v>
      </c>
      <c r="C47" s="54" t="n">
        <v>18286</v>
      </c>
      <c r="D47" s="54" t="n">
        <v>59195769</v>
      </c>
      <c r="E47" s="54" t="n">
        <v>66589168</v>
      </c>
      <c r="F47" s="55">
        <f>E47/$E$75</f>
        <v/>
      </c>
      <c r="G47">
        <f>SUMIFS('Urban and Rural'!B:B,'Urban and Rural'!A:A,UPPER('IRA Calcs'!A47))</f>
        <v/>
      </c>
      <c r="H47">
        <f>SUMIFS('Urban and Rural'!C:C,'Urban and Rural'!A:A,UPPER('IRA Calcs'!A47))</f>
        <v/>
      </c>
      <c r="I47" s="60">
        <f>$I$8*$F47*G47*1000</f>
        <v/>
      </c>
      <c r="J47" s="60">
        <f>$I$8*$F47*H47*1000</f>
        <v/>
      </c>
      <c r="K47" s="60">
        <f>SUM(I47:J47)</f>
        <v/>
      </c>
    </row>
    <row r="48">
      <c r="A48" t="inlineStr">
        <is>
          <t>Mississippi</t>
        </is>
      </c>
      <c r="B48" t="n">
        <v>9.5</v>
      </c>
      <c r="C48" s="54" t="n">
        <v>14605</v>
      </c>
      <c r="D48" s="54" t="n">
        <v>67723497</v>
      </c>
      <c r="E48" s="54" t="n">
        <v>48015364</v>
      </c>
      <c r="F48" s="55">
        <f>E48/$E$75</f>
        <v/>
      </c>
      <c r="G48">
        <f>SUMIFS('Urban and Rural'!B:B,'Urban and Rural'!A:A,UPPER('IRA Calcs'!A48))</f>
        <v/>
      </c>
      <c r="H48">
        <f>SUMIFS('Urban and Rural'!C:C,'Urban and Rural'!A:A,UPPER('IRA Calcs'!A48))</f>
        <v/>
      </c>
      <c r="I48" s="60">
        <f>$I$8*$F48*G48*1000</f>
        <v/>
      </c>
      <c r="J48" s="60">
        <f>$I$8*$F48*H48*1000</f>
        <v/>
      </c>
      <c r="K48" s="60">
        <f>SUM(I48:J48)</f>
        <v/>
      </c>
    </row>
    <row r="49">
      <c r="A49" t="inlineStr">
        <is>
          <t>Missouri</t>
        </is>
      </c>
      <c r="B49" t="n">
        <v>9.85</v>
      </c>
      <c r="C49" s="54" t="n">
        <v>21835</v>
      </c>
      <c r="D49" s="54" t="n">
        <v>76941410</v>
      </c>
      <c r="E49" s="54" t="n">
        <v>77763041</v>
      </c>
      <c r="F49" s="55">
        <f>E49/$E$75</f>
        <v/>
      </c>
      <c r="G49">
        <f>SUMIFS('Urban and Rural'!B:B,'Urban and Rural'!A:A,UPPER('IRA Calcs'!A49))</f>
        <v/>
      </c>
      <c r="H49">
        <f>SUMIFS('Urban and Rural'!C:C,'Urban and Rural'!A:A,UPPER('IRA Calcs'!A49))</f>
        <v/>
      </c>
      <c r="I49" s="60">
        <f>$I$8*$F49*G49*1000</f>
        <v/>
      </c>
      <c r="J49" s="60">
        <f>$I$8*$F49*H49*1000</f>
        <v/>
      </c>
      <c r="K49" s="60">
        <f>SUM(I49:J49)</f>
        <v/>
      </c>
    </row>
    <row r="50">
      <c r="A50" t="inlineStr">
        <is>
          <t>Montana</t>
        </is>
      </c>
      <c r="B50" t="n">
        <v>9.5</v>
      </c>
      <c r="C50" s="54" t="n">
        <v>6067</v>
      </c>
      <c r="D50" s="54" t="n">
        <v>24947923</v>
      </c>
      <c r="E50" s="54" t="n">
        <v>14961561</v>
      </c>
      <c r="F50" s="55">
        <f>E50/$E$75</f>
        <v/>
      </c>
      <c r="G50">
        <f>SUMIFS('Urban and Rural'!B:B,'Urban and Rural'!A:A,UPPER('IRA Calcs'!A50))</f>
        <v/>
      </c>
      <c r="H50">
        <f>SUMIFS('Urban and Rural'!C:C,'Urban and Rural'!A:A,UPPER('IRA Calcs'!A50))</f>
        <v/>
      </c>
      <c r="I50" s="60">
        <f>$I$8*$F50*G50*1000</f>
        <v/>
      </c>
      <c r="J50" s="60">
        <f>$I$8*$F50*H50*1000</f>
        <v/>
      </c>
      <c r="K50" s="60">
        <f>SUM(I50:J50)</f>
        <v/>
      </c>
    </row>
    <row r="51">
      <c r="A51" t="inlineStr">
        <is>
          <t>Nebraska</t>
        </is>
      </c>
      <c r="B51" t="n">
        <v>8.84</v>
      </c>
      <c r="C51" s="54" t="n">
        <v>10256</v>
      </c>
      <c r="D51" s="54" t="n">
        <v>37910898</v>
      </c>
      <c r="E51" s="54" t="n">
        <v>32341170</v>
      </c>
      <c r="F51" s="55">
        <f>E51/$E$75</f>
        <v/>
      </c>
      <c r="G51">
        <f>SUMIFS('Urban and Rural'!B:B,'Urban and Rural'!A:A,UPPER('IRA Calcs'!A51))</f>
        <v/>
      </c>
      <c r="H51">
        <f>SUMIFS('Urban and Rural'!C:C,'Urban and Rural'!A:A,UPPER('IRA Calcs'!A51))</f>
        <v/>
      </c>
      <c r="I51" s="60">
        <f>$I$8*$F51*G51*1000</f>
        <v/>
      </c>
      <c r="J51" s="60">
        <f>$I$8*$F51*H51*1000</f>
        <v/>
      </c>
      <c r="K51" s="60">
        <f>SUM(I51:J51)</f>
        <v/>
      </c>
    </row>
    <row r="52">
      <c r="A52" t="inlineStr">
        <is>
          <t>Nevada</t>
        </is>
      </c>
      <c r="B52" t="n">
        <v>8.58</v>
      </c>
      <c r="C52" s="54" t="n">
        <v>12863</v>
      </c>
      <c r="D52" s="54" t="n">
        <v>41754584</v>
      </c>
      <c r="E52" s="54" t="n">
        <v>39032042</v>
      </c>
      <c r="F52" s="55">
        <f>E52/$E$75</f>
        <v/>
      </c>
      <c r="G52">
        <f>SUMIFS('Urban and Rural'!B:B,'Urban and Rural'!A:A,UPPER('IRA Calcs'!A52))</f>
        <v/>
      </c>
      <c r="H52">
        <f>SUMIFS('Urban and Rural'!C:C,'Urban and Rural'!A:A,UPPER('IRA Calcs'!A52))</f>
        <v/>
      </c>
      <c r="I52" s="60">
        <f>$I$8*$F52*G52*1000</f>
        <v/>
      </c>
      <c r="J52" s="60">
        <f>$I$8*$F52*H52*1000</f>
        <v/>
      </c>
      <c r="K52" s="60">
        <f>SUM(I52:J52)</f>
        <v/>
      </c>
    </row>
    <row r="53">
      <c r="A53" t="inlineStr">
        <is>
          <t>New Hampshire</t>
        </is>
      </c>
      <c r="B53" t="n">
        <v>17.37</v>
      </c>
      <c r="C53" s="54" t="n">
        <v>4463</v>
      </c>
      <c r="D53" s="54" t="n">
        <v>17193254</v>
      </c>
      <c r="E53" s="54" t="n">
        <v>10867268</v>
      </c>
      <c r="F53" s="55">
        <f>E53/$E$75</f>
        <v/>
      </c>
      <c r="G53">
        <f>SUMIFS('Urban and Rural'!B:B,'Urban and Rural'!A:A,UPPER('IRA Calcs'!A53))</f>
        <v/>
      </c>
      <c r="H53">
        <f>SUMIFS('Urban and Rural'!C:C,'Urban and Rural'!A:A,UPPER('IRA Calcs'!A53))</f>
        <v/>
      </c>
      <c r="I53" s="60">
        <f>$I$8*$F53*G53*1000</f>
        <v/>
      </c>
      <c r="J53" s="60">
        <f>$I$8*$F53*H53*1000</f>
        <v/>
      </c>
      <c r="K53" s="60">
        <f>SUM(I53:J53)</f>
        <v/>
      </c>
    </row>
    <row r="54">
      <c r="A54" t="inlineStr">
        <is>
          <t>New Jersey</t>
        </is>
      </c>
      <c r="B54" t="n">
        <v>14.01</v>
      </c>
      <c r="C54" s="54" t="n">
        <v>17471</v>
      </c>
      <c r="D54" s="54" t="n">
        <v>61433792</v>
      </c>
      <c r="E54" s="54" t="n">
        <v>73070466</v>
      </c>
      <c r="F54" s="55">
        <f>E54/$E$75</f>
        <v/>
      </c>
      <c r="G54">
        <f>SUMIFS('Urban and Rural'!B:B,'Urban and Rural'!A:A,UPPER('IRA Calcs'!A54))</f>
        <v/>
      </c>
      <c r="H54">
        <f>SUMIFS('Urban and Rural'!C:C,'Urban and Rural'!A:A,UPPER('IRA Calcs'!A54))</f>
        <v/>
      </c>
      <c r="I54" s="60">
        <f>$I$8*$F54*G54*1000</f>
        <v/>
      </c>
      <c r="J54" s="60">
        <f>$I$8*$F54*H54*1000</f>
        <v/>
      </c>
      <c r="K54" s="60">
        <f>SUM(I54:J54)</f>
        <v/>
      </c>
    </row>
    <row r="55">
      <c r="A55" t="inlineStr">
        <is>
          <t>New Mexico</t>
        </is>
      </c>
      <c r="B55" t="n">
        <v>9.789999999999999</v>
      </c>
      <c r="C55" s="54" t="n">
        <v>10806</v>
      </c>
      <c r="D55" s="54" t="n">
        <v>35192365</v>
      </c>
      <c r="E55" s="54" t="n">
        <v>25393743</v>
      </c>
      <c r="F55" s="55">
        <f>E55/$E$75</f>
        <v/>
      </c>
      <c r="G55">
        <f>SUMIFS('Urban and Rural'!B:B,'Urban and Rural'!A:A,UPPER('IRA Calcs'!A55))</f>
        <v/>
      </c>
      <c r="H55">
        <f>SUMIFS('Urban and Rural'!C:C,'Urban and Rural'!A:A,UPPER('IRA Calcs'!A55))</f>
        <v/>
      </c>
      <c r="I55" s="60">
        <f>$I$8*$F55*G55*1000</f>
        <v/>
      </c>
      <c r="J55" s="60">
        <f>$I$8*$F55*H55*1000</f>
        <v/>
      </c>
      <c r="K55" s="60">
        <f>SUM(I55:J55)</f>
        <v/>
      </c>
    </row>
    <row r="56">
      <c r="A56" t="inlineStr">
        <is>
          <t>New York</t>
        </is>
      </c>
      <c r="B56" t="n">
        <v>16.11</v>
      </c>
      <c r="C56" s="54" t="n">
        <v>39890</v>
      </c>
      <c r="D56" s="54" t="n">
        <v>124944935</v>
      </c>
      <c r="E56" s="54" t="n">
        <v>141423778</v>
      </c>
      <c r="F56" s="55">
        <f>E56/$E$75</f>
        <v/>
      </c>
      <c r="G56">
        <f>SUMIFS('Urban and Rural'!B:B,'Urban and Rural'!A:A,UPPER('IRA Calcs'!A56))</f>
        <v/>
      </c>
      <c r="H56">
        <f>SUMIFS('Urban and Rural'!C:C,'Urban and Rural'!A:A,UPPER('IRA Calcs'!A56))</f>
        <v/>
      </c>
      <c r="I56" s="60">
        <f>$I$8*$F56*G56*1000</f>
        <v/>
      </c>
      <c r="J56" s="60">
        <f>$I$8*$F56*H56*1000</f>
        <v/>
      </c>
      <c r="K56" s="60">
        <f>SUM(I56:J56)</f>
        <v/>
      </c>
    </row>
    <row r="57">
      <c r="A57" t="inlineStr">
        <is>
          <t>North Carolina</t>
        </is>
      </c>
      <c r="B57" t="n">
        <v>9.289999999999999</v>
      </c>
      <c r="C57" s="54" t="n">
        <v>35020</v>
      </c>
      <c r="D57" s="54" t="n">
        <v>129923364</v>
      </c>
      <c r="E57" s="54" t="n">
        <v>135693077</v>
      </c>
      <c r="F57" s="55">
        <f>E57/$E$75</f>
        <v/>
      </c>
      <c r="G57">
        <f>SUMIFS('Urban and Rural'!B:B,'Urban and Rural'!A:A,UPPER('IRA Calcs'!A57))</f>
        <v/>
      </c>
      <c r="H57">
        <f>SUMIFS('Urban and Rural'!C:C,'Urban and Rural'!A:A,UPPER('IRA Calcs'!A57))</f>
        <v/>
      </c>
      <c r="I57" s="60">
        <f>$I$8*$F57*G57*1000</f>
        <v/>
      </c>
      <c r="J57" s="60">
        <f>$I$8*$F57*H57*1000</f>
        <v/>
      </c>
      <c r="K57" s="60">
        <f>SUM(I57:J57)</f>
        <v/>
      </c>
    </row>
    <row r="58">
      <c r="A58" t="inlineStr">
        <is>
          <t>North Dakota</t>
        </is>
      </c>
      <c r="B58" t="n">
        <v>8.65</v>
      </c>
      <c r="C58" s="54" t="n">
        <v>9503</v>
      </c>
      <c r="D58" s="54" t="n">
        <v>43032378</v>
      </c>
      <c r="E58" s="54" t="n">
        <v>22863107</v>
      </c>
      <c r="F58" s="55">
        <f>E58/$E$75</f>
        <v/>
      </c>
      <c r="G58">
        <f>SUMIFS('Urban and Rural'!B:B,'Urban and Rural'!A:A,UPPER('IRA Calcs'!A58))</f>
        <v/>
      </c>
      <c r="H58">
        <f>SUMIFS('Urban and Rural'!C:C,'Urban and Rural'!A:A,UPPER('IRA Calcs'!A58))</f>
        <v/>
      </c>
      <c r="I58" s="60">
        <f>$I$8*$F58*G58*1000</f>
        <v/>
      </c>
      <c r="J58" s="60">
        <f>$I$8*$F58*H58*1000</f>
        <v/>
      </c>
      <c r="K58" s="60">
        <f>SUM(I58:J58)</f>
        <v/>
      </c>
    </row>
    <row r="59">
      <c r="A59" t="inlineStr">
        <is>
          <t>Ohio</t>
        </is>
      </c>
      <c r="B59" t="n">
        <v>9.76</v>
      </c>
      <c r="C59" s="54" t="n">
        <v>29283</v>
      </c>
      <c r="D59" s="54" t="n">
        <v>125948008</v>
      </c>
      <c r="E59" s="54" t="n">
        <v>147717865</v>
      </c>
      <c r="F59" s="55">
        <f>E59/$E$75</f>
        <v/>
      </c>
      <c r="G59">
        <f>SUMIFS('Urban and Rural'!B:B,'Urban and Rural'!A:A,UPPER('IRA Calcs'!A59))</f>
        <v/>
      </c>
      <c r="H59">
        <f>SUMIFS('Urban and Rural'!C:C,'Urban and Rural'!A:A,UPPER('IRA Calcs'!A59))</f>
        <v/>
      </c>
      <c r="I59" s="60">
        <f>$I$8*$F59*G59*1000</f>
        <v/>
      </c>
      <c r="J59" s="60">
        <f>$I$8*$F59*H59*1000</f>
        <v/>
      </c>
      <c r="K59" s="60">
        <f>SUM(I59:J59)</f>
        <v/>
      </c>
    </row>
    <row r="60">
      <c r="A60" t="inlineStr">
        <is>
          <t>Oklahoma</t>
        </is>
      </c>
      <c r="B60" t="n">
        <v>8.52</v>
      </c>
      <c r="C60" s="54" t="n">
        <v>29824</v>
      </c>
      <c r="D60" s="54" t="n">
        <v>80754586</v>
      </c>
      <c r="E60" s="54" t="n">
        <v>64525137</v>
      </c>
      <c r="F60" s="55">
        <f>E60/$E$75</f>
        <v/>
      </c>
      <c r="G60">
        <f>SUMIFS('Urban and Rural'!B:B,'Urban and Rural'!A:A,UPPER('IRA Calcs'!A60))</f>
        <v/>
      </c>
      <c r="H60">
        <f>SUMIFS('Urban and Rural'!C:C,'Urban and Rural'!A:A,UPPER('IRA Calcs'!A60))</f>
        <v/>
      </c>
      <c r="I60" s="60">
        <f>$I$8*$F60*G60*1000</f>
        <v/>
      </c>
      <c r="J60" s="60">
        <f>$I$8*$F60*H60*1000</f>
        <v/>
      </c>
      <c r="K60" s="60">
        <f>SUM(I60:J60)</f>
        <v/>
      </c>
    </row>
    <row r="61">
      <c r="A61" t="inlineStr">
        <is>
          <t>Oregon</t>
        </is>
      </c>
      <c r="B61" t="n">
        <v>8.949999999999999</v>
      </c>
      <c r="C61" s="54" t="n">
        <v>16917</v>
      </c>
      <c r="D61" s="54" t="n">
        <v>61016874</v>
      </c>
      <c r="E61" s="54" t="n">
        <v>54135205</v>
      </c>
      <c r="F61" s="55">
        <f>E61/$E$75</f>
        <v/>
      </c>
      <c r="G61">
        <f>SUMIFS('Urban and Rural'!B:B,'Urban and Rural'!A:A,UPPER('IRA Calcs'!A61))</f>
        <v/>
      </c>
      <c r="H61">
        <f>SUMIFS('Urban and Rural'!C:C,'Urban and Rural'!A:A,UPPER('IRA Calcs'!A61))</f>
        <v/>
      </c>
      <c r="I61" s="60">
        <f>$I$8*$F61*G61*1000</f>
        <v/>
      </c>
      <c r="J61" s="60">
        <f>$I$8*$F61*H61*1000</f>
        <v/>
      </c>
      <c r="K61" s="60">
        <f>SUM(I61:J61)</f>
        <v/>
      </c>
    </row>
    <row r="62">
      <c r="A62" t="inlineStr">
        <is>
          <t>Pennsylvania</t>
        </is>
      </c>
      <c r="B62" t="n">
        <v>9.970000000000001</v>
      </c>
      <c r="C62" s="54" t="n">
        <v>49766</v>
      </c>
      <c r="D62" s="54" t="n">
        <v>241331434</v>
      </c>
      <c r="E62" s="54" t="n">
        <v>143340154</v>
      </c>
      <c r="F62" s="55">
        <f>E62/$E$75</f>
        <v/>
      </c>
      <c r="G62">
        <f>SUMIFS('Urban and Rural'!B:B,'Urban and Rural'!A:A,UPPER('IRA Calcs'!A62))</f>
        <v/>
      </c>
      <c r="H62">
        <f>SUMIFS('Urban and Rural'!C:C,'Urban and Rural'!A:A,UPPER('IRA Calcs'!A62))</f>
        <v/>
      </c>
      <c r="I62" s="60">
        <f>$I$8*$F62*G62*1000</f>
        <v/>
      </c>
      <c r="J62" s="60">
        <f>$I$8*$F62*H62*1000</f>
        <v/>
      </c>
      <c r="K62" s="60">
        <f>SUM(I62:J62)</f>
        <v/>
      </c>
    </row>
    <row r="63">
      <c r="A63" t="inlineStr">
        <is>
          <t>Rhode Island</t>
        </is>
      </c>
      <c r="B63" t="n">
        <v>18.44</v>
      </c>
      <c r="C63" s="54" t="n">
        <v>2131</v>
      </c>
      <c r="D63" s="54" t="n">
        <v>9322451</v>
      </c>
      <c r="E63" s="54" t="n">
        <v>7398004</v>
      </c>
      <c r="F63" s="55">
        <f>E63/$E$75</f>
        <v/>
      </c>
      <c r="G63">
        <f>SUMIFS('Urban and Rural'!B:B,'Urban and Rural'!A:A,UPPER('IRA Calcs'!A63))</f>
        <v/>
      </c>
      <c r="H63">
        <f>SUMIFS('Urban and Rural'!C:C,'Urban and Rural'!A:A,UPPER('IRA Calcs'!A63))</f>
        <v/>
      </c>
      <c r="I63" s="60">
        <f>$I$8*$F63*G63*1000</f>
        <v/>
      </c>
      <c r="J63" s="60">
        <f>$I$8*$F63*H63*1000</f>
        <v/>
      </c>
      <c r="K63" s="60">
        <f>SUM(I63:J63)</f>
        <v/>
      </c>
    </row>
    <row r="64">
      <c r="A64" t="inlineStr">
        <is>
          <t>South Carolina</t>
        </is>
      </c>
      <c r="B64" t="n">
        <v>9.960000000000001</v>
      </c>
      <c r="C64" s="54" t="n">
        <v>24268</v>
      </c>
      <c r="D64" s="54" t="n">
        <v>98390441</v>
      </c>
      <c r="E64" s="54" t="n">
        <v>79792136</v>
      </c>
      <c r="F64" s="55">
        <f>E64/$E$75</f>
        <v/>
      </c>
      <c r="G64">
        <f>SUMIFS('Urban and Rural'!B:B,'Urban and Rural'!A:A,UPPER('IRA Calcs'!A64))</f>
        <v/>
      </c>
      <c r="H64">
        <f>SUMIFS('Urban and Rural'!C:C,'Urban and Rural'!A:A,UPPER('IRA Calcs'!A64))</f>
        <v/>
      </c>
      <c r="I64" s="60">
        <f>$I$8*$F64*G64*1000</f>
        <v/>
      </c>
      <c r="J64" s="60">
        <f>$I$8*$F64*H64*1000</f>
        <v/>
      </c>
      <c r="K64" s="60">
        <f>SUM(I64:J64)</f>
        <v/>
      </c>
    </row>
    <row r="65">
      <c r="A65" t="inlineStr">
        <is>
          <t>South Dakota</t>
        </is>
      </c>
      <c r="B65" t="n">
        <v>10.43</v>
      </c>
      <c r="C65" s="54" t="n">
        <v>6280</v>
      </c>
      <c r="D65" s="54" t="n">
        <v>17322409</v>
      </c>
      <c r="E65" s="54" t="n">
        <v>13041391</v>
      </c>
      <c r="F65" s="55">
        <f>E65/$E$75</f>
        <v/>
      </c>
      <c r="G65">
        <f>SUMIFS('Urban and Rural'!B:B,'Urban and Rural'!A:A,UPPER('IRA Calcs'!A65))</f>
        <v/>
      </c>
      <c r="H65">
        <f>SUMIFS('Urban and Rural'!C:C,'Urban and Rural'!A:A,UPPER('IRA Calcs'!A65))</f>
        <v/>
      </c>
      <c r="I65" s="60">
        <f>$I$8*$F65*G65*1000</f>
        <v/>
      </c>
      <c r="J65" s="60">
        <f>$I$8*$F65*H65*1000</f>
        <v/>
      </c>
      <c r="K65" s="60">
        <f>SUM(I65:J65)</f>
        <v/>
      </c>
    </row>
    <row r="66">
      <c r="A66" t="inlineStr">
        <is>
          <t>Tennessee</t>
        </is>
      </c>
      <c r="B66" t="n">
        <v>9.779999999999999</v>
      </c>
      <c r="C66" s="54" t="n">
        <v>21401</v>
      </c>
      <c r="D66" s="54" t="n">
        <v>79057209</v>
      </c>
      <c r="E66" s="54" t="n">
        <v>99621137</v>
      </c>
      <c r="F66" s="55">
        <f>E66/$E$75</f>
        <v/>
      </c>
      <c r="G66">
        <f>SUMIFS('Urban and Rural'!B:B,'Urban and Rural'!A:A,UPPER('IRA Calcs'!A66))</f>
        <v/>
      </c>
      <c r="H66">
        <f>SUMIFS('Urban and Rural'!C:C,'Urban and Rural'!A:A,UPPER('IRA Calcs'!A66))</f>
        <v/>
      </c>
      <c r="I66" s="60">
        <f>$I$8*$F66*G66*1000</f>
        <v/>
      </c>
      <c r="J66" s="60">
        <f>$I$8*$F66*H66*1000</f>
        <v/>
      </c>
      <c r="K66" s="60">
        <f>SUM(I66:J66)</f>
        <v/>
      </c>
    </row>
    <row r="67">
      <c r="A67" t="inlineStr">
        <is>
          <t>Texas</t>
        </is>
      </c>
      <c r="B67" t="n">
        <v>9.140000000000001</v>
      </c>
      <c r="C67" s="54" t="n">
        <v>139751</v>
      </c>
      <c r="D67" s="54" t="n">
        <v>481844256</v>
      </c>
      <c r="E67" s="54" t="n">
        <v>435627878</v>
      </c>
      <c r="F67" s="55">
        <f>E67/$E$75</f>
        <v/>
      </c>
      <c r="G67">
        <f>SUMIFS('Urban and Rural'!B:B,'Urban and Rural'!A:A,UPPER('IRA Calcs'!A67))</f>
        <v/>
      </c>
      <c r="H67">
        <f>SUMIFS('Urban and Rural'!C:C,'Urban and Rural'!A:A,UPPER('IRA Calcs'!A67))</f>
        <v/>
      </c>
      <c r="I67" s="60">
        <f>$I$8*$F67*G67*1000</f>
        <v/>
      </c>
      <c r="J67" s="60">
        <f>$I$8*$F67*H67*1000</f>
        <v/>
      </c>
      <c r="K67" s="60">
        <f>SUM(I67:J67)</f>
        <v/>
      </c>
    </row>
    <row r="68">
      <c r="A68" t="inlineStr">
        <is>
          <t>Utah</t>
        </is>
      </c>
      <c r="B68" t="n">
        <v>8.34</v>
      </c>
      <c r="C68" s="54" t="n">
        <v>9518</v>
      </c>
      <c r="D68" s="54" t="n">
        <v>42565645</v>
      </c>
      <c r="E68" s="54" t="n">
        <v>32677627</v>
      </c>
      <c r="F68" s="55">
        <f>E68/$E$75</f>
        <v/>
      </c>
      <c r="G68">
        <f>SUMIFS('Urban and Rural'!B:B,'Urban and Rural'!A:A,UPPER('IRA Calcs'!A68))</f>
        <v/>
      </c>
      <c r="H68">
        <f>SUMIFS('Urban and Rural'!C:C,'Urban and Rural'!A:A,UPPER('IRA Calcs'!A68))</f>
        <v/>
      </c>
      <c r="I68" s="60">
        <f>$I$8*$F68*G68*1000</f>
        <v/>
      </c>
      <c r="J68" s="60">
        <f>$I$8*$F68*H68*1000</f>
        <v/>
      </c>
      <c r="K68" s="60">
        <f>SUM(I68:J68)</f>
        <v/>
      </c>
    </row>
    <row r="69">
      <c r="A69" t="inlineStr">
        <is>
          <t>Vermont</t>
        </is>
      </c>
      <c r="B69" t="n">
        <v>16.34</v>
      </c>
      <c r="C69" t="n">
        <v>834</v>
      </c>
      <c r="D69" s="54" t="n">
        <v>2107703</v>
      </c>
      <c r="E69" s="54" t="n">
        <v>5412696</v>
      </c>
      <c r="F69" s="55">
        <f>E69/$E$75</f>
        <v/>
      </c>
      <c r="G69">
        <f>SUMIFS('Urban and Rural'!B:B,'Urban and Rural'!A:A,UPPER('IRA Calcs'!A69))</f>
        <v/>
      </c>
      <c r="H69">
        <f>SUMIFS('Urban and Rural'!C:C,'Urban and Rural'!A:A,UPPER('IRA Calcs'!A69))</f>
        <v/>
      </c>
      <c r="I69" s="60">
        <f>$I$8*$F69*G69*1000</f>
        <v/>
      </c>
      <c r="J69" s="60">
        <f>$I$8*$F69*H69*1000</f>
        <v/>
      </c>
      <c r="K69" s="60">
        <f>SUM(I69:J69)</f>
        <v/>
      </c>
    </row>
    <row r="70">
      <c r="A70" t="inlineStr">
        <is>
          <t>Virginia</t>
        </is>
      </c>
      <c r="B70" t="n">
        <v>9.140000000000001</v>
      </c>
      <c r="C70" s="54" t="n">
        <v>28515</v>
      </c>
      <c r="D70" s="54" t="n">
        <v>93478182</v>
      </c>
      <c r="E70" s="54" t="n">
        <v>125245196</v>
      </c>
      <c r="F70" s="55">
        <f>E70/$E$75</f>
        <v/>
      </c>
      <c r="G70">
        <f>SUMIFS('Urban and Rural'!B:B,'Urban and Rural'!A:A,UPPER('IRA Calcs'!A70))</f>
        <v/>
      </c>
      <c r="H70">
        <f>SUMIFS('Urban and Rural'!C:C,'Urban and Rural'!A:A,UPPER('IRA Calcs'!A70))</f>
        <v/>
      </c>
      <c r="I70" s="60">
        <f>$I$8*$F70*G70*1000</f>
        <v/>
      </c>
      <c r="J70" s="60">
        <f>$I$8*$F70*H70*1000</f>
        <v/>
      </c>
      <c r="K70" s="60">
        <f>SUM(I70:J70)</f>
        <v/>
      </c>
    </row>
    <row r="71">
      <c r="A71" t="inlineStr">
        <is>
          <t>Washington</t>
        </is>
      </c>
      <c r="B71" t="n">
        <v>8.75</v>
      </c>
      <c r="C71" s="54" t="n">
        <v>30609</v>
      </c>
      <c r="D71" s="54" t="n">
        <v>110808401</v>
      </c>
      <c r="E71" s="54" t="n">
        <v>88198668</v>
      </c>
      <c r="F71" s="55">
        <f>E71/$E$75</f>
        <v/>
      </c>
      <c r="G71">
        <f>SUMIFS('Urban and Rural'!B:B,'Urban and Rural'!A:A,UPPER('IRA Calcs'!A71))</f>
        <v/>
      </c>
      <c r="H71">
        <f>SUMIFS('Urban and Rural'!C:C,'Urban and Rural'!A:A,UPPER('IRA Calcs'!A71))</f>
        <v/>
      </c>
      <c r="I71" s="60">
        <f>$I$8*$F71*G71*1000</f>
        <v/>
      </c>
      <c r="J71" s="60">
        <f>$I$8*$F71*H71*1000</f>
        <v/>
      </c>
      <c r="K71" s="60">
        <f>SUM(I71:J71)</f>
        <v/>
      </c>
    </row>
    <row r="72">
      <c r="A72" t="inlineStr">
        <is>
          <t>West Virginia</t>
        </is>
      </c>
      <c r="B72" t="n">
        <v>8.869999999999999</v>
      </c>
      <c r="C72" s="54" t="n">
        <v>14907</v>
      </c>
      <c r="D72" s="54" t="n">
        <v>65836063</v>
      </c>
      <c r="E72" s="54" t="n">
        <v>32777988</v>
      </c>
      <c r="F72" s="55">
        <f>E72/$E$75</f>
        <v/>
      </c>
      <c r="G72">
        <f>SUMIFS('Urban and Rural'!B:B,'Urban and Rural'!A:A,UPPER('IRA Calcs'!A72))</f>
        <v/>
      </c>
      <c r="H72">
        <f>SUMIFS('Urban and Rural'!C:C,'Urban and Rural'!A:A,UPPER('IRA Calcs'!A72))</f>
        <v/>
      </c>
      <c r="I72" s="60">
        <f>$I$8*$F72*G72*1000</f>
        <v/>
      </c>
      <c r="J72" s="60">
        <f>$I$8*$F72*H72*1000</f>
        <v/>
      </c>
      <c r="K72" s="60">
        <f>SUM(I72:J72)</f>
        <v/>
      </c>
    </row>
    <row r="73">
      <c r="A73" t="inlineStr">
        <is>
          <t>Wisconsin</t>
        </is>
      </c>
      <c r="B73" t="n">
        <v>11.01</v>
      </c>
      <c r="C73" s="54" t="n">
        <v>16428</v>
      </c>
      <c r="D73" s="54" t="n">
        <v>64276480</v>
      </c>
      <c r="E73" s="54" t="n">
        <v>69426615</v>
      </c>
      <c r="F73" s="55">
        <f>E73/$E$75</f>
        <v/>
      </c>
      <c r="G73">
        <f>SUMIFS('Urban and Rural'!B:B,'Urban and Rural'!A:A,UPPER('IRA Calcs'!A73))</f>
        <v/>
      </c>
      <c r="H73">
        <f>SUMIFS('Urban and Rural'!C:C,'Urban and Rural'!A:A,UPPER('IRA Calcs'!A73))</f>
        <v/>
      </c>
      <c r="I73" s="60">
        <f>$I$8*$F73*G73*1000</f>
        <v/>
      </c>
      <c r="J73" s="60">
        <f>$I$8*$F73*H73*1000</f>
        <v/>
      </c>
      <c r="K73" s="60">
        <f>SUM(I73:J73)</f>
        <v/>
      </c>
    </row>
    <row r="74">
      <c r="A74" t="inlineStr">
        <is>
          <t>Wyoming</t>
        </is>
      </c>
      <c r="B74" t="n">
        <v>8.25</v>
      </c>
      <c r="C74" s="54" t="n">
        <v>10096</v>
      </c>
      <c r="D74" s="54" t="n">
        <v>43460744</v>
      </c>
      <c r="E74" s="54" t="n">
        <v>15784712</v>
      </c>
      <c r="F74" s="55">
        <f>E74/$E$75</f>
        <v/>
      </c>
      <c r="G74">
        <f>SUMIFS('Urban and Rural'!B:B,'Urban and Rural'!A:A,UPPER('IRA Calcs'!A74))</f>
        <v/>
      </c>
      <c r="H74">
        <f>SUMIFS('Urban and Rural'!C:C,'Urban and Rural'!A:A,UPPER('IRA Calcs'!A74))</f>
        <v/>
      </c>
      <c r="I74" s="60">
        <f>$I$8*$F74*G74*1000</f>
        <v/>
      </c>
      <c r="J74" s="60">
        <f>$I$8*$F74*H74*1000</f>
        <v/>
      </c>
      <c r="K74" s="60">
        <f>SUM(I74:J74)</f>
        <v/>
      </c>
    </row>
    <row r="75">
      <c r="A75" t="inlineStr">
        <is>
          <t>U.S. Total</t>
        </is>
      </c>
      <c r="B75" t="n">
        <v>11.1</v>
      </c>
      <c r="C75" s="54" t="n">
        <v>1145857</v>
      </c>
      <c r="D75" s="54" t="n">
        <v>4108302835</v>
      </c>
      <c r="E75" s="54" t="n">
        <v>3805874253</v>
      </c>
      <c r="F75" s="55">
        <f>E75/$E$75</f>
        <v/>
      </c>
      <c r="G75">
        <f>SUMIFS('Urban and Rural'!B:B,'Urban and Rural'!A:A,UPPER('IRA Calcs'!A75))</f>
        <v/>
      </c>
      <c r="H75">
        <f>SUMIFS('Urban and Rural'!C:C,'Urban and Rural'!A:A,UPPER('IRA Calcs'!A75))</f>
        <v/>
      </c>
      <c r="I75" s="60">
        <f>$I$8*$F75*G75*1000</f>
        <v/>
      </c>
      <c r="J75" s="60">
        <f>$I$8*$F75*H75*1000</f>
        <v/>
      </c>
      <c r="K75" s="60">
        <f>SUM(I75:J75)</f>
        <v/>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AF1000"/>
  <sheetViews>
    <sheetView workbookViewId="0">
      <selection activeCell="G32" sqref="G32"/>
    </sheetView>
  </sheetViews>
  <sheetFormatPr baseColWidth="10" defaultColWidth="12.6640625" defaultRowHeight="15" customHeight="1"/>
  <cols>
    <col width="20.5" customWidth="1" style="74" min="1" max="1"/>
    <col width="9.33203125" bestFit="1" customWidth="1" style="74" min="2" max="32"/>
  </cols>
  <sheetData>
    <row r="1" ht="14.25" customHeight="1" s="74">
      <c r="A1" s="7" t="inlineStr">
        <is>
          <t>MW*hour</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50" t="n">
        <v>0</v>
      </c>
      <c r="C2" s="50" t="n">
        <v>0</v>
      </c>
      <c r="D2" s="50" t="n">
        <v>0</v>
      </c>
      <c r="E2" s="50" t="n">
        <v>0</v>
      </c>
      <c r="F2" s="50" t="n">
        <v>0</v>
      </c>
      <c r="G2" s="50" t="n">
        <v>0</v>
      </c>
      <c r="H2" s="50" t="n">
        <v>0</v>
      </c>
      <c r="I2" s="50" t="n">
        <v>0</v>
      </c>
      <c r="J2" s="50" t="n">
        <v>0</v>
      </c>
      <c r="K2" s="50" t="n">
        <v>0</v>
      </c>
      <c r="L2" s="50" t="n">
        <v>0</v>
      </c>
      <c r="M2" s="50" t="n">
        <v>0</v>
      </c>
      <c r="N2" s="50" t="n">
        <v>0</v>
      </c>
      <c r="O2" s="50" t="n">
        <v>0</v>
      </c>
      <c r="P2" s="50" t="n">
        <v>0</v>
      </c>
      <c r="Q2" s="50" t="n">
        <v>0</v>
      </c>
      <c r="R2" s="50" t="n">
        <v>0</v>
      </c>
      <c r="S2" s="50" t="n">
        <v>0</v>
      </c>
      <c r="T2" s="50" t="n">
        <v>0</v>
      </c>
      <c r="U2" s="50" t="n">
        <v>0</v>
      </c>
      <c r="V2" s="50" t="n">
        <v>0</v>
      </c>
      <c r="W2" s="50" t="n">
        <v>0</v>
      </c>
      <c r="X2" s="50" t="n">
        <v>0</v>
      </c>
      <c r="Y2" s="50" t="n">
        <v>0</v>
      </c>
      <c r="Z2" s="50" t="n">
        <v>0</v>
      </c>
      <c r="AA2" s="50" t="n">
        <v>0</v>
      </c>
      <c r="AB2" s="50" t="n">
        <v>0</v>
      </c>
      <c r="AC2" s="50" t="n">
        <v>0</v>
      </c>
      <c r="AD2" s="50" t="n">
        <v>0</v>
      </c>
      <c r="AE2" s="50" t="n">
        <v>0</v>
      </c>
      <c r="AF2" s="50" t="n">
        <v>0</v>
      </c>
    </row>
    <row r="3" ht="14.25" customHeight="1" s="74">
      <c r="A3" s="7" t="inlineStr">
        <is>
          <t>natural gas nonpeaker</t>
        </is>
      </c>
      <c r="B3" s="50" t="n">
        <v>0</v>
      </c>
      <c r="C3" s="50" t="n">
        <v>0</v>
      </c>
      <c r="D3" s="50" t="n">
        <v>0</v>
      </c>
      <c r="E3" s="50" t="n">
        <v>0</v>
      </c>
      <c r="F3" s="50" t="n">
        <v>0</v>
      </c>
      <c r="G3" s="50" t="n">
        <v>0</v>
      </c>
      <c r="H3" s="50" t="n">
        <v>0</v>
      </c>
      <c r="I3" s="50" t="n">
        <v>0</v>
      </c>
      <c r="J3" s="50" t="n">
        <v>0</v>
      </c>
      <c r="K3" s="50" t="n">
        <v>0</v>
      </c>
      <c r="L3" s="50" t="n">
        <v>0</v>
      </c>
      <c r="M3" s="50" t="n">
        <v>0</v>
      </c>
      <c r="N3" s="50" t="n">
        <v>0</v>
      </c>
      <c r="O3" s="50" t="n">
        <v>0</v>
      </c>
      <c r="P3" s="50" t="n">
        <v>2e-05</v>
      </c>
      <c r="Q3" s="50" t="n">
        <v>6e-05</v>
      </c>
      <c r="R3" s="50" t="n">
        <v>0.00013</v>
      </c>
      <c r="S3" s="50" t="n">
        <v>0.00026</v>
      </c>
      <c r="T3" s="50" t="n">
        <v>0.0005</v>
      </c>
      <c r="U3" s="50" t="n">
        <v>0.00095</v>
      </c>
      <c r="V3" s="50" t="n">
        <v>0.00177</v>
      </c>
      <c r="W3" s="50" t="n">
        <v>0.00328</v>
      </c>
      <c r="X3" s="50" t="n">
        <v>0.00479</v>
      </c>
      <c r="Y3" s="50" t="n">
        <v>0.0063</v>
      </c>
      <c r="Z3" s="50" t="n">
        <v>0.00783</v>
      </c>
      <c r="AA3" s="50" t="n">
        <v>0.00937</v>
      </c>
      <c r="AB3" s="50" t="n">
        <v>0.01092</v>
      </c>
      <c r="AC3" s="50" t="n">
        <v>0.01248</v>
      </c>
      <c r="AD3" s="50" t="n">
        <v>0.01404</v>
      </c>
      <c r="AE3" s="50" t="n">
        <v>0.01562</v>
      </c>
      <c r="AF3" s="50" t="n">
        <v>0.01719</v>
      </c>
    </row>
    <row r="4" ht="14.25" customHeight="1" s="74">
      <c r="A4" s="7" t="inlineStr">
        <is>
          <t>nuclear</t>
        </is>
      </c>
      <c r="B4" s="50" t="n">
        <v>0</v>
      </c>
      <c r="C4" s="50" t="n">
        <v>0</v>
      </c>
      <c r="D4" s="50" t="n">
        <v>0</v>
      </c>
      <c r="E4" s="50" t="n">
        <v>0</v>
      </c>
      <c r="F4" s="50" t="n">
        <v>0</v>
      </c>
      <c r="G4" s="50" t="n">
        <v>0</v>
      </c>
      <c r="H4" s="50" t="n">
        <v>0</v>
      </c>
      <c r="I4" s="50" t="n">
        <v>0</v>
      </c>
      <c r="J4" s="50" t="n">
        <v>0</v>
      </c>
      <c r="K4" s="50" t="n">
        <v>0</v>
      </c>
      <c r="L4" s="50" t="n">
        <v>0</v>
      </c>
      <c r="M4" s="50" t="n">
        <v>0</v>
      </c>
      <c r="N4" s="50" t="n">
        <v>0</v>
      </c>
      <c r="O4" s="50" t="n">
        <v>0</v>
      </c>
      <c r="P4" s="50" t="n">
        <v>0</v>
      </c>
      <c r="Q4" s="50" t="n">
        <v>0</v>
      </c>
      <c r="R4" s="50" t="n">
        <v>0</v>
      </c>
      <c r="S4" s="50" t="n">
        <v>0</v>
      </c>
      <c r="T4" s="50" t="n">
        <v>0</v>
      </c>
      <c r="U4" s="50" t="n">
        <v>0</v>
      </c>
      <c r="V4" s="50" t="n">
        <v>0</v>
      </c>
      <c r="W4" s="50" t="n">
        <v>0</v>
      </c>
      <c r="X4" s="50" t="n">
        <v>0</v>
      </c>
      <c r="Y4" s="50" t="n">
        <v>0</v>
      </c>
      <c r="Z4" s="50" t="n">
        <v>0</v>
      </c>
      <c r="AA4" s="50" t="n">
        <v>0</v>
      </c>
      <c r="AB4" s="50" t="n">
        <v>0</v>
      </c>
      <c r="AC4" s="50" t="n">
        <v>0</v>
      </c>
      <c r="AD4" s="50" t="n">
        <v>0</v>
      </c>
      <c r="AE4" s="50" t="n">
        <v>0</v>
      </c>
      <c r="AF4" s="50" t="n">
        <v>0</v>
      </c>
    </row>
    <row r="5" ht="14.25" customHeight="1" s="74">
      <c r="A5" s="7" t="inlineStr">
        <is>
          <t>hydro</t>
        </is>
      </c>
      <c r="B5" s="50" t="n">
        <v>0</v>
      </c>
      <c r="C5" s="50" t="n">
        <v>0</v>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row>
    <row r="6" ht="14.25" customHeight="1" s="74">
      <c r="A6" s="7" t="inlineStr">
        <is>
          <t>onshore wind</t>
        </is>
      </c>
      <c r="B6" s="50" t="n">
        <v>0.36403</v>
      </c>
      <c r="C6" s="50" t="n">
        <v>0.36403</v>
      </c>
      <c r="D6" s="50" t="n">
        <v>0.36403</v>
      </c>
      <c r="E6" s="50" t="n">
        <v>0.36403</v>
      </c>
      <c r="F6" s="50" t="n">
        <v>0.36403</v>
      </c>
      <c r="G6" s="50" t="n">
        <v>0.36403</v>
      </c>
      <c r="H6" s="50" t="n">
        <v>0.36403</v>
      </c>
      <c r="I6" s="50" t="n">
        <v>0.36403</v>
      </c>
      <c r="J6" s="50" t="n">
        <v>0.36403</v>
      </c>
      <c r="K6" s="50" t="n">
        <v>0.36403</v>
      </c>
      <c r="L6" s="50" t="n">
        <v>0.36403</v>
      </c>
      <c r="M6" s="50" t="n">
        <v>0.36403</v>
      </c>
      <c r="N6" s="50" t="n">
        <v>0.36403</v>
      </c>
      <c r="O6" s="50" t="n">
        <v>0.36405</v>
      </c>
      <c r="P6" s="50" t="n">
        <v>0.36411</v>
      </c>
      <c r="Q6" s="50" t="n">
        <v>0.36423</v>
      </c>
      <c r="R6" s="50" t="n">
        <v>0.36446</v>
      </c>
      <c r="S6" s="50" t="n">
        <v>0.3649</v>
      </c>
      <c r="T6" s="50" t="n">
        <v>0.36572</v>
      </c>
      <c r="U6" s="50" t="n">
        <v>0.36723</v>
      </c>
      <c r="V6" s="50" t="n">
        <v>0.37002</v>
      </c>
      <c r="W6" s="50" t="n">
        <v>0.3751</v>
      </c>
      <c r="X6" s="50" t="n">
        <v>0.38021</v>
      </c>
      <c r="Y6" s="50" t="n">
        <v>0.38533</v>
      </c>
      <c r="Z6" s="50" t="n">
        <v>0.39047</v>
      </c>
      <c r="AA6" s="50" t="n">
        <v>0.39567</v>
      </c>
      <c r="AB6" s="50" t="n">
        <v>0.40091</v>
      </c>
      <c r="AC6" s="50" t="n">
        <v>0.40614</v>
      </c>
      <c r="AD6" s="50" t="n">
        <v>0.4114</v>
      </c>
      <c r="AE6" s="50" t="n">
        <v>0.4167</v>
      </c>
      <c r="AF6" s="50" t="n">
        <v>0.422</v>
      </c>
    </row>
    <row r="7" ht="14.25" customHeight="1" s="74">
      <c r="A7" s="7" t="inlineStr">
        <is>
          <t>solar PV</t>
        </is>
      </c>
      <c r="B7" s="50" t="n">
        <v>223.03738</v>
      </c>
      <c r="C7" s="50" t="n">
        <v>256.83128</v>
      </c>
      <c r="D7" s="50" t="n">
        <v>286.22322</v>
      </c>
      <c r="E7" s="50" t="n">
        <v>314.92328</v>
      </c>
      <c r="F7" s="50" t="n">
        <v>343.12299</v>
      </c>
      <c r="G7" s="50" t="n">
        <v>371.72604</v>
      </c>
      <c r="H7" s="50" t="n">
        <v>401.27214</v>
      </c>
      <c r="I7" s="50" t="n">
        <v>431.03038</v>
      </c>
      <c r="J7" s="50" t="n">
        <v>461.21904</v>
      </c>
      <c r="K7" s="50" t="n">
        <v>491.66288</v>
      </c>
      <c r="L7" s="50" t="n">
        <v>522.92965</v>
      </c>
      <c r="M7" s="50" t="n">
        <v>555.17083</v>
      </c>
      <c r="N7" s="50" t="n">
        <v>588.28061</v>
      </c>
      <c r="O7" s="50" t="n">
        <v>622.07955</v>
      </c>
      <c r="P7" s="50" t="n">
        <v>656.84965</v>
      </c>
      <c r="Q7" s="50" t="n">
        <v>692.27182</v>
      </c>
      <c r="R7" s="50" t="n">
        <v>728.55929</v>
      </c>
      <c r="S7" s="50" t="n">
        <v>765.44077</v>
      </c>
      <c r="T7" s="50" t="n">
        <v>803.12084</v>
      </c>
      <c r="U7" s="50" t="n">
        <v>841.41149</v>
      </c>
      <c r="V7" s="50" t="n">
        <v>880.74691</v>
      </c>
      <c r="W7" s="50" t="n">
        <v>920.88926</v>
      </c>
      <c r="X7" s="50" t="n">
        <v>962.12736</v>
      </c>
      <c r="Y7" s="50" t="n">
        <v>1004.6502</v>
      </c>
      <c r="Z7" s="50" t="n">
        <v>1048.27243</v>
      </c>
      <c r="AA7" s="50" t="n">
        <v>1093.47199</v>
      </c>
      <c r="AB7" s="50" t="n">
        <v>1139.95046</v>
      </c>
      <c r="AC7" s="50" t="n">
        <v>1187.57527</v>
      </c>
      <c r="AD7" s="50" t="n">
        <v>1236.84859</v>
      </c>
      <c r="AE7" s="50" t="n">
        <v>1287.36253</v>
      </c>
      <c r="AF7" s="50" t="n">
        <v>1339.08545</v>
      </c>
    </row>
    <row r="8" ht="14.25" customHeight="1" s="74">
      <c r="A8" s="7" t="inlineStr">
        <is>
          <t>solar thermal</t>
        </is>
      </c>
      <c r="B8" s="50" t="n">
        <v>0</v>
      </c>
      <c r="C8" s="50" t="n">
        <v>0</v>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row>
    <row r="9" ht="14.25" customHeight="1" s="74">
      <c r="A9" s="7" t="inlineStr">
        <is>
          <t>biomass</t>
        </is>
      </c>
      <c r="B9" s="50" t="n">
        <v>0</v>
      </c>
      <c r="C9" s="50" t="n">
        <v>0</v>
      </c>
      <c r="D9" s="50" t="n">
        <v>0</v>
      </c>
      <c r="E9" s="50" t="n">
        <v>0</v>
      </c>
      <c r="F9" s="50" t="n">
        <v>0</v>
      </c>
      <c r="G9" s="50" t="n">
        <v>0</v>
      </c>
      <c r="H9" s="50" t="n">
        <v>0</v>
      </c>
      <c r="I9" s="50" t="n">
        <v>0</v>
      </c>
      <c r="J9" s="50" t="n">
        <v>0</v>
      </c>
      <c r="K9" s="50" t="n">
        <v>0</v>
      </c>
      <c r="L9" s="50" t="n">
        <v>0</v>
      </c>
      <c r="M9" s="50" t="n">
        <v>0</v>
      </c>
      <c r="N9" s="50" t="n">
        <v>0</v>
      </c>
      <c r="O9" s="50" t="n">
        <v>0</v>
      </c>
      <c r="P9" s="50" t="n">
        <v>0</v>
      </c>
      <c r="Q9" s="50" t="n">
        <v>0</v>
      </c>
      <c r="R9" s="50" t="n">
        <v>0</v>
      </c>
      <c r="S9" s="50" t="n">
        <v>0</v>
      </c>
      <c r="T9" s="50" t="n">
        <v>0</v>
      </c>
      <c r="U9" s="50" t="n">
        <v>0</v>
      </c>
      <c r="V9" s="50" t="n">
        <v>0</v>
      </c>
      <c r="W9" s="50" t="n">
        <v>0</v>
      </c>
      <c r="X9" s="50" t="n">
        <v>0</v>
      </c>
      <c r="Y9" s="50" t="n">
        <v>0</v>
      </c>
      <c r="Z9" s="50" t="n">
        <v>0</v>
      </c>
      <c r="AA9" s="50" t="n">
        <v>0</v>
      </c>
      <c r="AB9" s="50" t="n">
        <v>0</v>
      </c>
      <c r="AC9" s="50" t="n">
        <v>0</v>
      </c>
      <c r="AD9" s="50" t="n">
        <v>0</v>
      </c>
      <c r="AE9" s="50" t="n">
        <v>0</v>
      </c>
      <c r="AF9" s="50" t="n">
        <v>0</v>
      </c>
    </row>
    <row r="10" ht="14.25" customHeight="1" s="74">
      <c r="A10" s="7" t="inlineStr">
        <is>
          <t>geothermal</t>
        </is>
      </c>
      <c r="B10" s="50" t="n">
        <v>0</v>
      </c>
      <c r="C10" s="50" t="n">
        <v>0</v>
      </c>
      <c r="D10" s="50" t="n">
        <v>0</v>
      </c>
      <c r="E10" s="50" t="n">
        <v>0</v>
      </c>
      <c r="F10" s="50" t="n">
        <v>0</v>
      </c>
      <c r="G10" s="50" t="n">
        <v>0</v>
      </c>
      <c r="H10" s="50" t="n">
        <v>0</v>
      </c>
      <c r="I10" s="50" t="n">
        <v>0</v>
      </c>
      <c r="J10" s="50" t="n">
        <v>0</v>
      </c>
      <c r="K10" s="50" t="n">
        <v>0</v>
      </c>
      <c r="L10" s="50" t="n">
        <v>0</v>
      </c>
      <c r="M10" s="50" t="n">
        <v>0</v>
      </c>
      <c r="N10" s="50" t="n">
        <v>0</v>
      </c>
      <c r="O10" s="50" t="n">
        <v>0</v>
      </c>
      <c r="P10" s="50" t="n">
        <v>0</v>
      </c>
      <c r="Q10" s="50" t="n">
        <v>0</v>
      </c>
      <c r="R10" s="50" t="n">
        <v>0</v>
      </c>
      <c r="S10" s="50" t="n">
        <v>0</v>
      </c>
      <c r="T10" s="50" t="n">
        <v>0</v>
      </c>
      <c r="U10" s="50" t="n">
        <v>0</v>
      </c>
      <c r="V10" s="50" t="n">
        <v>0</v>
      </c>
      <c r="W10" s="50" t="n">
        <v>0</v>
      </c>
      <c r="X10" s="50" t="n">
        <v>0</v>
      </c>
      <c r="Y10" s="50" t="n">
        <v>0</v>
      </c>
      <c r="Z10" s="50" t="n">
        <v>0</v>
      </c>
      <c r="AA10" s="50" t="n">
        <v>0</v>
      </c>
      <c r="AB10" s="50" t="n">
        <v>0</v>
      </c>
      <c r="AC10" s="50" t="n">
        <v>0</v>
      </c>
      <c r="AD10" s="50" t="n">
        <v>0</v>
      </c>
      <c r="AE10" s="50" t="n">
        <v>0</v>
      </c>
      <c r="AF10" s="50" t="n">
        <v>0</v>
      </c>
    </row>
    <row r="11" ht="14.25" customHeight="1" s="74">
      <c r="A11" s="7" t="inlineStr">
        <is>
          <t>petroleum</t>
        </is>
      </c>
      <c r="B11" s="50" t="n">
        <v>0</v>
      </c>
      <c r="C11" s="50" t="n">
        <v>0</v>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row>
    <row r="12" ht="14.25" customHeight="1" s="74">
      <c r="A12" s="7" t="inlineStr">
        <is>
          <t>natural gas peaker</t>
        </is>
      </c>
      <c r="B12" s="50" t="n">
        <v>0</v>
      </c>
      <c r="C12" s="50" t="n">
        <v>0</v>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row>
    <row r="13" ht="14.25" customHeight="1" s="74">
      <c r="A13" s="7" t="inlineStr">
        <is>
          <t>lignite</t>
        </is>
      </c>
      <c r="B13" s="50" t="n">
        <v>0</v>
      </c>
      <c r="C13" s="50" t="n">
        <v>0</v>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row>
    <row r="14" ht="14.25" customHeight="1" s="74">
      <c r="A14" s="7" t="inlineStr">
        <is>
          <t>offshore wind</t>
        </is>
      </c>
      <c r="B14" s="50" t="n">
        <v>0</v>
      </c>
      <c r="C14" s="50" t="n">
        <v>0</v>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row>
    <row r="15" ht="14.25" customHeight="1" s="74">
      <c r="A15" s="7" t="inlineStr">
        <is>
          <t>crude oil</t>
        </is>
      </c>
      <c r="B15" s="50" t="n">
        <v>0</v>
      </c>
      <c r="C15" s="50" t="n">
        <v>0</v>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row>
    <row r="16" ht="14.25" customHeight="1" s="74">
      <c r="A16" s="7" t="inlineStr">
        <is>
          <t>heavy or residual fuel oil</t>
        </is>
      </c>
      <c r="B16" s="50" t="n">
        <v>0</v>
      </c>
      <c r="C16" s="50" t="n">
        <v>0</v>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row>
    <row r="17" ht="14.25" customHeight="1" s="74">
      <c r="A17" s="7" t="inlineStr">
        <is>
          <t>municipal solid waste</t>
        </is>
      </c>
      <c r="B17" s="50" t="n">
        <v>0</v>
      </c>
      <c r="C17" s="50" t="n">
        <v>0</v>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9.xml><?xml version="1.0" encoding="utf-8"?>
<worksheet xmlns="http://schemas.openxmlformats.org/spreadsheetml/2006/main">
  <sheetPr>
    <outlinePr summaryBelow="1" summaryRight="1"/>
    <pageSetUpPr/>
  </sheetPr>
  <dimension ref="A1:AF1000"/>
  <sheetViews>
    <sheetView workbookViewId="0">
      <selection activeCell="AF10" sqref="AF10"/>
    </sheetView>
  </sheetViews>
  <sheetFormatPr baseColWidth="10" defaultColWidth="12.6640625" defaultRowHeight="15" customHeight="1"/>
  <cols>
    <col width="20.5" customWidth="1" style="74" min="1" max="1"/>
    <col width="9.33203125" bestFit="1" customWidth="1" style="74" min="2" max="32"/>
  </cols>
  <sheetData>
    <row r="1" ht="14.25" customHeight="1" s="74">
      <c r="A1" s="7" t="inlineStr">
        <is>
          <t>MW*hour</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50" t="n">
        <v>1</v>
      </c>
      <c r="C2" s="50" t="n">
        <v>0</v>
      </c>
      <c r="D2" s="50" t="n">
        <v>0</v>
      </c>
      <c r="E2" s="50" t="n">
        <v>0</v>
      </c>
      <c r="F2" s="50" t="n">
        <v>0</v>
      </c>
      <c r="G2" s="50" t="n">
        <v>0</v>
      </c>
      <c r="H2" s="50" t="n">
        <v>0</v>
      </c>
      <c r="I2" s="50" t="n">
        <v>0</v>
      </c>
      <c r="J2" s="50" t="n">
        <v>0</v>
      </c>
      <c r="K2" s="50" t="n">
        <v>0</v>
      </c>
      <c r="L2" s="50" t="n">
        <v>0</v>
      </c>
      <c r="M2" s="50" t="n">
        <v>0</v>
      </c>
      <c r="N2" s="50" t="n">
        <v>0</v>
      </c>
      <c r="O2" s="50" t="n">
        <v>0</v>
      </c>
      <c r="P2" s="50" t="n">
        <v>0</v>
      </c>
      <c r="Q2" s="50" t="n">
        <v>0</v>
      </c>
      <c r="R2" s="50" t="n">
        <v>0</v>
      </c>
      <c r="S2" s="50" t="n">
        <v>0</v>
      </c>
      <c r="T2" s="50" t="n">
        <v>0</v>
      </c>
      <c r="U2" s="50" t="n">
        <v>0</v>
      </c>
      <c r="V2" s="50" t="n">
        <v>0</v>
      </c>
      <c r="W2" s="50" t="n">
        <v>0</v>
      </c>
      <c r="X2" s="50" t="n">
        <v>0</v>
      </c>
      <c r="Y2" s="50" t="n">
        <v>0</v>
      </c>
      <c r="Z2" s="50" t="n">
        <v>0</v>
      </c>
      <c r="AA2" s="50" t="n">
        <v>0</v>
      </c>
      <c r="AB2" s="50" t="n">
        <v>0</v>
      </c>
      <c r="AC2" s="50" t="n">
        <v>0</v>
      </c>
      <c r="AD2" s="50" t="n">
        <v>0</v>
      </c>
      <c r="AE2" s="50" t="n">
        <v>0</v>
      </c>
      <c r="AF2" s="50" t="n">
        <v>0</v>
      </c>
    </row>
    <row r="3" ht="14.25" customHeight="1" s="74">
      <c r="A3" s="7" t="inlineStr">
        <is>
          <t>natural gas nonpeaker</t>
        </is>
      </c>
      <c r="B3" s="50" t="n">
        <v>0</v>
      </c>
      <c r="C3" s="50" t="n">
        <v>0</v>
      </c>
      <c r="D3" s="50" t="n">
        <v>0</v>
      </c>
      <c r="E3" s="50" t="n">
        <v>0</v>
      </c>
      <c r="F3" s="50" t="n">
        <v>0</v>
      </c>
      <c r="G3" s="50" t="n">
        <v>0</v>
      </c>
      <c r="H3" s="50" t="n">
        <v>0</v>
      </c>
      <c r="I3" s="50" t="n">
        <v>0</v>
      </c>
      <c r="J3" s="50" t="n">
        <v>0</v>
      </c>
      <c r="K3" s="50" t="n">
        <v>0</v>
      </c>
      <c r="L3" s="50" t="n">
        <v>0</v>
      </c>
      <c r="M3" s="50" t="n">
        <v>0</v>
      </c>
      <c r="N3" s="50" t="n">
        <v>0</v>
      </c>
      <c r="O3" s="50" t="n">
        <v>0</v>
      </c>
      <c r="P3" s="50" t="n">
        <v>1e-05</v>
      </c>
      <c r="Q3" s="50" t="n">
        <v>2e-05</v>
      </c>
      <c r="R3" s="50" t="n">
        <v>4e-05</v>
      </c>
      <c r="S3" s="50" t="n">
        <v>6.999999999999999e-05</v>
      </c>
      <c r="T3" s="50" t="n">
        <v>0.00015</v>
      </c>
      <c r="U3" s="50" t="n">
        <v>0.00028</v>
      </c>
      <c r="V3" s="50" t="n">
        <v>0.00052</v>
      </c>
      <c r="W3" s="50" t="n">
        <v>0.00096</v>
      </c>
      <c r="X3" s="50" t="n">
        <v>0.0014</v>
      </c>
      <c r="Y3" s="50" t="n">
        <v>0.00184</v>
      </c>
      <c r="Z3" s="50" t="n">
        <v>0.00229</v>
      </c>
      <c r="AA3" s="50" t="n">
        <v>0.00274</v>
      </c>
      <c r="AB3" s="50" t="n">
        <v>0.00319</v>
      </c>
      <c r="AC3" s="50" t="n">
        <v>0.00364</v>
      </c>
      <c r="AD3" s="50" t="n">
        <v>0.0041</v>
      </c>
      <c r="AE3" s="50" t="n">
        <v>0.00456</v>
      </c>
      <c r="AF3" s="50" t="n">
        <v>0.00502</v>
      </c>
    </row>
    <row r="4" ht="14.25" customHeight="1" s="74">
      <c r="A4" s="7" t="inlineStr">
        <is>
          <t>nuclear</t>
        </is>
      </c>
      <c r="B4" s="50" t="n">
        <v>0</v>
      </c>
      <c r="C4" s="50" t="n">
        <v>0</v>
      </c>
      <c r="D4" s="50" t="n">
        <v>0</v>
      </c>
      <c r="E4" s="50" t="n">
        <v>0</v>
      </c>
      <c r="F4" s="50" t="n">
        <v>0</v>
      </c>
      <c r="G4" s="50" t="n">
        <v>0</v>
      </c>
      <c r="H4" s="50" t="n">
        <v>0</v>
      </c>
      <c r="I4" s="50" t="n">
        <v>0</v>
      </c>
      <c r="J4" s="50" t="n">
        <v>0</v>
      </c>
      <c r="K4" s="50" t="n">
        <v>0</v>
      </c>
      <c r="L4" s="50" t="n">
        <v>0</v>
      </c>
      <c r="M4" s="50" t="n">
        <v>0</v>
      </c>
      <c r="N4" s="50" t="n">
        <v>0</v>
      </c>
      <c r="O4" s="50" t="n">
        <v>0</v>
      </c>
      <c r="P4" s="50" t="n">
        <v>0</v>
      </c>
      <c r="Q4" s="50" t="n">
        <v>0</v>
      </c>
      <c r="R4" s="50" t="n">
        <v>0</v>
      </c>
      <c r="S4" s="50" t="n">
        <v>0</v>
      </c>
      <c r="T4" s="50" t="n">
        <v>0</v>
      </c>
      <c r="U4" s="50" t="n">
        <v>0</v>
      </c>
      <c r="V4" s="50" t="n">
        <v>0</v>
      </c>
      <c r="W4" s="50" t="n">
        <v>0</v>
      </c>
      <c r="X4" s="50" t="n">
        <v>0</v>
      </c>
      <c r="Y4" s="50" t="n">
        <v>0</v>
      </c>
      <c r="Z4" s="50" t="n">
        <v>0</v>
      </c>
      <c r="AA4" s="50" t="n">
        <v>0</v>
      </c>
      <c r="AB4" s="50" t="n">
        <v>0</v>
      </c>
      <c r="AC4" s="50" t="n">
        <v>0</v>
      </c>
      <c r="AD4" s="50" t="n">
        <v>0</v>
      </c>
      <c r="AE4" s="50" t="n">
        <v>0</v>
      </c>
      <c r="AF4" s="50" t="n">
        <v>0</v>
      </c>
    </row>
    <row r="5" ht="14.25" customHeight="1" s="74">
      <c r="A5" s="7" t="inlineStr">
        <is>
          <t>hydro</t>
        </is>
      </c>
      <c r="B5" s="50" t="n">
        <v>0</v>
      </c>
      <c r="C5" s="50" t="n">
        <v>0</v>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row>
    <row r="6" ht="14.25" customHeight="1" s="74">
      <c r="A6" s="7" t="inlineStr">
        <is>
          <t>onshore wind</t>
        </is>
      </c>
      <c r="B6" s="50" t="n">
        <v>0.10629</v>
      </c>
      <c r="C6" s="50" t="n">
        <v>0.10629</v>
      </c>
      <c r="D6" s="50" t="n">
        <v>0.10629</v>
      </c>
      <c r="E6" s="50" t="n">
        <v>0.10629</v>
      </c>
      <c r="F6" s="50" t="n">
        <v>0.10629</v>
      </c>
      <c r="G6" s="50" t="n">
        <v>0.10629</v>
      </c>
      <c r="H6" s="50" t="n">
        <v>0.10629</v>
      </c>
      <c r="I6" s="50" t="n">
        <v>0.10629</v>
      </c>
      <c r="J6" s="50" t="n">
        <v>0.10629</v>
      </c>
      <c r="K6" s="50" t="n">
        <v>0.10629</v>
      </c>
      <c r="L6" s="50" t="n">
        <v>0.10629</v>
      </c>
      <c r="M6" s="50" t="n">
        <v>0.10629</v>
      </c>
      <c r="N6" s="50" t="n">
        <v>0.10629</v>
      </c>
      <c r="O6" s="50" t="n">
        <v>0.1063</v>
      </c>
      <c r="P6" s="50" t="n">
        <v>0.10632</v>
      </c>
      <c r="Q6" s="50" t="n">
        <v>0.10635</v>
      </c>
      <c r="R6" s="50" t="n">
        <v>0.10642</v>
      </c>
      <c r="S6" s="50" t="n">
        <v>0.10655</v>
      </c>
      <c r="T6" s="50" t="n">
        <v>0.10679</v>
      </c>
      <c r="U6" s="50" t="n">
        <v>0.10723</v>
      </c>
      <c r="V6" s="50" t="n">
        <v>0.10804</v>
      </c>
      <c r="W6" s="50" t="n">
        <v>0.10953</v>
      </c>
      <c r="X6" s="50" t="n">
        <v>0.11102</v>
      </c>
      <c r="Y6" s="50" t="n">
        <v>0.11251</v>
      </c>
      <c r="Z6" s="50" t="n">
        <v>0.11401</v>
      </c>
      <c r="AA6" s="50" t="n">
        <v>0.11553</v>
      </c>
      <c r="AB6" s="50" t="n">
        <v>0.11706</v>
      </c>
      <c r="AC6" s="50" t="n">
        <v>0.11859</v>
      </c>
      <c r="AD6" s="50" t="n">
        <v>0.12012</v>
      </c>
      <c r="AE6" s="50" t="n">
        <v>0.12167</v>
      </c>
      <c r="AF6" s="50" t="n">
        <v>0.12322</v>
      </c>
    </row>
    <row r="7" ht="14.25" customHeight="1" s="74">
      <c r="A7" s="7" t="inlineStr">
        <is>
          <t>solar PV</t>
        </is>
      </c>
      <c r="B7" s="50" t="n">
        <v>65.12461</v>
      </c>
      <c r="C7" s="50" t="n">
        <v>74.99208</v>
      </c>
      <c r="D7" s="50" t="n">
        <v>83.57422</v>
      </c>
      <c r="E7" s="50" t="n">
        <v>91.95434</v>
      </c>
      <c r="F7" s="50" t="n">
        <v>100.18837</v>
      </c>
      <c r="G7" s="50" t="n">
        <v>108.54016</v>
      </c>
      <c r="H7" s="50" t="n">
        <v>117.16732</v>
      </c>
      <c r="I7" s="50" t="n">
        <v>125.85642</v>
      </c>
      <c r="J7" s="50" t="n">
        <v>134.67119</v>
      </c>
      <c r="K7" s="50" t="n">
        <v>143.56048</v>
      </c>
      <c r="L7" s="50" t="n">
        <v>152.69005</v>
      </c>
      <c r="M7" s="50" t="n">
        <v>162.10414</v>
      </c>
      <c r="N7" s="50" t="n">
        <v>171.77186</v>
      </c>
      <c r="O7" s="50" t="n">
        <v>181.6408</v>
      </c>
      <c r="P7" s="50" t="n">
        <v>191.79331</v>
      </c>
      <c r="Q7" s="50" t="n">
        <v>202.13621</v>
      </c>
      <c r="R7" s="50" t="n">
        <v>212.73178</v>
      </c>
      <c r="S7" s="50" t="n">
        <v>223.50079</v>
      </c>
      <c r="T7" s="50" t="n">
        <v>234.50299</v>
      </c>
      <c r="U7" s="50" t="n">
        <v>245.68346</v>
      </c>
      <c r="V7" s="50" t="n">
        <v>257.16899</v>
      </c>
      <c r="W7" s="50" t="n">
        <v>268.89015</v>
      </c>
      <c r="X7" s="50" t="n">
        <v>280.93124</v>
      </c>
      <c r="Y7" s="50" t="n">
        <v>293.34747</v>
      </c>
      <c r="Z7" s="50" t="n">
        <v>306.08472</v>
      </c>
      <c r="AA7" s="50" t="n">
        <v>319.28252</v>
      </c>
      <c r="AB7" s="50" t="n">
        <v>332.85375</v>
      </c>
      <c r="AC7" s="50" t="n">
        <v>346.7597</v>
      </c>
      <c r="AD7" s="50" t="n">
        <v>361.147</v>
      </c>
      <c r="AE7" s="50" t="n">
        <v>375.89655</v>
      </c>
      <c r="AF7" s="50" t="n">
        <v>390.99911</v>
      </c>
    </row>
    <row r="8" ht="14.25" customHeight="1" s="74">
      <c r="A8" s="7" t="inlineStr">
        <is>
          <t>solar thermal</t>
        </is>
      </c>
      <c r="B8" s="50" t="n">
        <v>0</v>
      </c>
      <c r="C8" s="50" t="n">
        <v>0</v>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row>
    <row r="9" ht="14.25" customHeight="1" s="74">
      <c r="A9" s="7" t="inlineStr">
        <is>
          <t>biomass</t>
        </is>
      </c>
      <c r="B9" s="50" t="n">
        <v>0</v>
      </c>
      <c r="C9" s="50" t="n">
        <v>0</v>
      </c>
      <c r="D9" s="50" t="n">
        <v>0</v>
      </c>
      <c r="E9" s="50" t="n">
        <v>0</v>
      </c>
      <c r="F9" s="50" t="n">
        <v>0</v>
      </c>
      <c r="G9" s="50" t="n">
        <v>0</v>
      </c>
      <c r="H9" s="50" t="n">
        <v>0</v>
      </c>
      <c r="I9" s="50" t="n">
        <v>0</v>
      </c>
      <c r="J9" s="50" t="n">
        <v>0</v>
      </c>
      <c r="K9" s="50" t="n">
        <v>0</v>
      </c>
      <c r="L9" s="50" t="n">
        <v>0</v>
      </c>
      <c r="M9" s="50" t="n">
        <v>0</v>
      </c>
      <c r="N9" s="50" t="n">
        <v>0</v>
      </c>
      <c r="O9" s="50" t="n">
        <v>0</v>
      </c>
      <c r="P9" s="50" t="n">
        <v>0</v>
      </c>
      <c r="Q9" s="50" t="n">
        <v>0</v>
      </c>
      <c r="R9" s="50" t="n">
        <v>0</v>
      </c>
      <c r="S9" s="50" t="n">
        <v>0</v>
      </c>
      <c r="T9" s="50" t="n">
        <v>0</v>
      </c>
      <c r="U9" s="50" t="n">
        <v>0</v>
      </c>
      <c r="V9" s="50" t="n">
        <v>0</v>
      </c>
      <c r="W9" s="50" t="n">
        <v>0</v>
      </c>
      <c r="X9" s="50" t="n">
        <v>0</v>
      </c>
      <c r="Y9" s="50" t="n">
        <v>0</v>
      </c>
      <c r="Z9" s="50" t="n">
        <v>0</v>
      </c>
      <c r="AA9" s="50" t="n">
        <v>0</v>
      </c>
      <c r="AB9" s="50" t="n">
        <v>0</v>
      </c>
      <c r="AC9" s="50" t="n">
        <v>0</v>
      </c>
      <c r="AD9" s="50" t="n">
        <v>0</v>
      </c>
      <c r="AE9" s="50" t="n">
        <v>0</v>
      </c>
      <c r="AF9" s="50" t="n">
        <v>0</v>
      </c>
    </row>
    <row r="10" ht="14.25" customHeight="1" s="74">
      <c r="A10" s="7" t="inlineStr">
        <is>
          <t>geothermal</t>
        </is>
      </c>
      <c r="B10" s="50" t="n">
        <v>0</v>
      </c>
      <c r="C10" s="50" t="n">
        <v>0</v>
      </c>
      <c r="D10" s="50" t="n">
        <v>0</v>
      </c>
      <c r="E10" s="50" t="n">
        <v>0</v>
      </c>
      <c r="F10" s="50" t="n">
        <v>0</v>
      </c>
      <c r="G10" s="50" t="n">
        <v>0</v>
      </c>
      <c r="H10" s="50" t="n">
        <v>0</v>
      </c>
      <c r="I10" s="50" t="n">
        <v>0</v>
      </c>
      <c r="J10" s="50" t="n">
        <v>0</v>
      </c>
      <c r="K10" s="50" t="n">
        <v>0</v>
      </c>
      <c r="L10" s="50" t="n">
        <v>0</v>
      </c>
      <c r="M10" s="50" t="n">
        <v>0</v>
      </c>
      <c r="N10" s="50" t="n">
        <v>0</v>
      </c>
      <c r="O10" s="50" t="n">
        <v>0</v>
      </c>
      <c r="P10" s="50" t="n">
        <v>0</v>
      </c>
      <c r="Q10" s="50" t="n">
        <v>0</v>
      </c>
      <c r="R10" s="50" t="n">
        <v>0</v>
      </c>
      <c r="S10" s="50" t="n">
        <v>0</v>
      </c>
      <c r="T10" s="50" t="n">
        <v>0</v>
      </c>
      <c r="U10" s="50" t="n">
        <v>0</v>
      </c>
      <c r="V10" s="50" t="n">
        <v>0</v>
      </c>
      <c r="W10" s="50" t="n">
        <v>0</v>
      </c>
      <c r="X10" s="50" t="n">
        <v>0</v>
      </c>
      <c r="Y10" s="50" t="n">
        <v>0</v>
      </c>
      <c r="Z10" s="50" t="n">
        <v>0</v>
      </c>
      <c r="AA10" s="50" t="n">
        <v>0</v>
      </c>
      <c r="AB10" s="50" t="n">
        <v>0</v>
      </c>
      <c r="AC10" s="50" t="n">
        <v>0</v>
      </c>
      <c r="AD10" s="50" t="n">
        <v>0</v>
      </c>
      <c r="AE10" s="50" t="n">
        <v>0</v>
      </c>
      <c r="AF10" s="50" t="n">
        <v>0</v>
      </c>
    </row>
    <row r="11" ht="14.25" customHeight="1" s="74">
      <c r="A11" s="7" t="inlineStr">
        <is>
          <t>petroleum</t>
        </is>
      </c>
      <c r="B11" s="50" t="n">
        <v>0</v>
      </c>
      <c r="C11" s="50" t="n">
        <v>0</v>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row>
    <row r="12" ht="14.25" customHeight="1" s="74">
      <c r="A12" s="7" t="inlineStr">
        <is>
          <t>natural gas peaker</t>
        </is>
      </c>
      <c r="B12" s="50" t="n">
        <v>0</v>
      </c>
      <c r="C12" s="50" t="n">
        <v>0</v>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row>
    <row r="13" ht="14.25" customHeight="1" s="74">
      <c r="A13" s="7" t="inlineStr">
        <is>
          <t>lignite</t>
        </is>
      </c>
      <c r="B13" s="50" t="n">
        <v>0</v>
      </c>
      <c r="C13" s="50" t="n">
        <v>0</v>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row>
    <row r="14" ht="14.25" customHeight="1" s="74">
      <c r="A14" s="7" t="inlineStr">
        <is>
          <t>offshore wind</t>
        </is>
      </c>
      <c r="B14" s="50" t="n">
        <v>0</v>
      </c>
      <c r="C14" s="50" t="n">
        <v>0</v>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row>
    <row r="15" ht="14.25" customHeight="1" s="74">
      <c r="A15" s="7" t="inlineStr">
        <is>
          <t>crude oil</t>
        </is>
      </c>
      <c r="B15" s="50" t="n">
        <v>0</v>
      </c>
      <c r="C15" s="50" t="n">
        <v>0</v>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row>
    <row r="16" ht="14.25" customHeight="1" s="74">
      <c r="A16" s="7" t="inlineStr">
        <is>
          <t>heavy or residual fuel oil</t>
        </is>
      </c>
      <c r="B16" s="50" t="n">
        <v>0</v>
      </c>
      <c r="C16" s="50" t="n">
        <v>0</v>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row>
    <row r="17" ht="14.25" customHeight="1" s="74">
      <c r="A17" s="7" t="inlineStr">
        <is>
          <t>municipal solid waste</t>
        </is>
      </c>
      <c r="B17" s="50" t="n">
        <v>0</v>
      </c>
      <c r="C17" s="50" t="n">
        <v>0</v>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10.xml><?xml version="1.0" encoding="utf-8"?>
<worksheet xmlns="http://schemas.openxmlformats.org/spreadsheetml/2006/main">
  <sheetPr>
    <outlinePr summaryBelow="1" summaryRight="1"/>
    <pageSetUpPr/>
  </sheetPr>
  <dimension ref="A1:AF1000"/>
  <sheetViews>
    <sheetView workbookViewId="0">
      <selection activeCell="G23" sqref="G23"/>
    </sheetView>
  </sheetViews>
  <sheetFormatPr baseColWidth="10" defaultColWidth="12.6640625" defaultRowHeight="15" customHeight="1"/>
  <cols>
    <col width="20.5" customWidth="1" style="74" min="1" max="1"/>
    <col width="8.33203125" customWidth="1" style="74" min="2"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t="n">
        <v>0</v>
      </c>
      <c r="C2" s="62" t="n">
        <v>0</v>
      </c>
      <c r="D2" s="62" t="n">
        <v>0</v>
      </c>
      <c r="E2" s="62" t="n">
        <v>0</v>
      </c>
      <c r="F2" s="62" t="n">
        <v>0</v>
      </c>
      <c r="G2" s="62" t="n">
        <v>0</v>
      </c>
      <c r="H2" s="62" t="n">
        <v>0</v>
      </c>
      <c r="I2" s="62" t="n">
        <v>0</v>
      </c>
      <c r="J2" s="62" t="n">
        <v>0</v>
      </c>
      <c r="K2" s="62" t="n">
        <v>0</v>
      </c>
      <c r="L2" s="62" t="n">
        <v>0</v>
      </c>
      <c r="M2" s="62" t="n">
        <v>0</v>
      </c>
      <c r="N2" s="62" t="n">
        <v>0</v>
      </c>
      <c r="O2" s="62" t="n">
        <v>0</v>
      </c>
      <c r="P2" s="62" t="n">
        <v>0</v>
      </c>
      <c r="Q2" s="62" t="n">
        <v>0</v>
      </c>
      <c r="R2" s="62" t="n">
        <v>0</v>
      </c>
      <c r="S2" s="62" t="n">
        <v>0</v>
      </c>
      <c r="T2" s="62" t="n">
        <v>0</v>
      </c>
      <c r="U2" s="62" t="n">
        <v>0</v>
      </c>
      <c r="V2" s="62" t="n">
        <v>0</v>
      </c>
      <c r="W2" s="62" t="n">
        <v>0</v>
      </c>
      <c r="X2" s="62" t="n">
        <v>0</v>
      </c>
      <c r="Y2" s="62" t="n">
        <v>0</v>
      </c>
      <c r="Z2" s="62" t="n">
        <v>0</v>
      </c>
      <c r="AA2" s="62" t="n">
        <v>0</v>
      </c>
      <c r="AB2" s="62" t="n">
        <v>0</v>
      </c>
      <c r="AC2" s="62" t="n">
        <v>0</v>
      </c>
      <c r="AD2" s="62" t="n">
        <v>0</v>
      </c>
      <c r="AE2" s="62" t="n">
        <v>0</v>
      </c>
      <c r="AF2" s="62" t="n">
        <v>0</v>
      </c>
    </row>
    <row r="3" ht="14.25" customHeight="1" s="74">
      <c r="A3" s="7" t="inlineStr">
        <is>
          <t>natural gas nonpeaker</t>
        </is>
      </c>
      <c r="B3" s="62" t="n">
        <v>0</v>
      </c>
      <c r="C3" s="62" t="n">
        <v>0</v>
      </c>
      <c r="D3" s="62" t="n">
        <v>0</v>
      </c>
      <c r="E3" s="62" t="n">
        <v>0</v>
      </c>
      <c r="F3" s="62" t="n">
        <v>0</v>
      </c>
      <c r="G3" s="62" t="n">
        <v>0</v>
      </c>
      <c r="H3" s="62" t="n">
        <v>0</v>
      </c>
      <c r="I3" s="62" t="n">
        <v>0</v>
      </c>
      <c r="J3" s="62" t="n">
        <v>0</v>
      </c>
      <c r="K3" s="62" t="n">
        <v>0</v>
      </c>
      <c r="L3" s="62" t="n">
        <v>0</v>
      </c>
      <c r="M3" s="62" t="n">
        <v>0</v>
      </c>
      <c r="N3" s="62" t="n">
        <v>0</v>
      </c>
      <c r="O3" s="62" t="n">
        <v>0</v>
      </c>
      <c r="P3" s="62" t="n">
        <v>0</v>
      </c>
      <c r="Q3" s="62" t="n">
        <v>1e-05</v>
      </c>
      <c r="R3" s="62" t="n">
        <v>3e-05</v>
      </c>
      <c r="S3" s="62" t="n">
        <v>5e-05</v>
      </c>
      <c r="T3" s="62" t="n">
        <v>0.0001</v>
      </c>
      <c r="U3" s="62" t="n">
        <v>0.00018</v>
      </c>
      <c r="V3" s="62" t="n">
        <v>0.00035</v>
      </c>
      <c r="W3" s="62" t="n">
        <v>0.0006400000000000001</v>
      </c>
      <c r="X3" s="62" t="n">
        <v>0.00094</v>
      </c>
      <c r="Y3" s="62" t="n">
        <v>0.00123</v>
      </c>
      <c r="Z3" s="62" t="n">
        <v>0.00153</v>
      </c>
      <c r="AA3" s="62" t="n">
        <v>0.00183</v>
      </c>
      <c r="AB3" s="62" t="n">
        <v>0.00213</v>
      </c>
      <c r="AC3" s="62" t="n">
        <v>0.00243</v>
      </c>
      <c r="AD3" s="62" t="n">
        <v>0.00273</v>
      </c>
      <c r="AE3" s="62" t="n">
        <v>0.00303</v>
      </c>
      <c r="AF3" s="62" t="n">
        <v>0.00333</v>
      </c>
    </row>
    <row r="4" ht="14.25" customHeight="1" s="74">
      <c r="A4" s="7" t="inlineStr">
        <is>
          <t>nuclear</t>
        </is>
      </c>
      <c r="B4" s="62" t="n">
        <v>0</v>
      </c>
      <c r="C4" s="62" t="n">
        <v>0</v>
      </c>
      <c r="D4" s="62" t="n">
        <v>0</v>
      </c>
      <c r="E4" s="62" t="n">
        <v>0</v>
      </c>
      <c r="F4" s="62" t="n">
        <v>0</v>
      </c>
      <c r="G4" s="62" t="n">
        <v>0</v>
      </c>
      <c r="H4" s="62" t="n">
        <v>0</v>
      </c>
      <c r="I4" s="62" t="n">
        <v>0</v>
      </c>
      <c r="J4" s="62" t="n">
        <v>0</v>
      </c>
      <c r="K4" s="62" t="n">
        <v>0</v>
      </c>
      <c r="L4" s="62" t="n">
        <v>0</v>
      </c>
      <c r="M4" s="62" t="n">
        <v>0</v>
      </c>
      <c r="N4" s="62" t="n">
        <v>0</v>
      </c>
      <c r="O4" s="62" t="n">
        <v>0</v>
      </c>
      <c r="P4" s="62" t="n">
        <v>0</v>
      </c>
      <c r="Q4" s="62" t="n">
        <v>0</v>
      </c>
      <c r="R4" s="62" t="n">
        <v>0</v>
      </c>
      <c r="S4" s="62" t="n">
        <v>0</v>
      </c>
      <c r="T4" s="62" t="n">
        <v>0</v>
      </c>
      <c r="U4" s="62" t="n">
        <v>0</v>
      </c>
      <c r="V4" s="62" t="n">
        <v>0</v>
      </c>
      <c r="W4" s="62" t="n">
        <v>0</v>
      </c>
      <c r="X4" s="62" t="n">
        <v>0</v>
      </c>
      <c r="Y4" s="62" t="n">
        <v>0</v>
      </c>
      <c r="Z4" s="62" t="n">
        <v>0</v>
      </c>
      <c r="AA4" s="62" t="n">
        <v>0</v>
      </c>
      <c r="AB4" s="62" t="n">
        <v>0</v>
      </c>
      <c r="AC4" s="62" t="n">
        <v>0</v>
      </c>
      <c r="AD4" s="62" t="n">
        <v>0</v>
      </c>
      <c r="AE4" s="62" t="n">
        <v>0</v>
      </c>
      <c r="AF4" s="62" t="n">
        <v>0</v>
      </c>
    </row>
    <row r="5" ht="14.25" customHeight="1" s="74">
      <c r="A5" s="7" t="inlineStr">
        <is>
          <t>hydro</t>
        </is>
      </c>
      <c r="B5" s="62" t="n">
        <v>0</v>
      </c>
      <c r="C5" s="62" t="n">
        <v>0</v>
      </c>
      <c r="D5" s="62" t="n">
        <v>0</v>
      </c>
      <c r="E5" s="62" t="n">
        <v>0</v>
      </c>
      <c r="F5" s="62" t="n">
        <v>0</v>
      </c>
      <c r="G5" s="62" t="n">
        <v>0</v>
      </c>
      <c r="H5" s="62" t="n">
        <v>0</v>
      </c>
      <c r="I5" s="62" t="n">
        <v>0</v>
      </c>
      <c r="J5" s="62" t="n">
        <v>0</v>
      </c>
      <c r="K5" s="62" t="n">
        <v>0</v>
      </c>
      <c r="L5" s="62" t="n">
        <v>0</v>
      </c>
      <c r="M5" s="62" t="n">
        <v>0</v>
      </c>
      <c r="N5" s="62" t="n">
        <v>0</v>
      </c>
      <c r="O5" s="62" t="n">
        <v>0</v>
      </c>
      <c r="P5" s="62" t="n">
        <v>0</v>
      </c>
      <c r="Q5" s="62" t="n">
        <v>0</v>
      </c>
      <c r="R5" s="62" t="n">
        <v>0</v>
      </c>
      <c r="S5" s="62" t="n">
        <v>0</v>
      </c>
      <c r="T5" s="62" t="n">
        <v>0</v>
      </c>
      <c r="U5" s="62" t="n">
        <v>0</v>
      </c>
      <c r="V5" s="62" t="n">
        <v>0</v>
      </c>
      <c r="W5" s="62" t="n">
        <v>0</v>
      </c>
      <c r="X5" s="62" t="n">
        <v>0</v>
      </c>
      <c r="Y5" s="62" t="n">
        <v>0</v>
      </c>
      <c r="Z5" s="62" t="n">
        <v>0</v>
      </c>
      <c r="AA5" s="62" t="n">
        <v>0</v>
      </c>
      <c r="AB5" s="62" t="n">
        <v>0</v>
      </c>
      <c r="AC5" s="62" t="n">
        <v>0</v>
      </c>
      <c r="AD5" s="62" t="n">
        <v>0</v>
      </c>
      <c r="AE5" s="62" t="n">
        <v>0</v>
      </c>
      <c r="AF5" s="62" t="n">
        <v>0</v>
      </c>
    </row>
    <row r="6" ht="14.25" customHeight="1" s="74">
      <c r="A6" s="7" t="inlineStr">
        <is>
          <t>onshore wind</t>
        </is>
      </c>
      <c r="B6" s="62" t="n">
        <v>3.20073</v>
      </c>
      <c r="C6" s="62" t="n">
        <v>0.00176</v>
      </c>
      <c r="D6" s="62" t="n">
        <v>0.00178</v>
      </c>
      <c r="E6" s="62" t="n">
        <v>0.00178</v>
      </c>
      <c r="F6" s="62" t="n">
        <v>0.00178</v>
      </c>
      <c r="G6" s="62" t="n">
        <v>0.00178</v>
      </c>
      <c r="H6" s="62" t="n">
        <v>0.00178</v>
      </c>
      <c r="I6" s="62" t="n">
        <v>0.00179</v>
      </c>
      <c r="J6" s="62" t="n">
        <v>0.00179</v>
      </c>
      <c r="K6" s="62" t="n">
        <v>0.00179</v>
      </c>
      <c r="L6" s="62" t="n">
        <v>0.00179</v>
      </c>
      <c r="M6" s="62" t="n">
        <v>0.0018</v>
      </c>
      <c r="N6" s="62" t="n">
        <v>0.0018</v>
      </c>
      <c r="O6" s="62" t="n">
        <v>0.0018</v>
      </c>
      <c r="P6" s="62" t="n">
        <v>0.00181</v>
      </c>
      <c r="Q6" s="62" t="n">
        <v>0.00181</v>
      </c>
      <c r="R6" s="62" t="n">
        <v>0.00181</v>
      </c>
      <c r="S6" s="62" t="n">
        <v>0.00181</v>
      </c>
      <c r="T6" s="62" t="n">
        <v>0.00181</v>
      </c>
      <c r="U6" s="62" t="n">
        <v>0.00181</v>
      </c>
      <c r="V6" s="62" t="n">
        <v>0.00181</v>
      </c>
      <c r="W6" s="62" t="n">
        <v>0.00181</v>
      </c>
      <c r="X6" s="62" t="n">
        <v>0.00182</v>
      </c>
      <c r="Y6" s="62" t="n">
        <v>0.00182</v>
      </c>
      <c r="Z6" s="62" t="n">
        <v>0.00182</v>
      </c>
      <c r="AA6" s="62" t="n">
        <v>0.00182</v>
      </c>
      <c r="AB6" s="62" t="n">
        <v>0.00182</v>
      </c>
      <c r="AC6" s="62" t="n">
        <v>0.00182</v>
      </c>
      <c r="AD6" s="62" t="n">
        <v>0.00183</v>
      </c>
      <c r="AE6" s="62" t="n">
        <v>0.00183</v>
      </c>
      <c r="AF6" s="62" t="n">
        <v>0.00183</v>
      </c>
    </row>
    <row r="7" ht="14.25" customHeight="1" s="74">
      <c r="A7" s="7" t="inlineStr">
        <is>
          <t>solar PV</t>
        </is>
      </c>
      <c r="B7" s="62" t="n">
        <v>44.68693</v>
      </c>
      <c r="C7" s="62" t="n">
        <v>39.41611</v>
      </c>
      <c r="D7" s="62" t="n">
        <v>44.92519</v>
      </c>
      <c r="E7" s="62" t="n">
        <v>50.54634</v>
      </c>
      <c r="F7" s="62" t="n">
        <v>56.07027</v>
      </c>
      <c r="G7" s="62" t="n">
        <v>59.89351</v>
      </c>
      <c r="H7" s="62" t="n">
        <v>64.20057</v>
      </c>
      <c r="I7" s="62" t="n">
        <v>67.85028</v>
      </c>
      <c r="J7" s="62" t="n">
        <v>70.53376</v>
      </c>
      <c r="K7" s="62" t="n">
        <v>74.02972</v>
      </c>
      <c r="L7" s="62" t="n">
        <v>76.1249</v>
      </c>
      <c r="M7" s="62" t="n">
        <v>79.41866</v>
      </c>
      <c r="N7" s="62" t="n">
        <v>81.63514000000001</v>
      </c>
      <c r="O7" s="62" t="n">
        <v>84.97714000000001</v>
      </c>
      <c r="P7" s="62" t="n">
        <v>87.90508</v>
      </c>
      <c r="Q7" s="62" t="n">
        <v>89.09592000000001</v>
      </c>
      <c r="R7" s="62" t="n">
        <v>92.37063000000001</v>
      </c>
      <c r="S7" s="62" t="n">
        <v>95.63075000000001</v>
      </c>
      <c r="T7" s="62" t="n">
        <v>98.56249</v>
      </c>
      <c r="U7" s="62" t="n">
        <v>103.15438</v>
      </c>
      <c r="V7" s="62" t="n">
        <v>107.3569</v>
      </c>
      <c r="W7" s="62" t="n">
        <v>110.76252</v>
      </c>
      <c r="X7" s="62" t="n">
        <v>114.87469</v>
      </c>
      <c r="Y7" s="62" t="n">
        <v>119.4482</v>
      </c>
      <c r="Z7" s="62" t="n">
        <v>122.1692</v>
      </c>
      <c r="AA7" s="62" t="n">
        <v>126.90741</v>
      </c>
      <c r="AB7" s="62" t="n">
        <v>133.02032</v>
      </c>
      <c r="AC7" s="62" t="n">
        <v>136.45867</v>
      </c>
      <c r="AD7" s="62" t="n">
        <v>141.71668</v>
      </c>
      <c r="AE7" s="62" t="n">
        <v>146.01836</v>
      </c>
      <c r="AF7" s="62" t="n">
        <v>149.02706</v>
      </c>
    </row>
    <row r="8" ht="14.25" customHeight="1" s="74">
      <c r="A8" s="7" t="inlineStr">
        <is>
          <t>solar thermal</t>
        </is>
      </c>
      <c r="B8" s="62" t="n">
        <v>0</v>
      </c>
      <c r="C8" s="62" t="n">
        <v>0</v>
      </c>
      <c r="D8" s="62" t="n">
        <v>0</v>
      </c>
      <c r="E8" s="62" t="n">
        <v>0</v>
      </c>
      <c r="F8" s="62" t="n">
        <v>0</v>
      </c>
      <c r="G8" s="62" t="n">
        <v>0</v>
      </c>
      <c r="H8" s="62" t="n">
        <v>0</v>
      </c>
      <c r="I8" s="62" t="n">
        <v>0</v>
      </c>
      <c r="J8" s="62" t="n">
        <v>0</v>
      </c>
      <c r="K8" s="62" t="n">
        <v>0</v>
      </c>
      <c r="L8" s="62" t="n">
        <v>0</v>
      </c>
      <c r="M8" s="62" t="n">
        <v>0</v>
      </c>
      <c r="N8" s="62" t="n">
        <v>0</v>
      </c>
      <c r="O8" s="62" t="n">
        <v>0</v>
      </c>
      <c r="P8" s="62" t="n">
        <v>0</v>
      </c>
      <c r="Q8" s="62" t="n">
        <v>0</v>
      </c>
      <c r="R8" s="62" t="n">
        <v>0</v>
      </c>
      <c r="S8" s="62" t="n">
        <v>0</v>
      </c>
      <c r="T8" s="62" t="n">
        <v>0</v>
      </c>
      <c r="U8" s="62" t="n">
        <v>0</v>
      </c>
      <c r="V8" s="62" t="n">
        <v>0</v>
      </c>
      <c r="W8" s="62" t="n">
        <v>0</v>
      </c>
      <c r="X8" s="62" t="n">
        <v>0</v>
      </c>
      <c r="Y8" s="62" t="n">
        <v>0</v>
      </c>
      <c r="Z8" s="62" t="n">
        <v>0</v>
      </c>
      <c r="AA8" s="62" t="n">
        <v>0</v>
      </c>
      <c r="AB8" s="62" t="n">
        <v>0</v>
      </c>
      <c r="AC8" s="62" t="n">
        <v>0</v>
      </c>
      <c r="AD8" s="62" t="n">
        <v>0</v>
      </c>
      <c r="AE8" s="62" t="n">
        <v>0</v>
      </c>
      <c r="AF8" s="62" t="n">
        <v>0</v>
      </c>
    </row>
    <row r="9" ht="14.25" customHeight="1" s="74">
      <c r="A9" s="7" t="inlineStr">
        <is>
          <t>biomass</t>
        </is>
      </c>
      <c r="B9" s="62" t="n">
        <v>0</v>
      </c>
      <c r="C9" s="62" t="n">
        <v>0</v>
      </c>
      <c r="D9" s="62" t="n">
        <v>0</v>
      </c>
      <c r="E9" s="62" t="n">
        <v>0</v>
      </c>
      <c r="F9" s="62" t="n">
        <v>0</v>
      </c>
      <c r="G9" s="62" t="n">
        <v>0</v>
      </c>
      <c r="H9" s="62" t="n">
        <v>0</v>
      </c>
      <c r="I9" s="62" t="n">
        <v>0</v>
      </c>
      <c r="J9" s="62" t="n">
        <v>0</v>
      </c>
      <c r="K9" s="62" t="n">
        <v>0</v>
      </c>
      <c r="L9" s="62" t="n">
        <v>0</v>
      </c>
      <c r="M9" s="62" t="n">
        <v>0</v>
      </c>
      <c r="N9" s="62" t="n">
        <v>0</v>
      </c>
      <c r="O9" s="62" t="n">
        <v>0</v>
      </c>
      <c r="P9" s="62" t="n">
        <v>0</v>
      </c>
      <c r="Q9" s="62" t="n">
        <v>0</v>
      </c>
      <c r="R9" s="62" t="n">
        <v>0</v>
      </c>
      <c r="S9" s="62" t="n">
        <v>0</v>
      </c>
      <c r="T9" s="62" t="n">
        <v>0</v>
      </c>
      <c r="U9" s="62" t="n">
        <v>0</v>
      </c>
      <c r="V9" s="62" t="n">
        <v>0</v>
      </c>
      <c r="W9" s="62" t="n">
        <v>0</v>
      </c>
      <c r="X9" s="62" t="n">
        <v>0</v>
      </c>
      <c r="Y9" s="62" t="n">
        <v>0</v>
      </c>
      <c r="Z9" s="62" t="n">
        <v>0</v>
      </c>
      <c r="AA9" s="62" t="n">
        <v>0</v>
      </c>
      <c r="AB9" s="62" t="n">
        <v>0</v>
      </c>
      <c r="AC9" s="62" t="n">
        <v>0</v>
      </c>
      <c r="AD9" s="62" t="n">
        <v>0</v>
      </c>
      <c r="AE9" s="62" t="n">
        <v>0</v>
      </c>
      <c r="AF9" s="62" t="n">
        <v>0</v>
      </c>
    </row>
    <row r="10" ht="14.25" customHeight="1" s="74">
      <c r="A10" s="7" t="inlineStr">
        <is>
          <t>geothermal</t>
        </is>
      </c>
      <c r="B10" s="62" t="n">
        <v>0</v>
      </c>
      <c r="C10" s="62" t="n">
        <v>0</v>
      </c>
      <c r="D10" s="62" t="n">
        <v>0</v>
      </c>
      <c r="E10" s="62" t="n">
        <v>0</v>
      </c>
      <c r="F10" s="62" t="n">
        <v>0</v>
      </c>
      <c r="G10" s="62" t="n">
        <v>0</v>
      </c>
      <c r="H10" s="62" t="n">
        <v>0</v>
      </c>
      <c r="I10" s="62" t="n">
        <v>0</v>
      </c>
      <c r="J10" s="62" t="n">
        <v>0</v>
      </c>
      <c r="K10" s="62" t="n">
        <v>0</v>
      </c>
      <c r="L10" s="62" t="n">
        <v>0</v>
      </c>
      <c r="M10" s="62" t="n">
        <v>0</v>
      </c>
      <c r="N10" s="62" t="n">
        <v>0</v>
      </c>
      <c r="O10" s="62" t="n">
        <v>0</v>
      </c>
      <c r="P10" s="62" t="n">
        <v>0</v>
      </c>
      <c r="Q10" s="62" t="n">
        <v>0</v>
      </c>
      <c r="R10" s="62" t="n">
        <v>0</v>
      </c>
      <c r="S10" s="62" t="n">
        <v>0</v>
      </c>
      <c r="T10" s="62" t="n">
        <v>0</v>
      </c>
      <c r="U10" s="62" t="n">
        <v>0</v>
      </c>
      <c r="V10" s="62" t="n">
        <v>0</v>
      </c>
      <c r="W10" s="62" t="n">
        <v>0</v>
      </c>
      <c r="X10" s="62" t="n">
        <v>0</v>
      </c>
      <c r="Y10" s="62" t="n">
        <v>0</v>
      </c>
      <c r="Z10" s="62" t="n">
        <v>0</v>
      </c>
      <c r="AA10" s="62" t="n">
        <v>0</v>
      </c>
      <c r="AB10" s="62" t="n">
        <v>0</v>
      </c>
      <c r="AC10" s="62" t="n">
        <v>0</v>
      </c>
      <c r="AD10" s="62" t="n">
        <v>0</v>
      </c>
      <c r="AE10" s="62" t="n">
        <v>0</v>
      </c>
      <c r="AF10" s="62" t="n">
        <v>0</v>
      </c>
    </row>
    <row r="11" ht="14.25" customHeight="1" s="74">
      <c r="A11" s="7" t="inlineStr">
        <is>
          <t>petroleum</t>
        </is>
      </c>
      <c r="B11" s="62" t="n">
        <v>0</v>
      </c>
      <c r="C11" s="62" t="n">
        <v>0</v>
      </c>
      <c r="D11" s="62" t="n">
        <v>0</v>
      </c>
      <c r="E11" s="62" t="n">
        <v>0</v>
      </c>
      <c r="F11" s="62" t="n">
        <v>0</v>
      </c>
      <c r="G11" s="62" t="n">
        <v>0</v>
      </c>
      <c r="H11" s="62" t="n">
        <v>0</v>
      </c>
      <c r="I11" s="62" t="n">
        <v>0</v>
      </c>
      <c r="J11" s="62" t="n">
        <v>0</v>
      </c>
      <c r="K11" s="62" t="n">
        <v>0</v>
      </c>
      <c r="L11" s="62" t="n">
        <v>0</v>
      </c>
      <c r="M11" s="62" t="n">
        <v>0</v>
      </c>
      <c r="N11" s="62" t="n">
        <v>0</v>
      </c>
      <c r="O11" s="62" t="n">
        <v>0</v>
      </c>
      <c r="P11" s="62" t="n">
        <v>0</v>
      </c>
      <c r="Q11" s="62" t="n">
        <v>0</v>
      </c>
      <c r="R11" s="62" t="n">
        <v>0</v>
      </c>
      <c r="S11" s="62" t="n">
        <v>0</v>
      </c>
      <c r="T11" s="62" t="n">
        <v>0</v>
      </c>
      <c r="U11" s="62" t="n">
        <v>0</v>
      </c>
      <c r="V11" s="62" t="n">
        <v>0</v>
      </c>
      <c r="W11" s="62" t="n">
        <v>0</v>
      </c>
      <c r="X11" s="62" t="n">
        <v>0</v>
      </c>
      <c r="Y11" s="62" t="n">
        <v>0</v>
      </c>
      <c r="Z11" s="62" t="n">
        <v>0</v>
      </c>
      <c r="AA11" s="62" t="n">
        <v>0</v>
      </c>
      <c r="AB11" s="62" t="n">
        <v>0</v>
      </c>
      <c r="AC11" s="62" t="n">
        <v>0</v>
      </c>
      <c r="AD11" s="62" t="n">
        <v>0</v>
      </c>
      <c r="AE11" s="62" t="n">
        <v>0</v>
      </c>
      <c r="AF11" s="62" t="n">
        <v>0</v>
      </c>
    </row>
    <row r="12" ht="14.25" customHeight="1" s="74">
      <c r="A12" s="7" t="inlineStr">
        <is>
          <t>natural gas peaker</t>
        </is>
      </c>
      <c r="B12" s="62" t="n">
        <v>0</v>
      </c>
      <c r="C12" s="62" t="n">
        <v>0</v>
      </c>
      <c r="D12" s="62" t="n">
        <v>0</v>
      </c>
      <c r="E12" s="62" t="n">
        <v>0</v>
      </c>
      <c r="F12" s="62" t="n">
        <v>0</v>
      </c>
      <c r="G12" s="62" t="n">
        <v>0</v>
      </c>
      <c r="H12" s="62" t="n">
        <v>0</v>
      </c>
      <c r="I12" s="62" t="n">
        <v>0</v>
      </c>
      <c r="J12" s="62" t="n">
        <v>0</v>
      </c>
      <c r="K12" s="62" t="n">
        <v>0</v>
      </c>
      <c r="L12" s="62" t="n">
        <v>0</v>
      </c>
      <c r="M12" s="62" t="n">
        <v>0</v>
      </c>
      <c r="N12" s="62" t="n">
        <v>0</v>
      </c>
      <c r="O12" s="62" t="n">
        <v>0</v>
      </c>
      <c r="P12" s="62" t="n">
        <v>0</v>
      </c>
      <c r="Q12" s="62" t="n">
        <v>0</v>
      </c>
      <c r="R12" s="62" t="n">
        <v>0</v>
      </c>
      <c r="S12" s="62" t="n">
        <v>0</v>
      </c>
      <c r="T12" s="62" t="n">
        <v>0</v>
      </c>
      <c r="U12" s="62" t="n">
        <v>0</v>
      </c>
      <c r="V12" s="62" t="n">
        <v>0</v>
      </c>
      <c r="W12" s="62" t="n">
        <v>0</v>
      </c>
      <c r="X12" s="62" t="n">
        <v>0</v>
      </c>
      <c r="Y12" s="62" t="n">
        <v>0</v>
      </c>
      <c r="Z12" s="62" t="n">
        <v>0</v>
      </c>
      <c r="AA12" s="62" t="n">
        <v>0</v>
      </c>
      <c r="AB12" s="62" t="n">
        <v>0</v>
      </c>
      <c r="AC12" s="62" t="n">
        <v>0</v>
      </c>
      <c r="AD12" s="62" t="n">
        <v>0</v>
      </c>
      <c r="AE12" s="62" t="n">
        <v>0</v>
      </c>
      <c r="AF12" s="62" t="n">
        <v>0</v>
      </c>
    </row>
    <row r="13" ht="14.25" customHeight="1" s="74">
      <c r="A13" s="7" t="inlineStr">
        <is>
          <t>lignite</t>
        </is>
      </c>
      <c r="B13" s="62" t="n">
        <v>0</v>
      </c>
      <c r="C13" s="62" t="n">
        <v>0</v>
      </c>
      <c r="D13" s="62" t="n">
        <v>0</v>
      </c>
      <c r="E13" s="62" t="n">
        <v>0</v>
      </c>
      <c r="F13" s="62" t="n">
        <v>0</v>
      </c>
      <c r="G13" s="62" t="n">
        <v>0</v>
      </c>
      <c r="H13" s="62" t="n">
        <v>0</v>
      </c>
      <c r="I13" s="62" t="n">
        <v>0</v>
      </c>
      <c r="J13" s="62" t="n">
        <v>0</v>
      </c>
      <c r="K13" s="62" t="n">
        <v>0</v>
      </c>
      <c r="L13" s="62" t="n">
        <v>0</v>
      </c>
      <c r="M13" s="62" t="n">
        <v>0</v>
      </c>
      <c r="N13" s="62" t="n">
        <v>0</v>
      </c>
      <c r="O13" s="62" t="n">
        <v>0</v>
      </c>
      <c r="P13" s="62" t="n">
        <v>0</v>
      </c>
      <c r="Q13" s="62" t="n">
        <v>0</v>
      </c>
      <c r="R13" s="62" t="n">
        <v>0</v>
      </c>
      <c r="S13" s="62" t="n">
        <v>0</v>
      </c>
      <c r="T13" s="62" t="n">
        <v>0</v>
      </c>
      <c r="U13" s="62" t="n">
        <v>0</v>
      </c>
      <c r="V13" s="62" t="n">
        <v>0</v>
      </c>
      <c r="W13" s="62" t="n">
        <v>0</v>
      </c>
      <c r="X13" s="62" t="n">
        <v>0</v>
      </c>
      <c r="Y13" s="62" t="n">
        <v>0</v>
      </c>
      <c r="Z13" s="62" t="n">
        <v>0</v>
      </c>
      <c r="AA13" s="62" t="n">
        <v>0</v>
      </c>
      <c r="AB13" s="62" t="n">
        <v>0</v>
      </c>
      <c r="AC13" s="62" t="n">
        <v>0</v>
      </c>
      <c r="AD13" s="62" t="n">
        <v>0</v>
      </c>
      <c r="AE13" s="62" t="n">
        <v>0</v>
      </c>
      <c r="AF13" s="62" t="n">
        <v>0</v>
      </c>
    </row>
    <row r="14" ht="14.25" customHeight="1" s="74">
      <c r="A14" s="7" t="inlineStr">
        <is>
          <t>offshore wind</t>
        </is>
      </c>
      <c r="B14" s="62" t="n">
        <v>0</v>
      </c>
      <c r="C14" s="62" t="n">
        <v>0</v>
      </c>
      <c r="D14" s="62" t="n">
        <v>0</v>
      </c>
      <c r="E14" s="62" t="n">
        <v>0</v>
      </c>
      <c r="F14" s="62" t="n">
        <v>0</v>
      </c>
      <c r="G14" s="62" t="n">
        <v>0</v>
      </c>
      <c r="H14" s="62" t="n">
        <v>0</v>
      </c>
      <c r="I14" s="62" t="n">
        <v>0</v>
      </c>
      <c r="J14" s="62" t="n">
        <v>0</v>
      </c>
      <c r="K14" s="62" t="n">
        <v>0</v>
      </c>
      <c r="L14" s="62" t="n">
        <v>0</v>
      </c>
      <c r="M14" s="62" t="n">
        <v>0</v>
      </c>
      <c r="N14" s="62" t="n">
        <v>0</v>
      </c>
      <c r="O14" s="62" t="n">
        <v>0</v>
      </c>
      <c r="P14" s="62" t="n">
        <v>0</v>
      </c>
      <c r="Q14" s="62" t="n">
        <v>0</v>
      </c>
      <c r="R14" s="62" t="n">
        <v>0</v>
      </c>
      <c r="S14" s="62" t="n">
        <v>0</v>
      </c>
      <c r="T14" s="62" t="n">
        <v>0</v>
      </c>
      <c r="U14" s="62" t="n">
        <v>0</v>
      </c>
      <c r="V14" s="62" t="n">
        <v>0</v>
      </c>
      <c r="W14" s="62" t="n">
        <v>0</v>
      </c>
      <c r="X14" s="62" t="n">
        <v>0</v>
      </c>
      <c r="Y14" s="62" t="n">
        <v>0</v>
      </c>
      <c r="Z14" s="62" t="n">
        <v>0</v>
      </c>
      <c r="AA14" s="62" t="n">
        <v>0</v>
      </c>
      <c r="AB14" s="62" t="n">
        <v>0</v>
      </c>
      <c r="AC14" s="62" t="n">
        <v>0</v>
      </c>
      <c r="AD14" s="62" t="n">
        <v>0</v>
      </c>
      <c r="AE14" s="62" t="n">
        <v>0</v>
      </c>
      <c r="AF14" s="62" t="n">
        <v>0</v>
      </c>
    </row>
    <row r="15" ht="14.25" customHeight="1" s="74">
      <c r="A15" s="7" t="inlineStr">
        <is>
          <t>crude oil</t>
        </is>
      </c>
      <c r="B15" s="62" t="n">
        <v>0</v>
      </c>
      <c r="C15" s="62" t="n">
        <v>0</v>
      </c>
      <c r="D15" s="62" t="n">
        <v>0</v>
      </c>
      <c r="E15" s="62" t="n">
        <v>0</v>
      </c>
      <c r="F15" s="62" t="n">
        <v>0</v>
      </c>
      <c r="G15" s="62" t="n">
        <v>0</v>
      </c>
      <c r="H15" s="62" t="n">
        <v>0</v>
      </c>
      <c r="I15" s="62" t="n">
        <v>0</v>
      </c>
      <c r="J15" s="62" t="n">
        <v>0</v>
      </c>
      <c r="K15" s="62" t="n">
        <v>0</v>
      </c>
      <c r="L15" s="62" t="n">
        <v>0</v>
      </c>
      <c r="M15" s="62" t="n">
        <v>0</v>
      </c>
      <c r="N15" s="62" t="n">
        <v>0</v>
      </c>
      <c r="O15" s="62" t="n">
        <v>0</v>
      </c>
      <c r="P15" s="62" t="n">
        <v>0</v>
      </c>
      <c r="Q15" s="62" t="n">
        <v>0</v>
      </c>
      <c r="R15" s="62" t="n">
        <v>0</v>
      </c>
      <c r="S15" s="62" t="n">
        <v>0</v>
      </c>
      <c r="T15" s="62" t="n">
        <v>0</v>
      </c>
      <c r="U15" s="62" t="n">
        <v>0</v>
      </c>
      <c r="V15" s="62" t="n">
        <v>0</v>
      </c>
      <c r="W15" s="62" t="n">
        <v>0</v>
      </c>
      <c r="X15" s="62" t="n">
        <v>0</v>
      </c>
      <c r="Y15" s="62" t="n">
        <v>0</v>
      </c>
      <c r="Z15" s="62" t="n">
        <v>0</v>
      </c>
      <c r="AA15" s="62" t="n">
        <v>0</v>
      </c>
      <c r="AB15" s="62" t="n">
        <v>0</v>
      </c>
      <c r="AC15" s="62" t="n">
        <v>0</v>
      </c>
      <c r="AD15" s="62" t="n">
        <v>0</v>
      </c>
      <c r="AE15" s="62" t="n">
        <v>0</v>
      </c>
      <c r="AF15" s="62" t="n">
        <v>0</v>
      </c>
    </row>
    <row r="16" ht="14.25" customHeight="1" s="74">
      <c r="A16" s="7" t="inlineStr">
        <is>
          <t>heavy or residual fuel oil</t>
        </is>
      </c>
      <c r="B16" s="62" t="n">
        <v>0</v>
      </c>
      <c r="C16" s="62" t="n">
        <v>0</v>
      </c>
      <c r="D16" s="62" t="n">
        <v>0</v>
      </c>
      <c r="E16" s="62" t="n">
        <v>0</v>
      </c>
      <c r="F16" s="62" t="n">
        <v>0</v>
      </c>
      <c r="G16" s="62" t="n">
        <v>0</v>
      </c>
      <c r="H16" s="62" t="n">
        <v>0</v>
      </c>
      <c r="I16" s="62" t="n">
        <v>0</v>
      </c>
      <c r="J16" s="62" t="n">
        <v>0</v>
      </c>
      <c r="K16" s="62" t="n">
        <v>0</v>
      </c>
      <c r="L16" s="62" t="n">
        <v>0</v>
      </c>
      <c r="M16" s="62" t="n">
        <v>0</v>
      </c>
      <c r="N16" s="62" t="n">
        <v>0</v>
      </c>
      <c r="O16" s="62" t="n">
        <v>0</v>
      </c>
      <c r="P16" s="62" t="n">
        <v>0</v>
      </c>
      <c r="Q16" s="62" t="n">
        <v>0</v>
      </c>
      <c r="R16" s="62" t="n">
        <v>0</v>
      </c>
      <c r="S16" s="62" t="n">
        <v>0</v>
      </c>
      <c r="T16" s="62" t="n">
        <v>0</v>
      </c>
      <c r="U16" s="62" t="n">
        <v>0</v>
      </c>
      <c r="V16" s="62" t="n">
        <v>0</v>
      </c>
      <c r="W16" s="62" t="n">
        <v>0</v>
      </c>
      <c r="X16" s="62" t="n">
        <v>0</v>
      </c>
      <c r="Y16" s="62" t="n">
        <v>0</v>
      </c>
      <c r="Z16" s="62" t="n">
        <v>0</v>
      </c>
      <c r="AA16" s="62" t="n">
        <v>0</v>
      </c>
      <c r="AB16" s="62" t="n">
        <v>0</v>
      </c>
      <c r="AC16" s="62" t="n">
        <v>0</v>
      </c>
      <c r="AD16" s="62" t="n">
        <v>0</v>
      </c>
      <c r="AE16" s="62" t="n">
        <v>0</v>
      </c>
      <c r="AF16" s="62" t="n">
        <v>0</v>
      </c>
    </row>
    <row r="17" ht="14.25" customHeight="1" s="74">
      <c r="A17" s="7" t="inlineStr">
        <is>
          <t>municipal solid waste</t>
        </is>
      </c>
      <c r="B17" s="62" t="n">
        <v>0</v>
      </c>
      <c r="C17" s="62" t="n">
        <v>0</v>
      </c>
      <c r="D17" s="62" t="n">
        <v>0</v>
      </c>
      <c r="E17" s="62" t="n">
        <v>0</v>
      </c>
      <c r="F17" s="62" t="n">
        <v>0</v>
      </c>
      <c r="G17" s="62" t="n">
        <v>0</v>
      </c>
      <c r="H17" s="62" t="n">
        <v>0</v>
      </c>
      <c r="I17" s="62" t="n">
        <v>0</v>
      </c>
      <c r="J17" s="62" t="n">
        <v>0</v>
      </c>
      <c r="K17" s="62" t="n">
        <v>0</v>
      </c>
      <c r="L17" s="62" t="n">
        <v>0</v>
      </c>
      <c r="M17" s="62" t="n">
        <v>0</v>
      </c>
      <c r="N17" s="62" t="n">
        <v>0</v>
      </c>
      <c r="O17" s="62" t="n">
        <v>0</v>
      </c>
      <c r="P17" s="62" t="n">
        <v>0</v>
      </c>
      <c r="Q17" s="62" t="n">
        <v>0</v>
      </c>
      <c r="R17" s="62" t="n">
        <v>0</v>
      </c>
      <c r="S17" s="62" t="n">
        <v>0</v>
      </c>
      <c r="T17" s="62" t="n">
        <v>0</v>
      </c>
      <c r="U17" s="62" t="n">
        <v>0</v>
      </c>
      <c r="V17" s="62" t="n">
        <v>0</v>
      </c>
      <c r="W17" s="62" t="n">
        <v>0</v>
      </c>
      <c r="X17" s="62" t="n">
        <v>0</v>
      </c>
      <c r="Y17" s="62" t="n">
        <v>0</v>
      </c>
      <c r="Z17" s="62" t="n">
        <v>0</v>
      </c>
      <c r="AA17" s="62" t="n">
        <v>0</v>
      </c>
      <c r="AB17" s="62" t="n">
        <v>0</v>
      </c>
      <c r="AC17" s="62" t="n">
        <v>0</v>
      </c>
      <c r="AD17" s="62" t="n">
        <v>0</v>
      </c>
      <c r="AE17" s="62" t="n">
        <v>0</v>
      </c>
      <c r="AF17" s="62"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11.xml><?xml version="1.0" encoding="utf-8"?>
<worksheet xmlns="http://schemas.openxmlformats.org/spreadsheetml/2006/main">
  <sheetPr>
    <outlinePr summaryBelow="1" summaryRight="1"/>
    <pageSetUpPr/>
  </sheetPr>
  <dimension ref="A1:AF1000"/>
  <sheetViews>
    <sheetView workbookViewId="0">
      <selection activeCell="J26" sqref="J26"/>
    </sheetView>
  </sheetViews>
  <sheetFormatPr baseColWidth="10" defaultColWidth="12.6640625" defaultRowHeight="15" customHeight="1"/>
  <cols>
    <col width="20.5" customWidth="1" style="74" min="1" max="1"/>
    <col width="9" bestFit="1" customWidth="1" style="74" min="2"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50" t="n">
        <v>0</v>
      </c>
      <c r="C2" s="50" t="n">
        <v>0</v>
      </c>
      <c r="D2" s="50" t="n">
        <v>0</v>
      </c>
      <c r="E2" s="50" t="n">
        <v>0</v>
      </c>
      <c r="F2" s="50" t="n">
        <v>0</v>
      </c>
      <c r="G2" s="50" t="n">
        <v>0</v>
      </c>
      <c r="H2" s="50" t="n">
        <v>0</v>
      </c>
      <c r="I2" s="50" t="n">
        <v>0</v>
      </c>
      <c r="J2" s="50" t="n">
        <v>0</v>
      </c>
      <c r="K2" s="50" t="n">
        <v>0</v>
      </c>
      <c r="L2" s="50" t="n">
        <v>0</v>
      </c>
      <c r="M2" s="50" t="n">
        <v>0</v>
      </c>
      <c r="N2" s="50" t="n">
        <v>0</v>
      </c>
      <c r="O2" s="50" t="n">
        <v>0</v>
      </c>
      <c r="P2" s="50" t="n">
        <v>0</v>
      </c>
      <c r="Q2" s="50" t="n">
        <v>0</v>
      </c>
      <c r="R2" s="50" t="n">
        <v>0</v>
      </c>
      <c r="S2" s="50" t="n">
        <v>0</v>
      </c>
      <c r="T2" s="50" t="n">
        <v>0</v>
      </c>
      <c r="U2" s="50" t="n">
        <v>0</v>
      </c>
      <c r="V2" s="50" t="n">
        <v>0</v>
      </c>
      <c r="W2" s="50" t="n">
        <v>0</v>
      </c>
      <c r="X2" s="50" t="n">
        <v>0</v>
      </c>
      <c r="Y2" s="50" t="n">
        <v>0</v>
      </c>
      <c r="Z2" s="50" t="n">
        <v>0</v>
      </c>
      <c r="AA2" s="50" t="n">
        <v>0</v>
      </c>
      <c r="AB2" s="50" t="n">
        <v>0</v>
      </c>
      <c r="AC2" s="50" t="n">
        <v>0</v>
      </c>
      <c r="AD2" s="50" t="n">
        <v>0</v>
      </c>
      <c r="AE2" s="50" t="n">
        <v>0</v>
      </c>
      <c r="AF2" s="50" t="n">
        <v>0</v>
      </c>
    </row>
    <row r="3" ht="14.25" customHeight="1" s="74">
      <c r="A3" s="7" t="inlineStr">
        <is>
          <t>natural gas nonpeaker</t>
        </is>
      </c>
      <c r="B3" s="50" t="n">
        <v>0</v>
      </c>
      <c r="C3" s="50" t="n">
        <v>0</v>
      </c>
      <c r="D3" s="50" t="n">
        <v>0</v>
      </c>
      <c r="E3" s="50" t="n">
        <v>0</v>
      </c>
      <c r="F3" s="50" t="n">
        <v>0</v>
      </c>
      <c r="G3" s="50" t="n">
        <v>0</v>
      </c>
      <c r="H3" s="50" t="n">
        <v>0</v>
      </c>
      <c r="I3" s="50" t="n">
        <v>0</v>
      </c>
      <c r="J3" s="50" t="n">
        <v>0</v>
      </c>
      <c r="K3" s="50" t="n">
        <v>0</v>
      </c>
      <c r="L3" s="50" t="n">
        <v>0</v>
      </c>
      <c r="M3" s="50" t="n">
        <v>0</v>
      </c>
      <c r="N3" s="50" t="n">
        <v>0</v>
      </c>
      <c r="O3" s="50" t="n">
        <v>0</v>
      </c>
      <c r="P3" s="50" t="n">
        <v>0</v>
      </c>
      <c r="Q3" s="50" t="n">
        <v>0</v>
      </c>
      <c r="R3" s="50" t="n">
        <v>0</v>
      </c>
      <c r="S3" s="50" t="n">
        <v>0</v>
      </c>
      <c r="T3" s="50" t="n">
        <v>0</v>
      </c>
      <c r="U3" s="50" t="n">
        <v>0</v>
      </c>
      <c r="V3" s="50" t="n">
        <v>1e-05</v>
      </c>
      <c r="W3" s="50" t="n">
        <v>1e-05</v>
      </c>
      <c r="X3" s="50" t="n">
        <v>2e-05</v>
      </c>
      <c r="Y3" s="50" t="n">
        <v>2e-05</v>
      </c>
      <c r="Z3" s="50" t="n">
        <v>3e-05</v>
      </c>
      <c r="AA3" s="50" t="n">
        <v>3e-05</v>
      </c>
      <c r="AB3" s="50" t="n">
        <v>4e-05</v>
      </c>
      <c r="AC3" s="50" t="n">
        <v>4e-05</v>
      </c>
      <c r="AD3" s="50" t="n">
        <v>5e-05</v>
      </c>
      <c r="AE3" s="50" t="n">
        <v>5e-05</v>
      </c>
      <c r="AF3" s="50" t="n">
        <v>6e-05</v>
      </c>
    </row>
    <row r="4" ht="14.25" customHeight="1" s="74">
      <c r="A4" s="7" t="inlineStr">
        <is>
          <t>nuclear</t>
        </is>
      </c>
      <c r="B4" s="50" t="n">
        <v>0</v>
      </c>
      <c r="C4" s="50" t="n">
        <v>0</v>
      </c>
      <c r="D4" s="50" t="n">
        <v>0</v>
      </c>
      <c r="E4" s="50" t="n">
        <v>0</v>
      </c>
      <c r="F4" s="50" t="n">
        <v>0</v>
      </c>
      <c r="G4" s="50" t="n">
        <v>0</v>
      </c>
      <c r="H4" s="50" t="n">
        <v>0</v>
      </c>
      <c r="I4" s="50" t="n">
        <v>0</v>
      </c>
      <c r="J4" s="50" t="n">
        <v>0</v>
      </c>
      <c r="K4" s="50" t="n">
        <v>0</v>
      </c>
      <c r="L4" s="50" t="n">
        <v>0</v>
      </c>
      <c r="M4" s="50" t="n">
        <v>0</v>
      </c>
      <c r="N4" s="50" t="n">
        <v>0</v>
      </c>
      <c r="O4" s="50" t="n">
        <v>0</v>
      </c>
      <c r="P4" s="50" t="n">
        <v>0</v>
      </c>
      <c r="Q4" s="50" t="n">
        <v>0</v>
      </c>
      <c r="R4" s="50" t="n">
        <v>0</v>
      </c>
      <c r="S4" s="50" t="n">
        <v>0</v>
      </c>
      <c r="T4" s="50" t="n">
        <v>0</v>
      </c>
      <c r="U4" s="50" t="n">
        <v>0</v>
      </c>
      <c r="V4" s="50" t="n">
        <v>0</v>
      </c>
      <c r="W4" s="50" t="n">
        <v>0</v>
      </c>
      <c r="X4" s="50" t="n">
        <v>0</v>
      </c>
      <c r="Y4" s="50" t="n">
        <v>0</v>
      </c>
      <c r="Z4" s="50" t="n">
        <v>0</v>
      </c>
      <c r="AA4" s="50" t="n">
        <v>0</v>
      </c>
      <c r="AB4" s="50" t="n">
        <v>0</v>
      </c>
      <c r="AC4" s="50" t="n">
        <v>0</v>
      </c>
      <c r="AD4" s="50" t="n">
        <v>0</v>
      </c>
      <c r="AE4" s="50" t="n">
        <v>0</v>
      </c>
      <c r="AF4" s="50" t="n">
        <v>0</v>
      </c>
    </row>
    <row r="5" ht="14.25" customHeight="1" s="74">
      <c r="A5" s="7" t="inlineStr">
        <is>
          <t>hydro</t>
        </is>
      </c>
      <c r="B5" s="50" t="n">
        <v>0</v>
      </c>
      <c r="C5" s="50" t="n">
        <v>0</v>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row>
    <row r="6" ht="14.25" customHeight="1" s="74">
      <c r="A6" s="7" t="inlineStr">
        <is>
          <t>onshore wind</t>
        </is>
      </c>
      <c r="B6" s="50" t="n">
        <v>0.01089</v>
      </c>
      <c r="C6" s="50" t="n">
        <v>3e-05</v>
      </c>
      <c r="D6" s="50" t="n">
        <v>3e-05</v>
      </c>
      <c r="E6" s="50" t="n">
        <v>3e-05</v>
      </c>
      <c r="F6" s="50" t="n">
        <v>3e-05</v>
      </c>
      <c r="G6" s="50" t="n">
        <v>3e-05</v>
      </c>
      <c r="H6" s="50" t="n">
        <v>3e-05</v>
      </c>
      <c r="I6" s="50" t="n">
        <v>3e-05</v>
      </c>
      <c r="J6" s="50" t="n">
        <v>3e-05</v>
      </c>
      <c r="K6" s="50" t="n">
        <v>3e-05</v>
      </c>
      <c r="L6" s="50" t="n">
        <v>3e-05</v>
      </c>
      <c r="M6" s="50" t="n">
        <v>3e-05</v>
      </c>
      <c r="N6" s="50" t="n">
        <v>3e-05</v>
      </c>
      <c r="O6" s="50" t="n">
        <v>3e-05</v>
      </c>
      <c r="P6" s="50" t="n">
        <v>3e-05</v>
      </c>
      <c r="Q6" s="50" t="n">
        <v>3e-05</v>
      </c>
      <c r="R6" s="50" t="n">
        <v>3e-05</v>
      </c>
      <c r="S6" s="50" t="n">
        <v>3e-05</v>
      </c>
      <c r="T6" s="50" t="n">
        <v>3e-05</v>
      </c>
      <c r="U6" s="50" t="n">
        <v>3e-05</v>
      </c>
      <c r="V6" s="50" t="n">
        <v>3e-05</v>
      </c>
      <c r="W6" s="50" t="n">
        <v>3e-05</v>
      </c>
      <c r="X6" s="50" t="n">
        <v>3e-05</v>
      </c>
      <c r="Y6" s="50" t="n">
        <v>3e-05</v>
      </c>
      <c r="Z6" s="50" t="n">
        <v>3e-05</v>
      </c>
      <c r="AA6" s="50" t="n">
        <v>3e-05</v>
      </c>
      <c r="AB6" s="50" t="n">
        <v>3e-05</v>
      </c>
      <c r="AC6" s="50" t="n">
        <v>3e-05</v>
      </c>
      <c r="AD6" s="50" t="n">
        <v>3e-05</v>
      </c>
      <c r="AE6" s="50" t="n">
        <v>3e-05</v>
      </c>
      <c r="AF6" s="50" t="n">
        <v>3e-05</v>
      </c>
    </row>
    <row r="7" ht="14.25" customHeight="1" s="74">
      <c r="A7" s="7" t="inlineStr">
        <is>
          <t>solar PV</t>
        </is>
      </c>
      <c r="B7" s="50" t="n">
        <v>0.13045</v>
      </c>
      <c r="C7" s="50" t="n">
        <v>0.70428</v>
      </c>
      <c r="D7" s="50" t="n">
        <v>0.80272</v>
      </c>
      <c r="E7" s="50" t="n">
        <v>0.90316</v>
      </c>
      <c r="F7" s="50" t="n">
        <v>1.00186</v>
      </c>
      <c r="G7" s="50" t="n">
        <v>1.07017</v>
      </c>
      <c r="H7" s="50" t="n">
        <v>1.14713</v>
      </c>
      <c r="I7" s="50" t="n">
        <v>1.21234</v>
      </c>
      <c r="J7" s="50" t="n">
        <v>1.26029</v>
      </c>
      <c r="K7" s="50" t="n">
        <v>1.32276</v>
      </c>
      <c r="L7" s="50" t="n">
        <v>1.36019</v>
      </c>
      <c r="M7" s="50" t="n">
        <v>1.41905</v>
      </c>
      <c r="N7" s="50" t="n">
        <v>1.45865</v>
      </c>
      <c r="O7" s="50" t="n">
        <v>1.51837</v>
      </c>
      <c r="P7" s="50" t="n">
        <v>1.57068</v>
      </c>
      <c r="Q7" s="50" t="n">
        <v>1.59196</v>
      </c>
      <c r="R7" s="50" t="n">
        <v>1.65047</v>
      </c>
      <c r="S7" s="50" t="n">
        <v>1.70872</v>
      </c>
      <c r="T7" s="50" t="n">
        <v>1.76111</v>
      </c>
      <c r="U7" s="50" t="n">
        <v>1.84315</v>
      </c>
      <c r="V7" s="50" t="n">
        <v>1.91824</v>
      </c>
      <c r="W7" s="50" t="n">
        <v>1.9791</v>
      </c>
      <c r="X7" s="50" t="n">
        <v>2.05257</v>
      </c>
      <c r="Y7" s="50" t="n">
        <v>2.13429</v>
      </c>
      <c r="Z7" s="50" t="n">
        <v>2.18291</v>
      </c>
      <c r="AA7" s="50" t="n">
        <v>2.26757</v>
      </c>
      <c r="AB7" s="50" t="n">
        <v>2.3768</v>
      </c>
      <c r="AC7" s="50" t="n">
        <v>2.43823</v>
      </c>
      <c r="AD7" s="50" t="n">
        <v>2.53218</v>
      </c>
      <c r="AE7" s="50" t="n">
        <v>2.60904</v>
      </c>
      <c r="AF7" s="50" t="n">
        <v>2.6628</v>
      </c>
    </row>
    <row r="8" ht="14.25" customHeight="1" s="74">
      <c r="A8" s="7" t="inlineStr">
        <is>
          <t>solar thermal</t>
        </is>
      </c>
      <c r="B8" s="50" t="n">
        <v>0</v>
      </c>
      <c r="C8" s="50" t="n">
        <v>0</v>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row>
    <row r="9" ht="14.25" customHeight="1" s="74">
      <c r="A9" s="7" t="inlineStr">
        <is>
          <t>biomass</t>
        </is>
      </c>
      <c r="B9" s="50" t="n">
        <v>0</v>
      </c>
      <c r="C9" s="50" t="n">
        <v>0</v>
      </c>
      <c r="D9" s="50" t="n">
        <v>0</v>
      </c>
      <c r="E9" s="50" t="n">
        <v>0</v>
      </c>
      <c r="F9" s="50" t="n">
        <v>0</v>
      </c>
      <c r="G9" s="50" t="n">
        <v>0</v>
      </c>
      <c r="H9" s="50" t="n">
        <v>0</v>
      </c>
      <c r="I9" s="50" t="n">
        <v>0</v>
      </c>
      <c r="J9" s="50" t="n">
        <v>0</v>
      </c>
      <c r="K9" s="50" t="n">
        <v>0</v>
      </c>
      <c r="L9" s="50" t="n">
        <v>0</v>
      </c>
      <c r="M9" s="50" t="n">
        <v>0</v>
      </c>
      <c r="N9" s="50" t="n">
        <v>0</v>
      </c>
      <c r="O9" s="50" t="n">
        <v>0</v>
      </c>
      <c r="P9" s="50" t="n">
        <v>0</v>
      </c>
      <c r="Q9" s="50" t="n">
        <v>0</v>
      </c>
      <c r="R9" s="50" t="n">
        <v>0</v>
      </c>
      <c r="S9" s="50" t="n">
        <v>0</v>
      </c>
      <c r="T9" s="50" t="n">
        <v>0</v>
      </c>
      <c r="U9" s="50" t="n">
        <v>0</v>
      </c>
      <c r="V9" s="50" t="n">
        <v>0</v>
      </c>
      <c r="W9" s="50" t="n">
        <v>0</v>
      </c>
      <c r="X9" s="50" t="n">
        <v>0</v>
      </c>
      <c r="Y9" s="50" t="n">
        <v>0</v>
      </c>
      <c r="Z9" s="50" t="n">
        <v>0</v>
      </c>
      <c r="AA9" s="50" t="n">
        <v>0</v>
      </c>
      <c r="AB9" s="50" t="n">
        <v>0</v>
      </c>
      <c r="AC9" s="50" t="n">
        <v>0</v>
      </c>
      <c r="AD9" s="50" t="n">
        <v>0</v>
      </c>
      <c r="AE9" s="50" t="n">
        <v>0</v>
      </c>
      <c r="AF9" s="50" t="n">
        <v>0</v>
      </c>
    </row>
    <row r="10" ht="14.25" customHeight="1" s="74">
      <c r="A10" s="7" t="inlineStr">
        <is>
          <t>geothermal</t>
        </is>
      </c>
      <c r="B10" s="50" t="n">
        <v>0</v>
      </c>
      <c r="C10" s="50" t="n">
        <v>0</v>
      </c>
      <c r="D10" s="50" t="n">
        <v>0</v>
      </c>
      <c r="E10" s="50" t="n">
        <v>0</v>
      </c>
      <c r="F10" s="50" t="n">
        <v>0</v>
      </c>
      <c r="G10" s="50" t="n">
        <v>0</v>
      </c>
      <c r="H10" s="50" t="n">
        <v>0</v>
      </c>
      <c r="I10" s="50" t="n">
        <v>0</v>
      </c>
      <c r="J10" s="50" t="n">
        <v>0</v>
      </c>
      <c r="K10" s="50" t="n">
        <v>0</v>
      </c>
      <c r="L10" s="50" t="n">
        <v>0</v>
      </c>
      <c r="M10" s="50" t="n">
        <v>0</v>
      </c>
      <c r="N10" s="50" t="n">
        <v>0</v>
      </c>
      <c r="O10" s="50" t="n">
        <v>0</v>
      </c>
      <c r="P10" s="50" t="n">
        <v>0</v>
      </c>
      <c r="Q10" s="50" t="n">
        <v>0</v>
      </c>
      <c r="R10" s="50" t="n">
        <v>0</v>
      </c>
      <c r="S10" s="50" t="n">
        <v>0</v>
      </c>
      <c r="T10" s="50" t="n">
        <v>0</v>
      </c>
      <c r="U10" s="50" t="n">
        <v>0</v>
      </c>
      <c r="V10" s="50" t="n">
        <v>0</v>
      </c>
      <c r="W10" s="50" t="n">
        <v>0</v>
      </c>
      <c r="X10" s="50" t="n">
        <v>0</v>
      </c>
      <c r="Y10" s="50" t="n">
        <v>0</v>
      </c>
      <c r="Z10" s="50" t="n">
        <v>0</v>
      </c>
      <c r="AA10" s="50" t="n">
        <v>0</v>
      </c>
      <c r="AB10" s="50" t="n">
        <v>0</v>
      </c>
      <c r="AC10" s="50" t="n">
        <v>0</v>
      </c>
      <c r="AD10" s="50" t="n">
        <v>0</v>
      </c>
      <c r="AE10" s="50" t="n">
        <v>0</v>
      </c>
      <c r="AF10" s="50" t="n">
        <v>0</v>
      </c>
    </row>
    <row r="11" ht="14.25" customHeight="1" s="74">
      <c r="A11" s="7" t="inlineStr">
        <is>
          <t>petroleum</t>
        </is>
      </c>
      <c r="B11" s="50" t="n">
        <v>0</v>
      </c>
      <c r="C11" s="50" t="n">
        <v>0</v>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row>
    <row r="12" ht="14.25" customHeight="1" s="74">
      <c r="A12" s="7" t="inlineStr">
        <is>
          <t>natural gas peaker</t>
        </is>
      </c>
      <c r="B12" s="50" t="n">
        <v>0</v>
      </c>
      <c r="C12" s="50" t="n">
        <v>0</v>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row>
    <row r="13" ht="14.25" customHeight="1" s="74">
      <c r="A13" s="7" t="inlineStr">
        <is>
          <t>lignite</t>
        </is>
      </c>
      <c r="B13" s="50" t="n">
        <v>0</v>
      </c>
      <c r="C13" s="50" t="n">
        <v>0</v>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row>
    <row r="14" ht="14.25" customHeight="1" s="74">
      <c r="A14" s="7" t="inlineStr">
        <is>
          <t>offshore wind</t>
        </is>
      </c>
      <c r="B14" s="50" t="n">
        <v>0</v>
      </c>
      <c r="C14" s="50" t="n">
        <v>0</v>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row>
    <row r="15" ht="14.25" customHeight="1" s="74">
      <c r="A15" s="7" t="inlineStr">
        <is>
          <t>crude oil</t>
        </is>
      </c>
      <c r="B15" s="50" t="n">
        <v>0</v>
      </c>
      <c r="C15" s="50" t="n">
        <v>0</v>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row>
    <row r="16" ht="14.25" customHeight="1" s="74">
      <c r="A16" s="7" t="inlineStr">
        <is>
          <t>heavy or residual fuel oil</t>
        </is>
      </c>
      <c r="B16" s="50" t="n">
        <v>0</v>
      </c>
      <c r="C16" s="50" t="n">
        <v>0</v>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row>
    <row r="17" ht="14.25" customHeight="1" s="74">
      <c r="A17" s="7" t="inlineStr">
        <is>
          <t>municipal solid waste</t>
        </is>
      </c>
      <c r="B17" s="50" t="n">
        <v>0</v>
      </c>
      <c r="C17" s="50" t="n">
        <v>0</v>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12.xml><?xml version="1.0" encoding="utf-8"?>
<worksheet xmlns="http://schemas.openxmlformats.org/spreadsheetml/2006/main">
  <sheetPr>
    <outlinePr summaryBelow="1" summaryRight="1"/>
    <pageSetUpPr/>
  </sheetPr>
  <dimension ref="A1:AF24"/>
  <sheetViews>
    <sheetView topLeftCell="C1" workbookViewId="0">
      <selection activeCell="AA24" sqref="AA24"/>
    </sheetView>
  </sheetViews>
  <sheetFormatPr baseColWidth="10" defaultRowHeight="14"/>
  <sheetData>
    <row r="1" ht="15" customHeight="1" s="74">
      <c r="A1" s="1" t="inlineStr">
        <is>
          <t>MW</t>
        </is>
      </c>
      <c r="B1" s="1" t="n">
        <v>2020</v>
      </c>
      <c r="C1" s="1" t="n">
        <v>2021</v>
      </c>
      <c r="D1" s="1" t="n">
        <v>2022</v>
      </c>
      <c r="E1" s="1" t="n">
        <v>2023</v>
      </c>
      <c r="F1" s="1" t="n">
        <v>2024</v>
      </c>
      <c r="G1" s="1" t="n">
        <v>2025</v>
      </c>
      <c r="H1" s="1" t="n">
        <v>2026</v>
      </c>
      <c r="I1" s="1" t="n">
        <v>2027</v>
      </c>
      <c r="J1" s="1" t="n">
        <v>2028</v>
      </c>
      <c r="K1" s="1" t="n">
        <v>2029</v>
      </c>
      <c r="L1" s="1" t="n">
        <v>2030</v>
      </c>
      <c r="M1" s="1" t="n">
        <v>2031</v>
      </c>
      <c r="N1" s="1" t="n">
        <v>2032</v>
      </c>
      <c r="O1" s="1" t="n">
        <v>2033</v>
      </c>
      <c r="P1" s="1" t="n">
        <v>2034</v>
      </c>
      <c r="Q1" s="1" t="n">
        <v>2035</v>
      </c>
      <c r="R1" s="1" t="n">
        <v>2036</v>
      </c>
      <c r="S1" s="1" t="n">
        <v>2037</v>
      </c>
      <c r="T1" s="1" t="n">
        <v>2038</v>
      </c>
      <c r="U1" s="1" t="n">
        <v>2039</v>
      </c>
      <c r="V1" s="1" t="n">
        <v>2040</v>
      </c>
      <c r="W1" s="1" t="n">
        <v>2041</v>
      </c>
      <c r="X1" s="1" t="n">
        <v>2042</v>
      </c>
      <c r="Y1" s="1" t="n">
        <v>2043</v>
      </c>
      <c r="Z1" s="1" t="n">
        <v>2044</v>
      </c>
      <c r="AA1" s="1" t="n">
        <v>2045</v>
      </c>
      <c r="AB1" s="1" t="n">
        <v>2046</v>
      </c>
      <c r="AC1" s="1" t="n">
        <v>2047</v>
      </c>
      <c r="AD1" s="1" t="n">
        <v>2048</v>
      </c>
      <c r="AE1" s="1" t="n">
        <v>2049</v>
      </c>
      <c r="AF1" s="1" t="n">
        <v>2050</v>
      </c>
    </row>
    <row r="2" ht="15" customHeight="1" s="74">
      <c r="A2" s="1" t="inlineStr">
        <is>
          <t>hard coal</t>
        </is>
      </c>
      <c r="B2" s="62" t="n">
        <v>0</v>
      </c>
      <c r="C2" s="62" t="n">
        <v>0</v>
      </c>
      <c r="D2" s="62" t="n">
        <v>0</v>
      </c>
      <c r="E2" s="62" t="n">
        <v>0</v>
      </c>
      <c r="F2" s="62" t="n">
        <v>0</v>
      </c>
      <c r="G2" s="62" t="n">
        <v>0</v>
      </c>
      <c r="H2" s="62" t="n">
        <v>0</v>
      </c>
      <c r="I2" s="62" t="n">
        <v>0</v>
      </c>
      <c r="J2" s="62" t="n">
        <v>0</v>
      </c>
      <c r="K2" s="62" t="n">
        <v>0</v>
      </c>
      <c r="L2" s="62" t="n">
        <v>0</v>
      </c>
      <c r="M2" s="62" t="n">
        <v>0</v>
      </c>
      <c r="N2" s="62" t="n">
        <v>0</v>
      </c>
      <c r="O2" s="62" t="n">
        <v>0</v>
      </c>
      <c r="P2" s="62" t="n">
        <v>0</v>
      </c>
      <c r="Q2" s="62" t="n">
        <v>0</v>
      </c>
      <c r="R2" s="62" t="n">
        <v>0</v>
      </c>
      <c r="S2" s="62" t="n">
        <v>0</v>
      </c>
      <c r="T2" s="62" t="n">
        <v>0</v>
      </c>
      <c r="U2" s="62" t="n">
        <v>0</v>
      </c>
      <c r="V2" s="62" t="n">
        <v>0</v>
      </c>
      <c r="W2" s="62" t="n">
        <v>0</v>
      </c>
      <c r="X2" s="62" t="n">
        <v>0</v>
      </c>
      <c r="Y2" s="62" t="n">
        <v>0</v>
      </c>
      <c r="Z2" s="62" t="n">
        <v>0</v>
      </c>
      <c r="AA2" s="62" t="n">
        <v>0</v>
      </c>
      <c r="AB2" s="62" t="n">
        <v>0</v>
      </c>
      <c r="AC2" s="62" t="n">
        <v>0</v>
      </c>
      <c r="AD2" s="62" t="n">
        <v>0</v>
      </c>
      <c r="AE2" s="62" t="n">
        <v>0</v>
      </c>
      <c r="AF2" s="62" t="n">
        <v>0</v>
      </c>
    </row>
    <row r="3" ht="15" customHeight="1" s="74">
      <c r="A3" s="1" t="inlineStr">
        <is>
          <t>natural gas nonpeaker</t>
        </is>
      </c>
      <c r="B3" s="62" t="n">
        <v>16.59879</v>
      </c>
      <c r="C3" s="62" t="n">
        <v>41.57204</v>
      </c>
      <c r="D3" s="62" t="n">
        <v>42.16771</v>
      </c>
      <c r="E3" s="62" t="n">
        <v>42.69805</v>
      </c>
      <c r="F3" s="62" t="n">
        <v>43.17854</v>
      </c>
      <c r="G3" s="62" t="n">
        <v>43.81443</v>
      </c>
      <c r="H3" s="62" t="n">
        <v>44.41995</v>
      </c>
      <c r="I3" s="62" t="n">
        <v>45.00424</v>
      </c>
      <c r="J3" s="62" t="n">
        <v>45.48122</v>
      </c>
      <c r="K3" s="62" t="n">
        <v>45.94611</v>
      </c>
      <c r="L3" s="62" t="n">
        <v>46.42423</v>
      </c>
      <c r="M3" s="62" t="n">
        <v>46.95132</v>
      </c>
      <c r="N3" s="62" t="n">
        <v>47.43626</v>
      </c>
      <c r="O3" s="62" t="n">
        <v>48.05735</v>
      </c>
      <c r="P3" s="62" t="n">
        <v>48.61735</v>
      </c>
      <c r="Q3" s="62" t="n">
        <v>49.06907</v>
      </c>
      <c r="R3" s="62" t="n">
        <v>49.5152</v>
      </c>
      <c r="S3" s="62" t="n">
        <v>49.95946</v>
      </c>
      <c r="T3" s="62" t="n">
        <v>50.39399</v>
      </c>
      <c r="U3" s="62" t="n">
        <v>50.98496</v>
      </c>
      <c r="V3" s="62" t="n">
        <v>51.49299</v>
      </c>
      <c r="W3" s="62" t="n">
        <v>51.93547</v>
      </c>
      <c r="X3" s="62" t="n">
        <v>52.52702</v>
      </c>
      <c r="Y3" s="62" t="n">
        <v>53.14563</v>
      </c>
      <c r="Z3" s="62" t="n">
        <v>53.57647</v>
      </c>
      <c r="AA3" s="62" t="n">
        <v>54.13294</v>
      </c>
      <c r="AB3" s="62" t="n">
        <v>54.61248</v>
      </c>
      <c r="AC3" s="62" t="n">
        <v>55.06159</v>
      </c>
      <c r="AD3" s="62" t="n">
        <v>55.66447</v>
      </c>
      <c r="AE3" s="62" t="n">
        <v>56.13427</v>
      </c>
      <c r="AF3" s="62" t="n">
        <v>56.5898</v>
      </c>
    </row>
    <row r="4" ht="15" customHeight="1" s="74">
      <c r="A4" s="1" t="inlineStr">
        <is>
          <t>nuclear</t>
        </is>
      </c>
      <c r="B4" s="62" t="n">
        <v>0</v>
      </c>
      <c r="C4" s="62" t="n">
        <v>0</v>
      </c>
      <c r="D4" s="62" t="n">
        <v>0</v>
      </c>
      <c r="E4" s="62" t="n">
        <v>0</v>
      </c>
      <c r="F4" s="62" t="n">
        <v>0</v>
      </c>
      <c r="G4" s="62" t="n">
        <v>0</v>
      </c>
      <c r="H4" s="62" t="n">
        <v>0</v>
      </c>
      <c r="I4" s="62" t="n">
        <v>0</v>
      </c>
      <c r="J4" s="62" t="n">
        <v>0</v>
      </c>
      <c r="K4" s="62" t="n">
        <v>0</v>
      </c>
      <c r="L4" s="62" t="n">
        <v>0</v>
      </c>
      <c r="M4" s="62" t="n">
        <v>0</v>
      </c>
      <c r="N4" s="62" t="n">
        <v>0</v>
      </c>
      <c r="O4" s="62" t="n">
        <v>0</v>
      </c>
      <c r="P4" s="62" t="n">
        <v>0</v>
      </c>
      <c r="Q4" s="62" t="n">
        <v>0</v>
      </c>
      <c r="R4" s="62" t="n">
        <v>0</v>
      </c>
      <c r="S4" s="62" t="n">
        <v>0</v>
      </c>
      <c r="T4" s="62" t="n">
        <v>0</v>
      </c>
      <c r="U4" s="62" t="n">
        <v>0</v>
      </c>
      <c r="V4" s="62" t="n">
        <v>0</v>
      </c>
      <c r="W4" s="62" t="n">
        <v>0</v>
      </c>
      <c r="X4" s="62" t="n">
        <v>0</v>
      </c>
      <c r="Y4" s="62" t="n">
        <v>0</v>
      </c>
      <c r="Z4" s="62" t="n">
        <v>0</v>
      </c>
      <c r="AA4" s="62" t="n">
        <v>0</v>
      </c>
      <c r="AB4" s="62" t="n">
        <v>0</v>
      </c>
      <c r="AC4" s="62" t="n">
        <v>0</v>
      </c>
      <c r="AD4" s="62" t="n">
        <v>0</v>
      </c>
      <c r="AE4" s="62" t="n">
        <v>0</v>
      </c>
      <c r="AF4" s="62" t="n">
        <v>0</v>
      </c>
    </row>
    <row r="5" ht="15" customHeight="1" s="74">
      <c r="A5" s="1" t="inlineStr">
        <is>
          <t>hydro</t>
        </is>
      </c>
      <c r="B5" s="62" t="n">
        <v>0</v>
      </c>
      <c r="C5" s="62" t="n">
        <v>0</v>
      </c>
      <c r="D5" s="62" t="n">
        <v>0</v>
      </c>
      <c r="E5" s="62" t="n">
        <v>0</v>
      </c>
      <c r="F5" s="62" t="n">
        <v>0</v>
      </c>
      <c r="G5" s="62" t="n">
        <v>0</v>
      </c>
      <c r="H5" s="62" t="n">
        <v>0</v>
      </c>
      <c r="I5" s="62" t="n">
        <v>0</v>
      </c>
      <c r="J5" s="62" t="n">
        <v>0</v>
      </c>
      <c r="K5" s="62" t="n">
        <v>0</v>
      </c>
      <c r="L5" s="62" t="n">
        <v>0</v>
      </c>
      <c r="M5" s="62" t="n">
        <v>0</v>
      </c>
      <c r="N5" s="62" t="n">
        <v>0</v>
      </c>
      <c r="O5" s="62" t="n">
        <v>0</v>
      </c>
      <c r="P5" s="62" t="n">
        <v>0</v>
      </c>
      <c r="Q5" s="62" t="n">
        <v>0</v>
      </c>
      <c r="R5" s="62" t="n">
        <v>0</v>
      </c>
      <c r="S5" s="62" t="n">
        <v>0</v>
      </c>
      <c r="T5" s="62" t="n">
        <v>0</v>
      </c>
      <c r="U5" s="62" t="n">
        <v>0</v>
      </c>
      <c r="V5" s="62" t="n">
        <v>0</v>
      </c>
      <c r="W5" s="62" t="n">
        <v>0</v>
      </c>
      <c r="X5" s="62" t="n">
        <v>0</v>
      </c>
      <c r="Y5" s="62" t="n">
        <v>0</v>
      </c>
      <c r="Z5" s="62" t="n">
        <v>0</v>
      </c>
      <c r="AA5" s="62" t="n">
        <v>0</v>
      </c>
      <c r="AB5" s="62" t="n">
        <v>0</v>
      </c>
      <c r="AC5" s="62" t="n">
        <v>0</v>
      </c>
      <c r="AD5" s="62" t="n">
        <v>0</v>
      </c>
      <c r="AE5" s="62" t="n">
        <v>0</v>
      </c>
      <c r="AF5" s="62" t="n">
        <v>0</v>
      </c>
    </row>
    <row r="6" ht="15" customHeight="1" s="74">
      <c r="A6" s="1" t="inlineStr">
        <is>
          <t>onshore wind</t>
        </is>
      </c>
      <c r="B6" s="62" t="n">
        <v>9.052619999999999</v>
      </c>
      <c r="C6" s="62" t="n">
        <v>0</v>
      </c>
      <c r="D6" s="62" t="n">
        <v>0</v>
      </c>
      <c r="E6" s="62" t="n">
        <v>0</v>
      </c>
      <c r="F6" s="62" t="n">
        <v>0</v>
      </c>
      <c r="G6" s="62" t="n">
        <v>0</v>
      </c>
      <c r="H6" s="62" t="n">
        <v>0</v>
      </c>
      <c r="I6" s="62" t="n">
        <v>0</v>
      </c>
      <c r="J6" s="62" t="n">
        <v>0</v>
      </c>
      <c r="K6" s="62" t="n">
        <v>0</v>
      </c>
      <c r="L6" s="62" t="n">
        <v>0</v>
      </c>
      <c r="M6" s="62" t="n">
        <v>0</v>
      </c>
      <c r="N6" s="62" t="n">
        <v>0</v>
      </c>
      <c r="O6" s="62" t="n">
        <v>0</v>
      </c>
      <c r="P6" s="62" t="n">
        <v>0</v>
      </c>
      <c r="Q6" s="62" t="n">
        <v>0</v>
      </c>
      <c r="R6" s="62" t="n">
        <v>0</v>
      </c>
      <c r="S6" s="62" t="n">
        <v>0</v>
      </c>
      <c r="T6" s="62" t="n">
        <v>0</v>
      </c>
      <c r="U6" s="62" t="n">
        <v>0</v>
      </c>
      <c r="V6" s="62" t="n">
        <v>0</v>
      </c>
      <c r="W6" s="62" t="n">
        <v>0</v>
      </c>
      <c r="X6" s="62" t="n">
        <v>0</v>
      </c>
      <c r="Y6" s="62" t="n">
        <v>0</v>
      </c>
      <c r="Z6" s="62" t="n">
        <v>0</v>
      </c>
      <c r="AA6" s="62" t="n">
        <v>0</v>
      </c>
      <c r="AB6" s="62" t="n">
        <v>0</v>
      </c>
      <c r="AC6" s="62" t="n">
        <v>0</v>
      </c>
      <c r="AD6" s="62" t="n">
        <v>0</v>
      </c>
      <c r="AE6" s="62" t="n">
        <v>0</v>
      </c>
      <c r="AF6" s="62" t="n">
        <v>0</v>
      </c>
    </row>
    <row r="7" ht="15" customHeight="1" s="74">
      <c r="A7" s="1" t="inlineStr">
        <is>
          <t>solar PV</t>
        </is>
      </c>
      <c r="B7" s="62" t="n">
        <v>132.62589</v>
      </c>
      <c r="C7" s="62" t="n">
        <v>1611.12948</v>
      </c>
      <c r="D7" s="62" t="n">
        <v>1836.31247</v>
      </c>
      <c r="E7" s="62" t="n">
        <v>2066.07629</v>
      </c>
      <c r="F7" s="62" t="n">
        <v>2291.86639</v>
      </c>
      <c r="G7" s="62" t="n">
        <v>2448.1409</v>
      </c>
      <c r="H7" s="62" t="n">
        <v>2624.19161</v>
      </c>
      <c r="I7" s="62" t="n">
        <v>2773.37326</v>
      </c>
      <c r="J7" s="62" t="n">
        <v>2883.06009</v>
      </c>
      <c r="K7" s="62" t="n">
        <v>3025.95691</v>
      </c>
      <c r="L7" s="62" t="n">
        <v>3111.59734</v>
      </c>
      <c r="M7" s="62" t="n">
        <v>3246.22942</v>
      </c>
      <c r="N7" s="62" t="n">
        <v>3336.82778</v>
      </c>
      <c r="O7" s="62" t="n">
        <v>3473.43154</v>
      </c>
      <c r="P7" s="62" t="n">
        <v>3593.11075</v>
      </c>
      <c r="Q7" s="62" t="n">
        <v>3641.78643</v>
      </c>
      <c r="R7" s="62" t="n">
        <v>3775.63964</v>
      </c>
      <c r="S7" s="62" t="n">
        <v>3908.8967</v>
      </c>
      <c r="T7" s="62" t="n">
        <v>4028.73126</v>
      </c>
      <c r="U7" s="62" t="n">
        <v>4216.42461</v>
      </c>
      <c r="V7" s="62" t="n">
        <v>4388.2018</v>
      </c>
      <c r="W7" s="62" t="n">
        <v>4527.40636</v>
      </c>
      <c r="X7" s="62" t="n">
        <v>4695.49069</v>
      </c>
      <c r="Y7" s="62" t="n">
        <v>4882.43246</v>
      </c>
      <c r="Z7" s="62" t="n">
        <v>4993.65323</v>
      </c>
      <c r="AA7" s="62" t="n">
        <v>5187.32692</v>
      </c>
      <c r="AB7" s="62" t="n">
        <v>5437.1914</v>
      </c>
      <c r="AC7" s="62" t="n">
        <v>5577.73366</v>
      </c>
      <c r="AD7" s="62" t="n">
        <v>5792.65446</v>
      </c>
      <c r="AE7" s="62" t="n">
        <v>5968.48494</v>
      </c>
      <c r="AF7" s="62" t="n">
        <v>6091.46545</v>
      </c>
    </row>
    <row r="8" ht="15" customHeight="1" s="74">
      <c r="A8" s="1" t="inlineStr">
        <is>
          <t>solar thermal</t>
        </is>
      </c>
      <c r="B8" s="62" t="n">
        <v>0</v>
      </c>
      <c r="C8" s="62" t="n">
        <v>0</v>
      </c>
      <c r="D8" s="62" t="n">
        <v>0</v>
      </c>
      <c r="E8" s="62" t="n">
        <v>0</v>
      </c>
      <c r="F8" s="62" t="n">
        <v>0</v>
      </c>
      <c r="G8" s="62" t="n">
        <v>0</v>
      </c>
      <c r="H8" s="62" t="n">
        <v>0</v>
      </c>
      <c r="I8" s="62" t="n">
        <v>0</v>
      </c>
      <c r="J8" s="62" t="n">
        <v>0</v>
      </c>
      <c r="K8" s="62" t="n">
        <v>0</v>
      </c>
      <c r="L8" s="62" t="n">
        <v>0</v>
      </c>
      <c r="M8" s="62" t="n">
        <v>0</v>
      </c>
      <c r="N8" s="62" t="n">
        <v>0</v>
      </c>
      <c r="O8" s="62" t="n">
        <v>0</v>
      </c>
      <c r="P8" s="62" t="n">
        <v>0</v>
      </c>
      <c r="Q8" s="62" t="n">
        <v>0</v>
      </c>
      <c r="R8" s="62" t="n">
        <v>0</v>
      </c>
      <c r="S8" s="62" t="n">
        <v>0</v>
      </c>
      <c r="T8" s="62" t="n">
        <v>0</v>
      </c>
      <c r="U8" s="62" t="n">
        <v>0</v>
      </c>
      <c r="V8" s="62" t="n">
        <v>0</v>
      </c>
      <c r="W8" s="62" t="n">
        <v>0</v>
      </c>
      <c r="X8" s="62" t="n">
        <v>0</v>
      </c>
      <c r="Y8" s="62" t="n">
        <v>0</v>
      </c>
      <c r="Z8" s="62" t="n">
        <v>0</v>
      </c>
      <c r="AA8" s="62" t="n">
        <v>0</v>
      </c>
      <c r="AB8" s="62" t="n">
        <v>0</v>
      </c>
      <c r="AC8" s="62" t="n">
        <v>0</v>
      </c>
      <c r="AD8" s="62" t="n">
        <v>0</v>
      </c>
      <c r="AE8" s="62" t="n">
        <v>0</v>
      </c>
      <c r="AF8" s="62" t="n">
        <v>0</v>
      </c>
    </row>
    <row r="9" ht="15" customHeight="1" s="74">
      <c r="A9" s="1" t="inlineStr">
        <is>
          <t>biomass</t>
        </is>
      </c>
      <c r="B9" s="62" t="n">
        <v>0</v>
      </c>
      <c r="C9" s="62" t="n">
        <v>0</v>
      </c>
      <c r="D9" s="62" t="n">
        <v>0</v>
      </c>
      <c r="E9" s="62" t="n">
        <v>0</v>
      </c>
      <c r="F9" s="62" t="n">
        <v>0</v>
      </c>
      <c r="G9" s="62" t="n">
        <v>0</v>
      </c>
      <c r="H9" s="62" t="n">
        <v>0</v>
      </c>
      <c r="I9" s="62" t="n">
        <v>0</v>
      </c>
      <c r="J9" s="62" t="n">
        <v>0</v>
      </c>
      <c r="K9" s="62" t="n">
        <v>0</v>
      </c>
      <c r="L9" s="62" t="n">
        <v>0</v>
      </c>
      <c r="M9" s="62" t="n">
        <v>0</v>
      </c>
      <c r="N9" s="62" t="n">
        <v>0</v>
      </c>
      <c r="O9" s="62" t="n">
        <v>0</v>
      </c>
      <c r="P9" s="62" t="n">
        <v>0</v>
      </c>
      <c r="Q9" s="62" t="n">
        <v>0</v>
      </c>
      <c r="R9" s="62" t="n">
        <v>0</v>
      </c>
      <c r="S9" s="62" t="n">
        <v>0</v>
      </c>
      <c r="T9" s="62" t="n">
        <v>0</v>
      </c>
      <c r="U9" s="62" t="n">
        <v>0</v>
      </c>
      <c r="V9" s="62" t="n">
        <v>0</v>
      </c>
      <c r="W9" s="62" t="n">
        <v>0</v>
      </c>
      <c r="X9" s="62" t="n">
        <v>0</v>
      </c>
      <c r="Y9" s="62" t="n">
        <v>0</v>
      </c>
      <c r="Z9" s="62" t="n">
        <v>0</v>
      </c>
      <c r="AA9" s="62" t="n">
        <v>0</v>
      </c>
      <c r="AB9" s="62" t="n">
        <v>0</v>
      </c>
      <c r="AC9" s="62" t="n">
        <v>0</v>
      </c>
      <c r="AD9" s="62" t="n">
        <v>0</v>
      </c>
      <c r="AE9" s="62" t="n">
        <v>0</v>
      </c>
      <c r="AF9" s="62" t="n">
        <v>0</v>
      </c>
    </row>
    <row r="10" ht="15" customHeight="1" s="74">
      <c r="A10" s="1" t="inlineStr">
        <is>
          <t>geothermal</t>
        </is>
      </c>
      <c r="B10" s="62" t="n">
        <v>0</v>
      </c>
      <c r="C10" s="62" t="n">
        <v>0</v>
      </c>
      <c r="D10" s="62" t="n">
        <v>0</v>
      </c>
      <c r="E10" s="62" t="n">
        <v>0</v>
      </c>
      <c r="F10" s="62" t="n">
        <v>0</v>
      </c>
      <c r="G10" s="62" t="n">
        <v>0</v>
      </c>
      <c r="H10" s="62" t="n">
        <v>0</v>
      </c>
      <c r="I10" s="62" t="n">
        <v>0</v>
      </c>
      <c r="J10" s="62" t="n">
        <v>0</v>
      </c>
      <c r="K10" s="62" t="n">
        <v>0</v>
      </c>
      <c r="L10" s="62" t="n">
        <v>0</v>
      </c>
      <c r="M10" s="62" t="n">
        <v>0</v>
      </c>
      <c r="N10" s="62" t="n">
        <v>0</v>
      </c>
      <c r="O10" s="62" t="n">
        <v>0</v>
      </c>
      <c r="P10" s="62" t="n">
        <v>0</v>
      </c>
      <c r="Q10" s="62" t="n">
        <v>0</v>
      </c>
      <c r="R10" s="62" t="n">
        <v>0</v>
      </c>
      <c r="S10" s="62" t="n">
        <v>0</v>
      </c>
      <c r="T10" s="62" t="n">
        <v>0</v>
      </c>
      <c r="U10" s="62" t="n">
        <v>0</v>
      </c>
      <c r="V10" s="62" t="n">
        <v>0</v>
      </c>
      <c r="W10" s="62" t="n">
        <v>0</v>
      </c>
      <c r="X10" s="62" t="n">
        <v>0</v>
      </c>
      <c r="Y10" s="62" t="n">
        <v>0</v>
      </c>
      <c r="Z10" s="62" t="n">
        <v>0</v>
      </c>
      <c r="AA10" s="62" t="n">
        <v>0</v>
      </c>
      <c r="AB10" s="62" t="n">
        <v>0</v>
      </c>
      <c r="AC10" s="62" t="n">
        <v>0</v>
      </c>
      <c r="AD10" s="62" t="n">
        <v>0</v>
      </c>
      <c r="AE10" s="62" t="n">
        <v>0</v>
      </c>
      <c r="AF10" s="62" t="n">
        <v>0</v>
      </c>
    </row>
    <row r="11" ht="15" customHeight="1" s="74">
      <c r="A11" s="1" t="inlineStr">
        <is>
          <t>petroleum</t>
        </is>
      </c>
      <c r="B11" s="62" t="n">
        <v>0.06813</v>
      </c>
      <c r="C11" s="62" t="n">
        <v>0.22455</v>
      </c>
      <c r="D11" s="62" t="n">
        <v>0.22455</v>
      </c>
      <c r="E11" s="62" t="n">
        <v>0.22455</v>
      </c>
      <c r="F11" s="62" t="n">
        <v>0.22455</v>
      </c>
      <c r="G11" s="62" t="n">
        <v>0.22455</v>
      </c>
      <c r="H11" s="62" t="n">
        <v>0.22455</v>
      </c>
      <c r="I11" s="62" t="n">
        <v>0.22455</v>
      </c>
      <c r="J11" s="62" t="n">
        <v>0.22455</v>
      </c>
      <c r="K11" s="62" t="n">
        <v>0.22455</v>
      </c>
      <c r="L11" s="62" t="n">
        <v>0.22455</v>
      </c>
      <c r="M11" s="62" t="n">
        <v>0.22455</v>
      </c>
      <c r="N11" s="62" t="n">
        <v>0.22455</v>
      </c>
      <c r="O11" s="62" t="n">
        <v>0.22455</v>
      </c>
      <c r="P11" s="62" t="n">
        <v>0.22455</v>
      </c>
      <c r="Q11" s="62" t="n">
        <v>0.22455</v>
      </c>
      <c r="R11" s="62" t="n">
        <v>0.22455</v>
      </c>
      <c r="S11" s="62" t="n">
        <v>0.22455</v>
      </c>
      <c r="T11" s="62" t="n">
        <v>0.22455</v>
      </c>
      <c r="U11" s="62" t="n">
        <v>0.22455</v>
      </c>
      <c r="V11" s="62" t="n">
        <v>0.22455</v>
      </c>
      <c r="W11" s="62" t="n">
        <v>0.22455</v>
      </c>
      <c r="X11" s="62" t="n">
        <v>0.22455</v>
      </c>
      <c r="Y11" s="62" t="n">
        <v>0.22455</v>
      </c>
      <c r="Z11" s="62" t="n">
        <v>0.22455</v>
      </c>
      <c r="AA11" s="62" t="n">
        <v>0.22455</v>
      </c>
      <c r="AB11" s="62" t="n">
        <v>0.22455</v>
      </c>
      <c r="AC11" s="62" t="n">
        <v>0.22455</v>
      </c>
      <c r="AD11" s="62" t="n">
        <v>0.22455</v>
      </c>
      <c r="AE11" s="62" t="n">
        <v>0.22455</v>
      </c>
      <c r="AF11" s="62" t="n">
        <v>0.22455</v>
      </c>
    </row>
    <row r="12" ht="15" customHeight="1" s="74">
      <c r="A12" s="1" t="inlineStr">
        <is>
          <t>natural gas peaker</t>
        </is>
      </c>
      <c r="B12" s="62" t="n">
        <v>0</v>
      </c>
      <c r="C12" s="62" t="n">
        <v>0</v>
      </c>
      <c r="D12" s="62" t="n">
        <v>0</v>
      </c>
      <c r="E12" s="62" t="n">
        <v>0</v>
      </c>
      <c r="F12" s="62" t="n">
        <v>0</v>
      </c>
      <c r="G12" s="62" t="n">
        <v>0</v>
      </c>
      <c r="H12" s="62" t="n">
        <v>0</v>
      </c>
      <c r="I12" s="62" t="n">
        <v>0</v>
      </c>
      <c r="J12" s="62" t="n">
        <v>0</v>
      </c>
      <c r="K12" s="62" t="n">
        <v>0</v>
      </c>
      <c r="L12" s="62" t="n">
        <v>0</v>
      </c>
      <c r="M12" s="62" t="n">
        <v>0</v>
      </c>
      <c r="N12" s="62" t="n">
        <v>0</v>
      </c>
      <c r="O12" s="62" t="n">
        <v>0</v>
      </c>
      <c r="P12" s="62" t="n">
        <v>0</v>
      </c>
      <c r="Q12" s="62" t="n">
        <v>0</v>
      </c>
      <c r="R12" s="62" t="n">
        <v>0</v>
      </c>
      <c r="S12" s="62" t="n">
        <v>0</v>
      </c>
      <c r="T12" s="62" t="n">
        <v>0</v>
      </c>
      <c r="U12" s="62" t="n">
        <v>0</v>
      </c>
      <c r="V12" s="62" t="n">
        <v>0</v>
      </c>
      <c r="W12" s="62" t="n">
        <v>0</v>
      </c>
      <c r="X12" s="62" t="n">
        <v>0</v>
      </c>
      <c r="Y12" s="62" t="n">
        <v>0</v>
      </c>
      <c r="Z12" s="62" t="n">
        <v>0</v>
      </c>
      <c r="AA12" s="62" t="n">
        <v>0</v>
      </c>
      <c r="AB12" s="62" t="n">
        <v>0</v>
      </c>
      <c r="AC12" s="62" t="n">
        <v>0</v>
      </c>
      <c r="AD12" s="62" t="n">
        <v>0</v>
      </c>
      <c r="AE12" s="62" t="n">
        <v>0</v>
      </c>
      <c r="AF12" s="62" t="n">
        <v>0</v>
      </c>
    </row>
    <row r="13" ht="15" customHeight="1" s="74">
      <c r="A13" s="1" t="inlineStr">
        <is>
          <t>lignite</t>
        </is>
      </c>
      <c r="B13" s="62" t="n">
        <v>0</v>
      </c>
      <c r="C13" s="62" t="n">
        <v>0</v>
      </c>
      <c r="D13" s="62" t="n">
        <v>0</v>
      </c>
      <c r="E13" s="62" t="n">
        <v>0</v>
      </c>
      <c r="F13" s="62" t="n">
        <v>0</v>
      </c>
      <c r="G13" s="62" t="n">
        <v>0</v>
      </c>
      <c r="H13" s="62" t="n">
        <v>0</v>
      </c>
      <c r="I13" s="62" t="n">
        <v>0</v>
      </c>
      <c r="J13" s="62" t="n">
        <v>0</v>
      </c>
      <c r="K13" s="62" t="n">
        <v>0</v>
      </c>
      <c r="L13" s="62" t="n">
        <v>0</v>
      </c>
      <c r="M13" s="62" t="n">
        <v>0</v>
      </c>
      <c r="N13" s="62" t="n">
        <v>0</v>
      </c>
      <c r="O13" s="62" t="n">
        <v>0</v>
      </c>
      <c r="P13" s="62" t="n">
        <v>0</v>
      </c>
      <c r="Q13" s="62" t="n">
        <v>0</v>
      </c>
      <c r="R13" s="62" t="n">
        <v>0</v>
      </c>
      <c r="S13" s="62" t="n">
        <v>0</v>
      </c>
      <c r="T13" s="62" t="n">
        <v>0</v>
      </c>
      <c r="U13" s="62" t="n">
        <v>0</v>
      </c>
      <c r="V13" s="62" t="n">
        <v>0</v>
      </c>
      <c r="W13" s="62" t="n">
        <v>0</v>
      </c>
      <c r="X13" s="62" t="n">
        <v>0</v>
      </c>
      <c r="Y13" s="62" t="n">
        <v>0</v>
      </c>
      <c r="Z13" s="62" t="n">
        <v>0</v>
      </c>
      <c r="AA13" s="62" t="n">
        <v>0</v>
      </c>
      <c r="AB13" s="62" t="n">
        <v>0</v>
      </c>
      <c r="AC13" s="62" t="n">
        <v>0</v>
      </c>
      <c r="AD13" s="62" t="n">
        <v>0</v>
      </c>
      <c r="AE13" s="62" t="n">
        <v>0</v>
      </c>
      <c r="AF13" s="62" t="n">
        <v>0</v>
      </c>
    </row>
    <row r="14" ht="15" customHeight="1" s="74">
      <c r="A14" s="1" t="inlineStr">
        <is>
          <t>offshore wind</t>
        </is>
      </c>
      <c r="B14" s="62" t="n">
        <v>0</v>
      </c>
      <c r="C14" s="62" t="n">
        <v>0</v>
      </c>
      <c r="D14" s="62" t="n">
        <v>0</v>
      </c>
      <c r="E14" s="62" t="n">
        <v>0</v>
      </c>
      <c r="F14" s="62" t="n">
        <v>0</v>
      </c>
      <c r="G14" s="62" t="n">
        <v>0</v>
      </c>
      <c r="H14" s="62" t="n">
        <v>0</v>
      </c>
      <c r="I14" s="62" t="n">
        <v>0</v>
      </c>
      <c r="J14" s="62" t="n">
        <v>0</v>
      </c>
      <c r="K14" s="62" t="n">
        <v>0</v>
      </c>
      <c r="L14" s="62" t="n">
        <v>0</v>
      </c>
      <c r="M14" s="62" t="n">
        <v>0</v>
      </c>
      <c r="N14" s="62" t="n">
        <v>0</v>
      </c>
      <c r="O14" s="62" t="n">
        <v>0</v>
      </c>
      <c r="P14" s="62" t="n">
        <v>0</v>
      </c>
      <c r="Q14" s="62" t="n">
        <v>0</v>
      </c>
      <c r="R14" s="62" t="n">
        <v>0</v>
      </c>
      <c r="S14" s="62" t="n">
        <v>0</v>
      </c>
      <c r="T14" s="62" t="n">
        <v>0</v>
      </c>
      <c r="U14" s="62" t="n">
        <v>0</v>
      </c>
      <c r="V14" s="62" t="n">
        <v>0</v>
      </c>
      <c r="W14" s="62" t="n">
        <v>0</v>
      </c>
      <c r="X14" s="62" t="n">
        <v>0</v>
      </c>
      <c r="Y14" s="62" t="n">
        <v>0</v>
      </c>
      <c r="Z14" s="62" t="n">
        <v>0</v>
      </c>
      <c r="AA14" s="62" t="n">
        <v>0</v>
      </c>
      <c r="AB14" s="62" t="n">
        <v>0</v>
      </c>
      <c r="AC14" s="62" t="n">
        <v>0</v>
      </c>
      <c r="AD14" s="62" t="n">
        <v>0</v>
      </c>
      <c r="AE14" s="62" t="n">
        <v>0</v>
      </c>
      <c r="AF14" s="62" t="n">
        <v>0</v>
      </c>
    </row>
    <row r="15" ht="15" customHeight="1" s="74">
      <c r="A15" s="1" t="inlineStr">
        <is>
          <t>crude oil</t>
        </is>
      </c>
      <c r="B15" s="62" t="n">
        <v>0</v>
      </c>
      <c r="C15" s="62" t="n">
        <v>0</v>
      </c>
      <c r="D15" s="62" t="n">
        <v>0</v>
      </c>
      <c r="E15" s="62" t="n">
        <v>0</v>
      </c>
      <c r="F15" s="62" t="n">
        <v>0</v>
      </c>
      <c r="G15" s="62" t="n">
        <v>0</v>
      </c>
      <c r="H15" s="62" t="n">
        <v>0</v>
      </c>
      <c r="I15" s="62" t="n">
        <v>0</v>
      </c>
      <c r="J15" s="62" t="n">
        <v>0</v>
      </c>
      <c r="K15" s="62" t="n">
        <v>0</v>
      </c>
      <c r="L15" s="62" t="n">
        <v>0</v>
      </c>
      <c r="M15" s="62" t="n">
        <v>0</v>
      </c>
      <c r="N15" s="62" t="n">
        <v>0</v>
      </c>
      <c r="O15" s="62" t="n">
        <v>0</v>
      </c>
      <c r="P15" s="62" t="n">
        <v>0</v>
      </c>
      <c r="Q15" s="62" t="n">
        <v>0</v>
      </c>
      <c r="R15" s="62" t="n">
        <v>0</v>
      </c>
      <c r="S15" s="62" t="n">
        <v>0</v>
      </c>
      <c r="T15" s="62" t="n">
        <v>0</v>
      </c>
      <c r="U15" s="62" t="n">
        <v>0</v>
      </c>
      <c r="V15" s="62" t="n">
        <v>0</v>
      </c>
      <c r="W15" s="62" t="n">
        <v>0</v>
      </c>
      <c r="X15" s="62" t="n">
        <v>0</v>
      </c>
      <c r="Y15" s="62" t="n">
        <v>0</v>
      </c>
      <c r="Z15" s="62" t="n">
        <v>0</v>
      </c>
      <c r="AA15" s="62" t="n">
        <v>0</v>
      </c>
      <c r="AB15" s="62" t="n">
        <v>0</v>
      </c>
      <c r="AC15" s="62" t="n">
        <v>0</v>
      </c>
      <c r="AD15" s="62" t="n">
        <v>0</v>
      </c>
      <c r="AE15" s="62" t="n">
        <v>0</v>
      </c>
      <c r="AF15" s="62" t="n">
        <v>0</v>
      </c>
    </row>
    <row r="16" ht="15" customHeight="1" s="74">
      <c r="A16" s="1" t="inlineStr">
        <is>
          <t>heavy or residual fuel oil</t>
        </is>
      </c>
      <c r="B16" s="62" t="n">
        <v>0</v>
      </c>
      <c r="C16" s="62" t="n">
        <v>0</v>
      </c>
      <c r="D16" s="62" t="n">
        <v>0</v>
      </c>
      <c r="E16" s="62" t="n">
        <v>0</v>
      </c>
      <c r="F16" s="62" t="n">
        <v>0</v>
      </c>
      <c r="G16" s="62" t="n">
        <v>0</v>
      </c>
      <c r="H16" s="62" t="n">
        <v>0</v>
      </c>
      <c r="I16" s="62" t="n">
        <v>0</v>
      </c>
      <c r="J16" s="62" t="n">
        <v>0</v>
      </c>
      <c r="K16" s="62" t="n">
        <v>0</v>
      </c>
      <c r="L16" s="62" t="n">
        <v>0</v>
      </c>
      <c r="M16" s="62" t="n">
        <v>0</v>
      </c>
      <c r="N16" s="62" t="n">
        <v>0</v>
      </c>
      <c r="O16" s="62" t="n">
        <v>0</v>
      </c>
      <c r="P16" s="62" t="n">
        <v>0</v>
      </c>
      <c r="Q16" s="62" t="n">
        <v>0</v>
      </c>
      <c r="R16" s="62" t="n">
        <v>0</v>
      </c>
      <c r="S16" s="62" t="n">
        <v>0</v>
      </c>
      <c r="T16" s="62" t="n">
        <v>0</v>
      </c>
      <c r="U16" s="62" t="n">
        <v>0</v>
      </c>
      <c r="V16" s="62" t="n">
        <v>0</v>
      </c>
      <c r="W16" s="62" t="n">
        <v>0</v>
      </c>
      <c r="X16" s="62" t="n">
        <v>0</v>
      </c>
      <c r="Y16" s="62" t="n">
        <v>0</v>
      </c>
      <c r="Z16" s="62" t="n">
        <v>0</v>
      </c>
      <c r="AA16" s="62" t="n">
        <v>0</v>
      </c>
      <c r="AB16" s="62" t="n">
        <v>0</v>
      </c>
      <c r="AC16" s="62" t="n">
        <v>0</v>
      </c>
      <c r="AD16" s="62" t="n">
        <v>0</v>
      </c>
      <c r="AE16" s="62" t="n">
        <v>0</v>
      </c>
      <c r="AF16" s="62" t="n">
        <v>0</v>
      </c>
    </row>
    <row r="17" ht="15" customHeight="1" s="74">
      <c r="A17" s="1" t="inlineStr">
        <is>
          <t>municipal solid waste</t>
        </is>
      </c>
      <c r="B17" s="62" t="n">
        <v>0</v>
      </c>
      <c r="C17" s="62" t="n">
        <v>0</v>
      </c>
      <c r="D17" s="62" t="n">
        <v>0</v>
      </c>
      <c r="E17" s="62" t="n">
        <v>0</v>
      </c>
      <c r="F17" s="62" t="n">
        <v>0</v>
      </c>
      <c r="G17" s="62" t="n">
        <v>0</v>
      </c>
      <c r="H17" s="62" t="n">
        <v>0</v>
      </c>
      <c r="I17" s="62" t="n">
        <v>0</v>
      </c>
      <c r="J17" s="62" t="n">
        <v>0</v>
      </c>
      <c r="K17" s="62" t="n">
        <v>0</v>
      </c>
      <c r="L17" s="62" t="n">
        <v>0</v>
      </c>
      <c r="M17" s="62" t="n">
        <v>0</v>
      </c>
      <c r="N17" s="62" t="n">
        <v>0</v>
      </c>
      <c r="O17" s="62" t="n">
        <v>0</v>
      </c>
      <c r="P17" s="62" t="n">
        <v>0</v>
      </c>
      <c r="Q17" s="62" t="n">
        <v>0</v>
      </c>
      <c r="R17" s="62" t="n">
        <v>0</v>
      </c>
      <c r="S17" s="62" t="n">
        <v>0</v>
      </c>
      <c r="T17" s="62" t="n">
        <v>0</v>
      </c>
      <c r="U17" s="62" t="n">
        <v>0</v>
      </c>
      <c r="V17" s="62" t="n">
        <v>0</v>
      </c>
      <c r="W17" s="62" t="n">
        <v>0</v>
      </c>
      <c r="X17" s="62" t="n">
        <v>0</v>
      </c>
      <c r="Y17" s="62" t="n">
        <v>0</v>
      </c>
      <c r="Z17" s="62" t="n">
        <v>0</v>
      </c>
      <c r="AA17" s="62" t="n">
        <v>0</v>
      </c>
      <c r="AB17" s="62" t="n">
        <v>0</v>
      </c>
      <c r="AC17" s="62" t="n">
        <v>0</v>
      </c>
      <c r="AD17" s="62" t="n">
        <v>0</v>
      </c>
      <c r="AE17" s="62" t="n">
        <v>0</v>
      </c>
      <c r="AF17" s="62" t="n">
        <v>0</v>
      </c>
    </row>
    <row r="18" ht="15" customHeight="1" s="74">
      <c r="A18" s="67" t="inlineStr">
        <is>
          <t>hard coal w CCS</t>
        </is>
      </c>
      <c r="B18" s="65" t="n">
        <v>0</v>
      </c>
      <c r="C18" s="65" t="n">
        <v>0</v>
      </c>
      <c r="D18" s="65" t="n">
        <v>0</v>
      </c>
      <c r="E18" s="65" t="n">
        <v>0</v>
      </c>
      <c r="F18" s="65" t="n">
        <v>0</v>
      </c>
      <c r="G18" s="65" t="n">
        <v>0</v>
      </c>
      <c r="H18" s="65" t="n">
        <v>0</v>
      </c>
      <c r="I18" s="65" t="n">
        <v>0</v>
      </c>
      <c r="J18" s="65" t="n">
        <v>0</v>
      </c>
      <c r="K18" s="65" t="n">
        <v>0</v>
      </c>
      <c r="L18" s="65" t="n">
        <v>0</v>
      </c>
      <c r="M18" s="65" t="n">
        <v>0</v>
      </c>
      <c r="N18" s="65" t="n">
        <v>0</v>
      </c>
      <c r="O18" s="65" t="n">
        <v>0</v>
      </c>
      <c r="P18" s="65" t="n">
        <v>0</v>
      </c>
      <c r="Q18" s="65" t="n">
        <v>0</v>
      </c>
      <c r="R18" s="65" t="n">
        <v>0</v>
      </c>
      <c r="S18" s="65" t="n">
        <v>0</v>
      </c>
      <c r="T18" s="65" t="n">
        <v>0</v>
      </c>
      <c r="U18" s="65" t="n">
        <v>0</v>
      </c>
      <c r="V18" s="65" t="n">
        <v>0</v>
      </c>
      <c r="W18" s="65" t="n">
        <v>0</v>
      </c>
      <c r="X18" s="65" t="n">
        <v>0</v>
      </c>
      <c r="Y18" s="65" t="n">
        <v>0</v>
      </c>
      <c r="Z18" s="65" t="n">
        <v>0</v>
      </c>
      <c r="AA18" s="65" t="n">
        <v>0</v>
      </c>
      <c r="AB18" s="65" t="n">
        <v>0</v>
      </c>
      <c r="AC18" s="65" t="n">
        <v>0</v>
      </c>
      <c r="AD18" s="65" t="n">
        <v>0</v>
      </c>
      <c r="AE18" s="65" t="n">
        <v>0</v>
      </c>
      <c r="AF18" s="65" t="n">
        <v>0</v>
      </c>
    </row>
    <row r="19" ht="15" customHeight="1" s="74">
      <c r="A19" s="67" t="inlineStr">
        <is>
          <t>natural gas combined cycle w CCS</t>
        </is>
      </c>
      <c r="B19" s="65" t="n">
        <v>0</v>
      </c>
      <c r="C19" s="65" t="n">
        <v>0</v>
      </c>
      <c r="D19" s="65" t="n">
        <v>0</v>
      </c>
      <c r="E19" s="65" t="n">
        <v>0</v>
      </c>
      <c r="F19" s="65" t="n">
        <v>0</v>
      </c>
      <c r="G19" s="65" t="n">
        <v>0</v>
      </c>
      <c r="H19" s="65" t="n">
        <v>0</v>
      </c>
      <c r="I19" s="65" t="n">
        <v>0</v>
      </c>
      <c r="J19" s="65" t="n">
        <v>0</v>
      </c>
      <c r="K19" s="65" t="n">
        <v>0</v>
      </c>
      <c r="L19" s="65" t="n">
        <v>0</v>
      </c>
      <c r="M19" s="65" t="n">
        <v>0</v>
      </c>
      <c r="N19" s="65" t="n">
        <v>0</v>
      </c>
      <c r="O19" s="65" t="n">
        <v>0</v>
      </c>
      <c r="P19" s="65" t="n">
        <v>0</v>
      </c>
      <c r="Q19" s="65" t="n">
        <v>0</v>
      </c>
      <c r="R19" s="65" t="n">
        <v>0</v>
      </c>
      <c r="S19" s="65" t="n">
        <v>0</v>
      </c>
      <c r="T19" s="65" t="n">
        <v>0</v>
      </c>
      <c r="U19" s="65" t="n">
        <v>0</v>
      </c>
      <c r="V19" s="65" t="n">
        <v>0</v>
      </c>
      <c r="W19" s="65" t="n">
        <v>0</v>
      </c>
      <c r="X19" s="65" t="n">
        <v>0</v>
      </c>
      <c r="Y19" s="65" t="n">
        <v>0</v>
      </c>
      <c r="Z19" s="65" t="n">
        <v>0</v>
      </c>
      <c r="AA19" s="65" t="n">
        <v>0</v>
      </c>
      <c r="AB19" s="65" t="n">
        <v>0</v>
      </c>
      <c r="AC19" s="65" t="n">
        <v>0</v>
      </c>
      <c r="AD19" s="65" t="n">
        <v>0</v>
      </c>
      <c r="AE19" s="65" t="n">
        <v>0</v>
      </c>
      <c r="AF19" s="65" t="n">
        <v>0</v>
      </c>
    </row>
    <row r="20" ht="15" customHeight="1" s="74">
      <c r="A20" s="67" t="inlineStr">
        <is>
          <t>biomass w CCS</t>
        </is>
      </c>
      <c r="B20" s="65" t="n">
        <v>0</v>
      </c>
      <c r="C20" s="65" t="n">
        <v>0</v>
      </c>
      <c r="D20" s="65" t="n">
        <v>0</v>
      </c>
      <c r="E20" s="65" t="n">
        <v>0</v>
      </c>
      <c r="F20" s="65" t="n">
        <v>0</v>
      </c>
      <c r="G20" s="65" t="n">
        <v>0</v>
      </c>
      <c r="H20" s="65" t="n">
        <v>0</v>
      </c>
      <c r="I20" s="65" t="n">
        <v>0</v>
      </c>
      <c r="J20" s="65" t="n">
        <v>0</v>
      </c>
      <c r="K20" s="65" t="n">
        <v>0</v>
      </c>
      <c r="L20" s="65" t="n">
        <v>0</v>
      </c>
      <c r="M20" s="65" t="n">
        <v>0</v>
      </c>
      <c r="N20" s="65" t="n">
        <v>0</v>
      </c>
      <c r="O20" s="65" t="n">
        <v>0</v>
      </c>
      <c r="P20" s="65" t="n">
        <v>0</v>
      </c>
      <c r="Q20" s="65" t="n">
        <v>0</v>
      </c>
      <c r="R20" s="65" t="n">
        <v>0</v>
      </c>
      <c r="S20" s="65" t="n">
        <v>0</v>
      </c>
      <c r="T20" s="65" t="n">
        <v>0</v>
      </c>
      <c r="U20" s="65" t="n">
        <v>0</v>
      </c>
      <c r="V20" s="65" t="n">
        <v>0</v>
      </c>
      <c r="W20" s="65" t="n">
        <v>0</v>
      </c>
      <c r="X20" s="65" t="n">
        <v>0</v>
      </c>
      <c r="Y20" s="65" t="n">
        <v>0</v>
      </c>
      <c r="Z20" s="65" t="n">
        <v>0</v>
      </c>
      <c r="AA20" s="65" t="n">
        <v>0</v>
      </c>
      <c r="AB20" s="65" t="n">
        <v>0</v>
      </c>
      <c r="AC20" s="65" t="n">
        <v>0</v>
      </c>
      <c r="AD20" s="65" t="n">
        <v>0</v>
      </c>
      <c r="AE20" s="65" t="n">
        <v>0</v>
      </c>
      <c r="AF20" s="65" t="n">
        <v>0</v>
      </c>
    </row>
    <row r="21" ht="15" customHeight="1" s="74">
      <c r="A21" s="67" t="inlineStr">
        <is>
          <t>lignite w CCS</t>
        </is>
      </c>
      <c r="B21" s="65" t="n">
        <v>0</v>
      </c>
      <c r="C21" s="65" t="n">
        <v>0</v>
      </c>
      <c r="D21" s="65" t="n">
        <v>0</v>
      </c>
      <c r="E21" s="65" t="n">
        <v>0</v>
      </c>
      <c r="F21" s="65" t="n">
        <v>0</v>
      </c>
      <c r="G21" s="65" t="n">
        <v>0</v>
      </c>
      <c r="H21" s="65" t="n">
        <v>0</v>
      </c>
      <c r="I21" s="65" t="n">
        <v>0</v>
      </c>
      <c r="J21" s="65" t="n">
        <v>0</v>
      </c>
      <c r="K21" s="65" t="n">
        <v>0</v>
      </c>
      <c r="L21" s="65" t="n">
        <v>0</v>
      </c>
      <c r="M21" s="65" t="n">
        <v>0</v>
      </c>
      <c r="N21" s="65" t="n">
        <v>0</v>
      </c>
      <c r="O21" s="65" t="n">
        <v>0</v>
      </c>
      <c r="P21" s="65" t="n">
        <v>0</v>
      </c>
      <c r="Q21" s="65" t="n">
        <v>0</v>
      </c>
      <c r="R21" s="65" t="n">
        <v>0</v>
      </c>
      <c r="S21" s="65" t="n">
        <v>0</v>
      </c>
      <c r="T21" s="65" t="n">
        <v>0</v>
      </c>
      <c r="U21" s="65" t="n">
        <v>0</v>
      </c>
      <c r="V21" s="65" t="n">
        <v>0</v>
      </c>
      <c r="W21" s="65" t="n">
        <v>0</v>
      </c>
      <c r="X21" s="65" t="n">
        <v>0</v>
      </c>
      <c r="Y21" s="65" t="n">
        <v>0</v>
      </c>
      <c r="Z21" s="65" t="n">
        <v>0</v>
      </c>
      <c r="AA21" s="65" t="n">
        <v>0</v>
      </c>
      <c r="AB21" s="65" t="n">
        <v>0</v>
      </c>
      <c r="AC21" s="65" t="n">
        <v>0</v>
      </c>
      <c r="AD21" s="65" t="n">
        <v>0</v>
      </c>
      <c r="AE21" s="65" t="n">
        <v>0</v>
      </c>
      <c r="AF21" s="65" t="n">
        <v>0</v>
      </c>
    </row>
    <row r="22" ht="15" customHeight="1" s="74">
      <c r="A22" s="67" t="inlineStr">
        <is>
          <t>small modular reactor</t>
        </is>
      </c>
      <c r="B22" s="65" t="n">
        <v>0</v>
      </c>
      <c r="C22" s="65" t="n">
        <v>0</v>
      </c>
      <c r="D22" s="65" t="n">
        <v>0</v>
      </c>
      <c r="E22" s="65" t="n">
        <v>0</v>
      </c>
      <c r="F22" s="65" t="n">
        <v>0</v>
      </c>
      <c r="G22" s="65" t="n">
        <v>0</v>
      </c>
      <c r="H22" s="65" t="n">
        <v>0</v>
      </c>
      <c r="I22" s="65" t="n">
        <v>0</v>
      </c>
      <c r="J22" s="65" t="n">
        <v>0</v>
      </c>
      <c r="K22" s="65" t="n">
        <v>0</v>
      </c>
      <c r="L22" s="65" t="n">
        <v>0</v>
      </c>
      <c r="M22" s="65" t="n">
        <v>0</v>
      </c>
      <c r="N22" s="65" t="n">
        <v>0</v>
      </c>
      <c r="O22" s="65" t="n">
        <v>0</v>
      </c>
      <c r="P22" s="65" t="n">
        <v>0</v>
      </c>
      <c r="Q22" s="65" t="n">
        <v>0</v>
      </c>
      <c r="R22" s="65" t="n">
        <v>0</v>
      </c>
      <c r="S22" s="65" t="n">
        <v>0</v>
      </c>
      <c r="T22" s="65" t="n">
        <v>0</v>
      </c>
      <c r="U22" s="65" t="n">
        <v>0</v>
      </c>
      <c r="V22" s="65" t="n">
        <v>0</v>
      </c>
      <c r="W22" s="65" t="n">
        <v>0</v>
      </c>
      <c r="X22" s="65" t="n">
        <v>0</v>
      </c>
      <c r="Y22" s="65" t="n">
        <v>0</v>
      </c>
      <c r="Z22" s="65" t="n">
        <v>0</v>
      </c>
      <c r="AA22" s="65" t="n">
        <v>0</v>
      </c>
      <c r="AB22" s="65" t="n">
        <v>0</v>
      </c>
      <c r="AC22" s="65" t="n">
        <v>0</v>
      </c>
      <c r="AD22" s="65" t="n">
        <v>0</v>
      </c>
      <c r="AE22" s="65" t="n">
        <v>0</v>
      </c>
      <c r="AF22" s="65" t="n">
        <v>0</v>
      </c>
    </row>
    <row r="23" ht="15" customHeight="1" s="74">
      <c r="A23" s="68" t="inlineStr">
        <is>
          <t>hydrogen combustion turbine</t>
        </is>
      </c>
      <c r="B23" s="65" t="n">
        <v>0</v>
      </c>
      <c r="C23" s="65" t="n">
        <v>0</v>
      </c>
      <c r="D23" s="65" t="n">
        <v>0</v>
      </c>
      <c r="E23" s="65" t="n">
        <v>0</v>
      </c>
      <c r="F23" s="65" t="n">
        <v>0</v>
      </c>
      <c r="G23" s="65" t="n">
        <v>0</v>
      </c>
      <c r="H23" s="65" t="n">
        <v>0</v>
      </c>
      <c r="I23" s="65" t="n">
        <v>0</v>
      </c>
      <c r="J23" s="65" t="n">
        <v>0</v>
      </c>
      <c r="K23" s="65" t="n">
        <v>0</v>
      </c>
      <c r="L23" s="65" t="n">
        <v>0</v>
      </c>
      <c r="M23" s="65" t="n">
        <v>0</v>
      </c>
      <c r="N23" s="65" t="n">
        <v>0</v>
      </c>
      <c r="O23" s="65" t="n">
        <v>0</v>
      </c>
      <c r="P23" s="65" t="n">
        <v>0</v>
      </c>
      <c r="Q23" s="65" t="n">
        <v>0</v>
      </c>
      <c r="R23" s="65" t="n">
        <v>0</v>
      </c>
      <c r="S23" s="65" t="n">
        <v>0</v>
      </c>
      <c r="T23" s="65" t="n">
        <v>0</v>
      </c>
      <c r="U23" s="65" t="n">
        <v>0</v>
      </c>
      <c r="V23" s="65" t="n">
        <v>0</v>
      </c>
      <c r="W23" s="65" t="n">
        <v>0</v>
      </c>
      <c r="X23" s="65" t="n">
        <v>0</v>
      </c>
      <c r="Y23" s="65" t="n">
        <v>0</v>
      </c>
      <c r="Z23" s="65" t="n">
        <v>0</v>
      </c>
      <c r="AA23" s="65" t="n">
        <v>0</v>
      </c>
      <c r="AB23" s="65" t="n">
        <v>0</v>
      </c>
      <c r="AC23" s="65" t="n">
        <v>0</v>
      </c>
      <c r="AD23" s="65" t="n">
        <v>0</v>
      </c>
      <c r="AE23" s="65" t="n">
        <v>0</v>
      </c>
      <c r="AF23" s="65" t="n">
        <v>0</v>
      </c>
    </row>
    <row r="24" ht="15" customHeight="1" s="74">
      <c r="A24" s="68" t="inlineStr">
        <is>
          <t>hydrogen combined cycle</t>
        </is>
      </c>
      <c r="B24" s="65" t="n">
        <v>0</v>
      </c>
      <c r="C24" s="65" t="n">
        <v>0</v>
      </c>
      <c r="D24" s="65" t="n">
        <v>0</v>
      </c>
      <c r="E24" s="65" t="n">
        <v>0</v>
      </c>
      <c r="F24" s="65" t="n">
        <v>0</v>
      </c>
      <c r="G24" s="65" t="n">
        <v>0</v>
      </c>
      <c r="H24" s="65" t="n">
        <v>0</v>
      </c>
      <c r="I24" s="65" t="n">
        <v>0</v>
      </c>
      <c r="J24" s="65" t="n">
        <v>0</v>
      </c>
      <c r="K24" s="65" t="n">
        <v>0</v>
      </c>
      <c r="L24" s="65" t="n">
        <v>0</v>
      </c>
      <c r="M24" s="65" t="n">
        <v>0</v>
      </c>
      <c r="N24" s="65" t="n">
        <v>0</v>
      </c>
      <c r="O24" s="65" t="n">
        <v>0</v>
      </c>
      <c r="P24" s="65" t="n">
        <v>0</v>
      </c>
      <c r="Q24" s="65" t="n">
        <v>0</v>
      </c>
      <c r="R24" s="65" t="n">
        <v>0</v>
      </c>
      <c r="S24" s="65" t="n">
        <v>0</v>
      </c>
      <c r="T24" s="65" t="n">
        <v>0</v>
      </c>
      <c r="U24" s="65" t="n">
        <v>0</v>
      </c>
      <c r="V24" s="65" t="n">
        <v>0</v>
      </c>
      <c r="W24" s="65" t="n">
        <v>0</v>
      </c>
      <c r="X24" s="65" t="n">
        <v>0</v>
      </c>
      <c r="Y24" s="65" t="n">
        <v>0</v>
      </c>
      <c r="Z24" s="65" t="n">
        <v>0</v>
      </c>
      <c r="AA24" s="65" t="n">
        <v>0</v>
      </c>
      <c r="AB24" s="65" t="n">
        <v>0</v>
      </c>
      <c r="AC24" s="65" t="n">
        <v>0</v>
      </c>
      <c r="AD24" s="65" t="n">
        <v>0</v>
      </c>
      <c r="AE24" s="65" t="n">
        <v>0</v>
      </c>
      <c r="AF24" s="65" t="n">
        <v>0</v>
      </c>
    </row>
  </sheetData>
  <pageMargins left="0.7" right="0.7" top="0.75" bottom="0.75" header="0.3" footer="0.3"/>
</worksheet>
</file>

<file path=xl/worksheets/sheet13.xml><?xml version="1.0" encoding="utf-8"?>
<worksheet xmlns="http://schemas.openxmlformats.org/spreadsheetml/2006/main">
  <sheetPr>
    <tabColor rgb="FF1F497D"/>
    <outlinePr summaryBelow="1" summaryRight="1"/>
    <pageSetUpPr/>
  </sheetPr>
  <dimension ref="A1:AG1001"/>
  <sheetViews>
    <sheetView workbookViewId="0">
      <selection activeCell="B3" sqref="B3:AF3"/>
    </sheetView>
  </sheetViews>
  <sheetFormatPr baseColWidth="10" defaultColWidth="12.6640625" defaultRowHeight="15" customHeight="1"/>
  <cols>
    <col width="20.5" customWidth="1" style="74" min="1" max="1"/>
    <col width="9.1640625" customWidth="1" style="74" min="2" max="2"/>
    <col width="8.33203125" customWidth="1" style="74" min="3"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f>'BDEQ-BDESC-rural-residential-o'!B2</f>
        <v/>
      </c>
      <c r="C2" s="62">
        <f>'BDEQ-BDESC-rural-residential-o'!C2</f>
        <v/>
      </c>
      <c r="D2" s="62">
        <f>'BDEQ-BDESC-rural-residential-o'!D2</f>
        <v/>
      </c>
      <c r="E2" s="62">
        <f>'BDEQ-BDESC-rural-residential-o'!E2</f>
        <v/>
      </c>
      <c r="F2" s="62">
        <f>'BDEQ-BDESC-rural-residential-o'!F2</f>
        <v/>
      </c>
      <c r="G2" s="62">
        <f>'BDEQ-BDESC-rural-residential-o'!G2</f>
        <v/>
      </c>
      <c r="H2" s="62">
        <f>'BDEQ-BDESC-rural-residential-o'!H2</f>
        <v/>
      </c>
      <c r="I2" s="62">
        <f>'BDEQ-BDESC-rural-residential-o'!I2</f>
        <v/>
      </c>
      <c r="J2" s="62">
        <f>'BDEQ-BDESC-rural-residential-o'!J2</f>
        <v/>
      </c>
      <c r="K2" s="62">
        <f>'BDEQ-BDESC-rural-residential-o'!K2</f>
        <v/>
      </c>
      <c r="L2" s="62">
        <f>'BDEQ-BDESC-rural-residential-o'!L2</f>
        <v/>
      </c>
      <c r="M2" s="62">
        <f>'BDEQ-BDESC-rural-residential-o'!M2</f>
        <v/>
      </c>
      <c r="N2" s="62">
        <f>'BDEQ-BDESC-rural-residential-o'!N2</f>
        <v/>
      </c>
      <c r="O2" s="62">
        <f>'BDEQ-BDESC-rural-residential-o'!O2</f>
        <v/>
      </c>
      <c r="P2" s="62">
        <f>'BDEQ-BDESC-rural-residential-o'!P2</f>
        <v/>
      </c>
      <c r="Q2" s="62">
        <f>'BDEQ-BDESC-rural-residential-o'!Q2</f>
        <v/>
      </c>
      <c r="R2" s="62">
        <f>'BDEQ-BDESC-rural-residential-o'!R2</f>
        <v/>
      </c>
      <c r="S2" s="62">
        <f>'BDEQ-BDESC-rural-residential-o'!S2</f>
        <v/>
      </c>
      <c r="T2" s="62">
        <f>'BDEQ-BDESC-rural-residential-o'!T2</f>
        <v/>
      </c>
      <c r="U2" s="62">
        <f>'BDEQ-BDESC-rural-residential-o'!U2</f>
        <v/>
      </c>
      <c r="V2" s="62">
        <f>'BDEQ-BDESC-rural-residential-o'!V2</f>
        <v/>
      </c>
      <c r="W2" s="62">
        <f>'BDEQ-BDESC-rural-residential-o'!W2</f>
        <v/>
      </c>
      <c r="X2" s="62">
        <f>'BDEQ-BDESC-rural-residential-o'!X2</f>
        <v/>
      </c>
      <c r="Y2" s="62">
        <f>'BDEQ-BDESC-rural-residential-o'!Y2</f>
        <v/>
      </c>
      <c r="Z2" s="62">
        <f>'BDEQ-BDESC-rural-residential-o'!Z2</f>
        <v/>
      </c>
      <c r="AA2" s="62">
        <f>'BDEQ-BDESC-rural-residential-o'!AA2</f>
        <v/>
      </c>
      <c r="AB2" s="62">
        <f>'BDEQ-BDESC-rural-residential-o'!AB2</f>
        <v/>
      </c>
      <c r="AC2" s="62">
        <f>'BDEQ-BDESC-rural-residential-o'!AC2</f>
        <v/>
      </c>
      <c r="AD2" s="62">
        <f>'BDEQ-BDESC-rural-residential-o'!AD2</f>
        <v/>
      </c>
      <c r="AE2" s="62">
        <f>'BDEQ-BDESC-rural-residential-o'!AE2</f>
        <v/>
      </c>
      <c r="AF2" s="62">
        <f>'BDEQ-BDESC-rural-residential-o'!AF2</f>
        <v/>
      </c>
    </row>
    <row r="3" ht="14.25" customFormat="1" customHeight="1" s="57">
      <c r="A3" s="70" t="inlineStr">
        <is>
          <t>natural gas steam turbine</t>
        </is>
      </c>
      <c r="B3" s="69" t="n">
        <v>0</v>
      </c>
      <c r="C3" s="69" t="n">
        <v>0</v>
      </c>
      <c r="D3" s="69" t="n">
        <v>0</v>
      </c>
      <c r="E3" s="69" t="n">
        <v>0</v>
      </c>
      <c r="F3" s="69" t="n">
        <v>0</v>
      </c>
      <c r="G3" s="69" t="n">
        <v>0</v>
      </c>
      <c r="H3" s="69" t="n">
        <v>0</v>
      </c>
      <c r="I3" s="69" t="n">
        <v>0</v>
      </c>
      <c r="J3" s="69" t="n">
        <v>0</v>
      </c>
      <c r="K3" s="69" t="n">
        <v>0</v>
      </c>
      <c r="L3" s="69" t="n">
        <v>0</v>
      </c>
      <c r="M3" s="69" t="n">
        <v>0</v>
      </c>
      <c r="N3" s="69" t="n">
        <v>0</v>
      </c>
      <c r="O3" s="69" t="n">
        <v>0</v>
      </c>
      <c r="P3" s="69" t="n">
        <v>0</v>
      </c>
      <c r="Q3" s="69" t="n">
        <v>0</v>
      </c>
      <c r="R3" s="69" t="n">
        <v>0</v>
      </c>
      <c r="S3" s="69" t="n">
        <v>0</v>
      </c>
      <c r="T3" s="69" t="n">
        <v>0</v>
      </c>
      <c r="U3" s="69" t="n">
        <v>0</v>
      </c>
      <c r="V3" s="69" t="n">
        <v>0</v>
      </c>
      <c r="W3" s="69" t="n">
        <v>0</v>
      </c>
      <c r="X3" s="69" t="n">
        <v>0</v>
      </c>
      <c r="Y3" s="69" t="n">
        <v>0</v>
      </c>
      <c r="Z3" s="69" t="n">
        <v>0</v>
      </c>
      <c r="AA3" s="69" t="n">
        <v>0</v>
      </c>
      <c r="AB3" s="69" t="n">
        <v>0</v>
      </c>
      <c r="AC3" s="69" t="n">
        <v>0</v>
      </c>
      <c r="AD3" s="69" t="n">
        <v>0</v>
      </c>
      <c r="AE3" s="69" t="n">
        <v>0</v>
      </c>
      <c r="AF3" s="69" t="n">
        <v>0</v>
      </c>
    </row>
    <row r="4" ht="14.25" customHeight="1" s="74">
      <c r="A4" s="70" t="inlineStr">
        <is>
          <t>natural gas combined cycle</t>
        </is>
      </c>
      <c r="B4" s="62">
        <f>'BDEQ-BDESC-rural-residential-o'!B3</f>
        <v/>
      </c>
      <c r="C4" s="62">
        <f>'BDEQ-BDESC-rural-residential-o'!C3</f>
        <v/>
      </c>
      <c r="D4" s="62">
        <f>'BDEQ-BDESC-rural-residential-o'!D3</f>
        <v/>
      </c>
      <c r="E4" s="62">
        <f>'BDEQ-BDESC-rural-residential-o'!E3</f>
        <v/>
      </c>
      <c r="F4" s="62">
        <f>'BDEQ-BDESC-rural-residential-o'!F3</f>
        <v/>
      </c>
      <c r="G4" s="62">
        <f>'BDEQ-BDESC-rural-residential-o'!G3</f>
        <v/>
      </c>
      <c r="H4" s="62">
        <f>'BDEQ-BDESC-rural-residential-o'!H3</f>
        <v/>
      </c>
      <c r="I4" s="62">
        <f>'BDEQ-BDESC-rural-residential-o'!I3</f>
        <v/>
      </c>
      <c r="J4" s="62">
        <f>'BDEQ-BDESC-rural-residential-o'!J3</f>
        <v/>
      </c>
      <c r="K4" s="62">
        <f>'BDEQ-BDESC-rural-residential-o'!K3</f>
        <v/>
      </c>
      <c r="L4" s="62">
        <f>'BDEQ-BDESC-rural-residential-o'!L3</f>
        <v/>
      </c>
      <c r="M4" s="62">
        <f>'BDEQ-BDESC-rural-residential-o'!M3</f>
        <v/>
      </c>
      <c r="N4" s="62">
        <f>'BDEQ-BDESC-rural-residential-o'!N3</f>
        <v/>
      </c>
      <c r="O4" s="62">
        <f>'BDEQ-BDESC-rural-residential-o'!O3</f>
        <v/>
      </c>
      <c r="P4" s="62">
        <f>'BDEQ-BDESC-rural-residential-o'!P3</f>
        <v/>
      </c>
      <c r="Q4" s="62">
        <f>'BDEQ-BDESC-rural-residential-o'!Q3</f>
        <v/>
      </c>
      <c r="R4" s="62">
        <f>'BDEQ-BDESC-rural-residential-o'!R3</f>
        <v/>
      </c>
      <c r="S4" s="62">
        <f>'BDEQ-BDESC-rural-residential-o'!S3</f>
        <v/>
      </c>
      <c r="T4" s="62">
        <f>'BDEQ-BDESC-rural-residential-o'!T3</f>
        <v/>
      </c>
      <c r="U4" s="62">
        <f>'BDEQ-BDESC-rural-residential-o'!U3</f>
        <v/>
      </c>
      <c r="V4" s="62">
        <f>'BDEQ-BDESC-rural-residential-o'!V3</f>
        <v/>
      </c>
      <c r="W4" s="62">
        <f>'BDEQ-BDESC-rural-residential-o'!W3</f>
        <v/>
      </c>
      <c r="X4" s="62">
        <f>'BDEQ-BDESC-rural-residential-o'!X3</f>
        <v/>
      </c>
      <c r="Y4" s="62">
        <f>'BDEQ-BDESC-rural-residential-o'!Y3</f>
        <v/>
      </c>
      <c r="Z4" s="62">
        <f>'BDEQ-BDESC-rural-residential-o'!Z3</f>
        <v/>
      </c>
      <c r="AA4" s="62">
        <f>'BDEQ-BDESC-rural-residential-o'!AA3</f>
        <v/>
      </c>
      <c r="AB4" s="62">
        <f>'BDEQ-BDESC-rural-residential-o'!AB3</f>
        <v/>
      </c>
      <c r="AC4" s="62">
        <f>'BDEQ-BDESC-rural-residential-o'!AC3</f>
        <v/>
      </c>
      <c r="AD4" s="62">
        <f>'BDEQ-BDESC-rural-residential-o'!AD3</f>
        <v/>
      </c>
      <c r="AE4" s="62">
        <f>'BDEQ-BDESC-rural-residential-o'!AE3</f>
        <v/>
      </c>
      <c r="AF4" s="62">
        <f>'BDEQ-BDESC-rural-residential-o'!AF3</f>
        <v/>
      </c>
    </row>
    <row r="5" ht="14.25" customHeight="1" s="74">
      <c r="A5" s="7" t="inlineStr">
        <is>
          <t>nuclear</t>
        </is>
      </c>
      <c r="B5" s="62">
        <f>'BDEQ-BDESC-rural-residential-o'!B4</f>
        <v/>
      </c>
      <c r="C5" s="62">
        <f>'BDEQ-BDESC-rural-residential-o'!C4</f>
        <v/>
      </c>
      <c r="D5" s="62">
        <f>'BDEQ-BDESC-rural-residential-o'!D4</f>
        <v/>
      </c>
      <c r="E5" s="62">
        <f>'BDEQ-BDESC-rural-residential-o'!E4</f>
        <v/>
      </c>
      <c r="F5" s="62">
        <f>'BDEQ-BDESC-rural-residential-o'!F4</f>
        <v/>
      </c>
      <c r="G5" s="62">
        <f>'BDEQ-BDESC-rural-residential-o'!G4</f>
        <v/>
      </c>
      <c r="H5" s="62">
        <f>'BDEQ-BDESC-rural-residential-o'!H4</f>
        <v/>
      </c>
      <c r="I5" s="62">
        <f>'BDEQ-BDESC-rural-residential-o'!I4</f>
        <v/>
      </c>
      <c r="J5" s="62">
        <f>'BDEQ-BDESC-rural-residential-o'!J4</f>
        <v/>
      </c>
      <c r="K5" s="62">
        <f>'BDEQ-BDESC-rural-residential-o'!K4</f>
        <v/>
      </c>
      <c r="L5" s="62">
        <f>'BDEQ-BDESC-rural-residential-o'!L4</f>
        <v/>
      </c>
      <c r="M5" s="62">
        <f>'BDEQ-BDESC-rural-residential-o'!M4</f>
        <v/>
      </c>
      <c r="N5" s="62">
        <f>'BDEQ-BDESC-rural-residential-o'!N4</f>
        <v/>
      </c>
      <c r="O5" s="62">
        <f>'BDEQ-BDESC-rural-residential-o'!O4</f>
        <v/>
      </c>
      <c r="P5" s="62">
        <f>'BDEQ-BDESC-rural-residential-o'!P4</f>
        <v/>
      </c>
      <c r="Q5" s="62">
        <f>'BDEQ-BDESC-rural-residential-o'!Q4</f>
        <v/>
      </c>
      <c r="R5" s="62">
        <f>'BDEQ-BDESC-rural-residential-o'!R4</f>
        <v/>
      </c>
      <c r="S5" s="62">
        <f>'BDEQ-BDESC-rural-residential-o'!S4</f>
        <v/>
      </c>
      <c r="T5" s="62">
        <f>'BDEQ-BDESC-rural-residential-o'!T4</f>
        <v/>
      </c>
      <c r="U5" s="62">
        <f>'BDEQ-BDESC-rural-residential-o'!U4</f>
        <v/>
      </c>
      <c r="V5" s="62">
        <f>'BDEQ-BDESC-rural-residential-o'!V4</f>
        <v/>
      </c>
      <c r="W5" s="62">
        <f>'BDEQ-BDESC-rural-residential-o'!W4</f>
        <v/>
      </c>
      <c r="X5" s="62">
        <f>'BDEQ-BDESC-rural-residential-o'!X4</f>
        <v/>
      </c>
      <c r="Y5" s="62">
        <f>'BDEQ-BDESC-rural-residential-o'!Y4</f>
        <v/>
      </c>
      <c r="Z5" s="62">
        <f>'BDEQ-BDESC-rural-residential-o'!Z4</f>
        <v/>
      </c>
      <c r="AA5" s="62">
        <f>'BDEQ-BDESC-rural-residential-o'!AA4</f>
        <v/>
      </c>
      <c r="AB5" s="62">
        <f>'BDEQ-BDESC-rural-residential-o'!AB4</f>
        <v/>
      </c>
      <c r="AC5" s="62">
        <f>'BDEQ-BDESC-rural-residential-o'!AC4</f>
        <v/>
      </c>
      <c r="AD5" s="62">
        <f>'BDEQ-BDESC-rural-residential-o'!AD4</f>
        <v/>
      </c>
      <c r="AE5" s="62">
        <f>'BDEQ-BDESC-rural-residential-o'!AE4</f>
        <v/>
      </c>
      <c r="AF5" s="62">
        <f>'BDEQ-BDESC-rural-residential-o'!AF4</f>
        <v/>
      </c>
    </row>
    <row r="6" ht="14.25" customHeight="1" s="74">
      <c r="A6" s="7" t="inlineStr">
        <is>
          <t>hydro</t>
        </is>
      </c>
      <c r="B6" s="62">
        <f>'BDEQ-BDESC-rural-residential-o'!B5</f>
        <v/>
      </c>
      <c r="C6" s="62">
        <f>'BDEQ-BDESC-rural-residential-o'!C5</f>
        <v/>
      </c>
      <c r="D6" s="62">
        <f>'BDEQ-BDESC-rural-residential-o'!D5</f>
        <v/>
      </c>
      <c r="E6" s="62">
        <f>'BDEQ-BDESC-rural-residential-o'!E5</f>
        <v/>
      </c>
      <c r="F6" s="62">
        <f>'BDEQ-BDESC-rural-residential-o'!F5</f>
        <v/>
      </c>
      <c r="G6" s="62">
        <f>'BDEQ-BDESC-rural-residential-o'!G5</f>
        <v/>
      </c>
      <c r="H6" s="62">
        <f>'BDEQ-BDESC-rural-residential-o'!H5</f>
        <v/>
      </c>
      <c r="I6" s="62">
        <f>'BDEQ-BDESC-rural-residential-o'!I5</f>
        <v/>
      </c>
      <c r="J6" s="62">
        <f>'BDEQ-BDESC-rural-residential-o'!J5</f>
        <v/>
      </c>
      <c r="K6" s="62">
        <f>'BDEQ-BDESC-rural-residential-o'!K5</f>
        <v/>
      </c>
      <c r="L6" s="62">
        <f>'BDEQ-BDESC-rural-residential-o'!L5</f>
        <v/>
      </c>
      <c r="M6" s="62">
        <f>'BDEQ-BDESC-rural-residential-o'!M5</f>
        <v/>
      </c>
      <c r="N6" s="62">
        <f>'BDEQ-BDESC-rural-residential-o'!N5</f>
        <v/>
      </c>
      <c r="O6" s="62">
        <f>'BDEQ-BDESC-rural-residential-o'!O5</f>
        <v/>
      </c>
      <c r="P6" s="62">
        <f>'BDEQ-BDESC-rural-residential-o'!P5</f>
        <v/>
      </c>
      <c r="Q6" s="62">
        <f>'BDEQ-BDESC-rural-residential-o'!Q5</f>
        <v/>
      </c>
      <c r="R6" s="62">
        <f>'BDEQ-BDESC-rural-residential-o'!R5</f>
        <v/>
      </c>
      <c r="S6" s="62">
        <f>'BDEQ-BDESC-rural-residential-o'!S5</f>
        <v/>
      </c>
      <c r="T6" s="62">
        <f>'BDEQ-BDESC-rural-residential-o'!T5</f>
        <v/>
      </c>
      <c r="U6" s="62">
        <f>'BDEQ-BDESC-rural-residential-o'!U5</f>
        <v/>
      </c>
      <c r="V6" s="62">
        <f>'BDEQ-BDESC-rural-residential-o'!V5</f>
        <v/>
      </c>
      <c r="W6" s="62">
        <f>'BDEQ-BDESC-rural-residential-o'!W5</f>
        <v/>
      </c>
      <c r="X6" s="62">
        <f>'BDEQ-BDESC-rural-residential-o'!X5</f>
        <v/>
      </c>
      <c r="Y6" s="62">
        <f>'BDEQ-BDESC-rural-residential-o'!Y5</f>
        <v/>
      </c>
      <c r="Z6" s="62">
        <f>'BDEQ-BDESC-rural-residential-o'!Z5</f>
        <v/>
      </c>
      <c r="AA6" s="62">
        <f>'BDEQ-BDESC-rural-residential-o'!AA5</f>
        <v/>
      </c>
      <c r="AB6" s="62">
        <f>'BDEQ-BDESC-rural-residential-o'!AB5</f>
        <v/>
      </c>
      <c r="AC6" s="62">
        <f>'BDEQ-BDESC-rural-residential-o'!AC5</f>
        <v/>
      </c>
      <c r="AD6" s="62">
        <f>'BDEQ-BDESC-rural-residential-o'!AD5</f>
        <v/>
      </c>
      <c r="AE6" s="62">
        <f>'BDEQ-BDESC-rural-residential-o'!AE5</f>
        <v/>
      </c>
      <c r="AF6" s="62">
        <f>'BDEQ-BDESC-rural-residential-o'!AF5</f>
        <v/>
      </c>
    </row>
    <row r="7" ht="14.25" customHeight="1" s="74">
      <c r="A7" s="7" t="inlineStr">
        <is>
          <t>onshore wind</t>
        </is>
      </c>
      <c r="B7" s="62">
        <f>'BDEQ-BDESC-rural-residential-o'!B6</f>
        <v/>
      </c>
      <c r="C7" s="62">
        <f>'BDEQ-BDESC-rural-residential-o'!C6</f>
        <v/>
      </c>
      <c r="D7" s="62">
        <f>'BDEQ-BDESC-rural-residential-o'!D6</f>
        <v/>
      </c>
      <c r="E7" s="62">
        <f>'BDEQ-BDESC-rural-residential-o'!E6</f>
        <v/>
      </c>
      <c r="F7" s="62">
        <f>'BDEQ-BDESC-rural-residential-o'!F6</f>
        <v/>
      </c>
      <c r="G7" s="62">
        <f>'BDEQ-BDESC-rural-residential-o'!G6</f>
        <v/>
      </c>
      <c r="H7" s="62">
        <f>'BDEQ-BDESC-rural-residential-o'!H6</f>
        <v/>
      </c>
      <c r="I7" s="62">
        <f>'BDEQ-BDESC-rural-residential-o'!I6</f>
        <v/>
      </c>
      <c r="J7" s="62">
        <f>'BDEQ-BDESC-rural-residential-o'!J6</f>
        <v/>
      </c>
      <c r="K7" s="62">
        <f>'BDEQ-BDESC-rural-residential-o'!K6</f>
        <v/>
      </c>
      <c r="L7" s="62">
        <f>'BDEQ-BDESC-rural-residential-o'!L6</f>
        <v/>
      </c>
      <c r="M7" s="62">
        <f>'BDEQ-BDESC-rural-residential-o'!M6</f>
        <v/>
      </c>
      <c r="N7" s="62">
        <f>'BDEQ-BDESC-rural-residential-o'!N6</f>
        <v/>
      </c>
      <c r="O7" s="62">
        <f>'BDEQ-BDESC-rural-residential-o'!O6</f>
        <v/>
      </c>
      <c r="P7" s="62">
        <f>'BDEQ-BDESC-rural-residential-o'!P6</f>
        <v/>
      </c>
      <c r="Q7" s="62">
        <f>'BDEQ-BDESC-rural-residential-o'!Q6</f>
        <v/>
      </c>
      <c r="R7" s="62">
        <f>'BDEQ-BDESC-rural-residential-o'!R6</f>
        <v/>
      </c>
      <c r="S7" s="62">
        <f>'BDEQ-BDESC-rural-residential-o'!S6</f>
        <v/>
      </c>
      <c r="T7" s="62">
        <f>'BDEQ-BDESC-rural-residential-o'!T6</f>
        <v/>
      </c>
      <c r="U7" s="62">
        <f>'BDEQ-BDESC-rural-residential-o'!U6</f>
        <v/>
      </c>
      <c r="V7" s="62">
        <f>'BDEQ-BDESC-rural-residential-o'!V6</f>
        <v/>
      </c>
      <c r="W7" s="62">
        <f>'BDEQ-BDESC-rural-residential-o'!W6</f>
        <v/>
      </c>
      <c r="X7" s="62">
        <f>'BDEQ-BDESC-rural-residential-o'!X6</f>
        <v/>
      </c>
      <c r="Y7" s="62">
        <f>'BDEQ-BDESC-rural-residential-o'!Y6</f>
        <v/>
      </c>
      <c r="Z7" s="62">
        <f>'BDEQ-BDESC-rural-residential-o'!Z6</f>
        <v/>
      </c>
      <c r="AA7" s="62">
        <f>'BDEQ-BDESC-rural-residential-o'!AA6</f>
        <v/>
      </c>
      <c r="AB7" s="62">
        <f>'BDEQ-BDESC-rural-residential-o'!AB6</f>
        <v/>
      </c>
      <c r="AC7" s="62">
        <f>'BDEQ-BDESC-rural-residential-o'!AC6</f>
        <v/>
      </c>
      <c r="AD7" s="62">
        <f>'BDEQ-BDESC-rural-residential-o'!AD6</f>
        <v/>
      </c>
      <c r="AE7" s="62">
        <f>'BDEQ-BDESC-rural-residential-o'!AE6</f>
        <v/>
      </c>
      <c r="AF7" s="62">
        <f>'BDEQ-BDESC-rural-residential-o'!AF6</f>
        <v/>
      </c>
    </row>
    <row r="8" ht="14.25" customHeight="1" s="74">
      <c r="A8" s="7" t="inlineStr">
        <is>
          <t>solar PV</t>
        </is>
      </c>
      <c r="B8" s="62">
        <f>'BDEQ-BDESC-rural-residential-o'!B7</f>
        <v/>
      </c>
      <c r="C8" s="62">
        <f>'BDEQ-BDESC-rural-residential-o'!C7</f>
        <v/>
      </c>
      <c r="D8" s="62">
        <f>'BDEQ-BDESC-rural-residential-o'!D7</f>
        <v/>
      </c>
      <c r="E8" s="62">
        <f>'BDEQ-BDESC-rural-residential-o'!E7</f>
        <v/>
      </c>
      <c r="F8" s="63">
        <f>'BDEQ-BDESC-rural-residential-o'!F7+'IRA Calcs'!$B$19 * (F1-$E$1)</f>
        <v/>
      </c>
      <c r="G8" s="63">
        <f>'BDEQ-BDESC-rural-residential-o'!G7+'IRA Calcs'!$B$19 * (G1-$E$1)</f>
        <v/>
      </c>
      <c r="H8" s="63">
        <f>'BDEQ-BDESC-rural-residential-o'!H7+'IRA Calcs'!$B$19 * (H1-$E$1)</f>
        <v/>
      </c>
      <c r="I8" s="63">
        <f>'BDEQ-BDESC-rural-residential-o'!I7+'IRA Calcs'!$B$19 * (I1-$E$1)</f>
        <v/>
      </c>
      <c r="J8" s="63">
        <f>'BDEQ-BDESC-rural-residential-o'!J7+'IRA Calcs'!$B$19 * (J1-$E$1)</f>
        <v/>
      </c>
      <c r="K8" s="63">
        <f>'BDEQ-BDESC-rural-residential-o'!K7+'IRA Calcs'!$B$19 * (K1-$E$1)</f>
        <v/>
      </c>
      <c r="L8" s="63">
        <f>'BDEQ-BDESC-rural-residential-o'!L7+'IRA Calcs'!$B$19 * (L1-$E$1)</f>
        <v/>
      </c>
      <c r="M8" s="63">
        <f>'BDEQ-BDESC-rural-residential-o'!M7+'IRA Calcs'!$B$19 * (M1-$E$1)</f>
        <v/>
      </c>
      <c r="N8" s="63">
        <f>'BDEQ-BDESC-rural-residential-o'!N7+'IRA Calcs'!$B$19 * (N1-$E$1)</f>
        <v/>
      </c>
      <c r="O8" s="62">
        <f>'BDEQ-BDESC-rural-residential-o'!O7 + 'IRA Calcs'!$B$19 * ($N$1-$E$1)</f>
        <v/>
      </c>
      <c r="P8" s="62">
        <f>'BDEQ-BDESC-rural-residential-o'!P7 + 'IRA Calcs'!$B$19 * ($N$1-$E$1)</f>
        <v/>
      </c>
      <c r="Q8" s="62">
        <f>'BDEQ-BDESC-rural-residential-o'!Q7 + 'IRA Calcs'!$B$19 * ($N$1-$E$1)</f>
        <v/>
      </c>
      <c r="R8" s="62">
        <f>'BDEQ-BDESC-rural-residential-o'!R7 + 'IRA Calcs'!$B$19 * ($N$1-$E$1)</f>
        <v/>
      </c>
      <c r="S8" s="62">
        <f>'BDEQ-BDESC-rural-residential-o'!S7 + 'IRA Calcs'!$B$19 * ($N$1-$E$1)</f>
        <v/>
      </c>
      <c r="T8" s="62">
        <f>'BDEQ-BDESC-rural-residential-o'!T7 + 'IRA Calcs'!$B$19 * ($N$1-$E$1)</f>
        <v/>
      </c>
      <c r="U8" s="62">
        <f>'BDEQ-BDESC-rural-residential-o'!U7 + 'IRA Calcs'!$B$19 * ($N$1-$E$1)</f>
        <v/>
      </c>
      <c r="V8" s="62">
        <f>'BDEQ-BDESC-rural-residential-o'!V7 + 'IRA Calcs'!$B$19 * ($N$1-$E$1)</f>
        <v/>
      </c>
      <c r="W8" s="62">
        <f>'BDEQ-BDESC-rural-residential-o'!W7 + 'IRA Calcs'!$B$19 * ($N$1-$E$1)</f>
        <v/>
      </c>
      <c r="X8" s="62">
        <f>'BDEQ-BDESC-rural-residential-o'!X7 + 'IRA Calcs'!$B$19 * ($N$1-$E$1)</f>
        <v/>
      </c>
      <c r="Y8" s="62">
        <f>'BDEQ-BDESC-rural-residential-o'!Y7 + 'IRA Calcs'!$B$19 * ($N$1-$E$1)</f>
        <v/>
      </c>
      <c r="Z8" s="62">
        <f>'BDEQ-BDESC-rural-residential-o'!Z7 + 'IRA Calcs'!$B$19 * ($N$1-$E$1)</f>
        <v/>
      </c>
      <c r="AA8" s="62">
        <f>'BDEQ-BDESC-rural-residential-o'!AA7 + 'IRA Calcs'!$B$19 * ($N$1-$E$1)</f>
        <v/>
      </c>
      <c r="AB8" s="62">
        <f>'BDEQ-BDESC-rural-residential-o'!AB7 + 'IRA Calcs'!$B$19 * ($N$1-$E$1)</f>
        <v/>
      </c>
      <c r="AC8" s="62">
        <f>'BDEQ-BDESC-rural-residential-o'!AC7 + 'IRA Calcs'!$B$19 * ($N$1-$E$1)</f>
        <v/>
      </c>
      <c r="AD8" s="62">
        <f>'BDEQ-BDESC-rural-residential-o'!AD7 + 'IRA Calcs'!$B$19 * ($N$1-$E$1)</f>
        <v/>
      </c>
      <c r="AE8" s="62">
        <f>'BDEQ-BDESC-rural-residential-o'!AE7 + 'IRA Calcs'!$B$19 * ($N$1-$E$1)</f>
        <v/>
      </c>
      <c r="AF8" s="62">
        <f>AE8</f>
        <v/>
      </c>
    </row>
    <row r="9" ht="14.25" customHeight="1" s="74">
      <c r="A9" s="7" t="inlineStr">
        <is>
          <t>solar thermal</t>
        </is>
      </c>
      <c r="B9" s="62">
        <f>'BDEQ-BDESC-rural-residential-o'!B8</f>
        <v/>
      </c>
      <c r="C9" s="62">
        <f>'BDEQ-BDESC-rural-residential-o'!C8</f>
        <v/>
      </c>
      <c r="D9" s="62">
        <f>'BDEQ-BDESC-rural-residential-o'!D8</f>
        <v/>
      </c>
      <c r="E9" s="62">
        <f>'BDEQ-BDESC-rural-residential-o'!E8</f>
        <v/>
      </c>
      <c r="F9" s="62">
        <f>'BDEQ-BDESC-rural-residential-o'!F8</f>
        <v/>
      </c>
      <c r="G9" s="62">
        <f>'BDEQ-BDESC-rural-residential-o'!G8</f>
        <v/>
      </c>
      <c r="H9" s="62">
        <f>'BDEQ-BDESC-rural-residential-o'!H8</f>
        <v/>
      </c>
      <c r="I9" s="62">
        <f>'BDEQ-BDESC-rural-residential-o'!I8</f>
        <v/>
      </c>
      <c r="J9" s="62">
        <f>'BDEQ-BDESC-rural-residential-o'!J8</f>
        <v/>
      </c>
      <c r="K9" s="62">
        <f>'BDEQ-BDESC-rural-residential-o'!K8</f>
        <v/>
      </c>
      <c r="L9" s="62">
        <f>'BDEQ-BDESC-rural-residential-o'!L8</f>
        <v/>
      </c>
      <c r="M9" s="62">
        <f>'BDEQ-BDESC-rural-residential-o'!M8</f>
        <v/>
      </c>
      <c r="N9" s="62">
        <f>'BDEQ-BDESC-rural-residential-o'!N8</f>
        <v/>
      </c>
      <c r="O9" s="62">
        <f>'BDEQ-BDESC-rural-residential-o'!O8</f>
        <v/>
      </c>
      <c r="P9" s="62">
        <f>'BDEQ-BDESC-rural-residential-o'!P8</f>
        <v/>
      </c>
      <c r="Q9" s="62">
        <f>'BDEQ-BDESC-rural-residential-o'!Q8</f>
        <v/>
      </c>
      <c r="R9" s="62">
        <f>'BDEQ-BDESC-rural-residential-o'!R8</f>
        <v/>
      </c>
      <c r="S9" s="62">
        <f>'BDEQ-BDESC-rural-residential-o'!S8</f>
        <v/>
      </c>
      <c r="T9" s="62">
        <f>'BDEQ-BDESC-rural-residential-o'!T8</f>
        <v/>
      </c>
      <c r="U9" s="62">
        <f>'BDEQ-BDESC-rural-residential-o'!U8</f>
        <v/>
      </c>
      <c r="V9" s="62">
        <f>'BDEQ-BDESC-rural-residential-o'!V8</f>
        <v/>
      </c>
      <c r="W9" s="62">
        <f>'BDEQ-BDESC-rural-residential-o'!W8</f>
        <v/>
      </c>
      <c r="X9" s="62">
        <f>'BDEQ-BDESC-rural-residential-o'!X8</f>
        <v/>
      </c>
      <c r="Y9" s="62">
        <f>'BDEQ-BDESC-rural-residential-o'!Y8</f>
        <v/>
      </c>
      <c r="Z9" s="62">
        <f>'BDEQ-BDESC-rural-residential-o'!Z8</f>
        <v/>
      </c>
      <c r="AA9" s="62">
        <f>'BDEQ-BDESC-rural-residential-o'!AA8</f>
        <v/>
      </c>
      <c r="AB9" s="62">
        <f>'BDEQ-BDESC-rural-residential-o'!AB8</f>
        <v/>
      </c>
      <c r="AC9" s="62">
        <f>'BDEQ-BDESC-rural-residential-o'!AC8</f>
        <v/>
      </c>
      <c r="AD9" s="62">
        <f>'BDEQ-BDESC-rural-residential-o'!AD8</f>
        <v/>
      </c>
      <c r="AE9" s="62">
        <f>'BDEQ-BDESC-rural-residential-o'!AE8</f>
        <v/>
      </c>
      <c r="AF9" s="62">
        <f>'BDEQ-BDESC-rural-residential-o'!AF8</f>
        <v/>
      </c>
    </row>
    <row r="10" ht="14.25" customHeight="1" s="74">
      <c r="A10" s="7" t="inlineStr">
        <is>
          <t>biomass</t>
        </is>
      </c>
      <c r="B10" s="62">
        <f>'BDEQ-BDESC-rural-residential-o'!B9</f>
        <v/>
      </c>
      <c r="C10" s="62">
        <f>'BDEQ-BDESC-rural-residential-o'!C9</f>
        <v/>
      </c>
      <c r="D10" s="62">
        <f>'BDEQ-BDESC-rural-residential-o'!D9</f>
        <v/>
      </c>
      <c r="E10" s="62">
        <f>'BDEQ-BDESC-rural-residential-o'!E9</f>
        <v/>
      </c>
      <c r="F10" s="62">
        <f>'BDEQ-BDESC-rural-residential-o'!F9</f>
        <v/>
      </c>
      <c r="G10" s="62">
        <f>'BDEQ-BDESC-rural-residential-o'!G9</f>
        <v/>
      </c>
      <c r="H10" s="62">
        <f>'BDEQ-BDESC-rural-residential-o'!H9</f>
        <v/>
      </c>
      <c r="I10" s="62">
        <f>'BDEQ-BDESC-rural-residential-o'!I9</f>
        <v/>
      </c>
      <c r="J10" s="62">
        <f>'BDEQ-BDESC-rural-residential-o'!J9</f>
        <v/>
      </c>
      <c r="K10" s="62">
        <f>'BDEQ-BDESC-rural-residential-o'!K9</f>
        <v/>
      </c>
      <c r="L10" s="62">
        <f>'BDEQ-BDESC-rural-residential-o'!L9</f>
        <v/>
      </c>
      <c r="M10" s="62">
        <f>'BDEQ-BDESC-rural-residential-o'!M9</f>
        <v/>
      </c>
      <c r="N10" s="62">
        <f>'BDEQ-BDESC-rural-residential-o'!N9</f>
        <v/>
      </c>
      <c r="O10" s="62">
        <f>'BDEQ-BDESC-rural-residential-o'!O9</f>
        <v/>
      </c>
      <c r="P10" s="62">
        <f>'BDEQ-BDESC-rural-residential-o'!P9</f>
        <v/>
      </c>
      <c r="Q10" s="62">
        <f>'BDEQ-BDESC-rural-residential-o'!Q9</f>
        <v/>
      </c>
      <c r="R10" s="62">
        <f>'BDEQ-BDESC-rural-residential-o'!R9</f>
        <v/>
      </c>
      <c r="S10" s="62">
        <f>'BDEQ-BDESC-rural-residential-o'!S9</f>
        <v/>
      </c>
      <c r="T10" s="62">
        <f>'BDEQ-BDESC-rural-residential-o'!T9</f>
        <v/>
      </c>
      <c r="U10" s="62">
        <f>'BDEQ-BDESC-rural-residential-o'!U9</f>
        <v/>
      </c>
      <c r="V10" s="62">
        <f>'BDEQ-BDESC-rural-residential-o'!V9</f>
        <v/>
      </c>
      <c r="W10" s="62">
        <f>'BDEQ-BDESC-rural-residential-o'!W9</f>
        <v/>
      </c>
      <c r="X10" s="62">
        <f>'BDEQ-BDESC-rural-residential-o'!X9</f>
        <v/>
      </c>
      <c r="Y10" s="62">
        <f>'BDEQ-BDESC-rural-residential-o'!Y9</f>
        <v/>
      </c>
      <c r="Z10" s="62">
        <f>'BDEQ-BDESC-rural-residential-o'!Z9</f>
        <v/>
      </c>
      <c r="AA10" s="62">
        <f>'BDEQ-BDESC-rural-residential-o'!AA9</f>
        <v/>
      </c>
      <c r="AB10" s="62">
        <f>'BDEQ-BDESC-rural-residential-o'!AB9</f>
        <v/>
      </c>
      <c r="AC10" s="62">
        <f>'BDEQ-BDESC-rural-residential-o'!AC9</f>
        <v/>
      </c>
      <c r="AD10" s="62">
        <f>'BDEQ-BDESC-rural-residential-o'!AD9</f>
        <v/>
      </c>
      <c r="AE10" s="62">
        <f>'BDEQ-BDESC-rural-residential-o'!AE9</f>
        <v/>
      </c>
      <c r="AF10" s="62">
        <f>'BDEQ-BDESC-rural-residential-o'!AF9</f>
        <v/>
      </c>
    </row>
    <row r="11" ht="14.25" customHeight="1" s="74">
      <c r="A11" s="7" t="inlineStr">
        <is>
          <t>geothermal</t>
        </is>
      </c>
      <c r="B11" s="62">
        <f>'BDEQ-BDESC-rural-residential-o'!B10</f>
        <v/>
      </c>
      <c r="C11" s="62">
        <f>'BDEQ-BDESC-rural-residential-o'!C10</f>
        <v/>
      </c>
      <c r="D11" s="62">
        <f>'BDEQ-BDESC-rural-residential-o'!D10</f>
        <v/>
      </c>
      <c r="E11" s="62">
        <f>'BDEQ-BDESC-rural-residential-o'!E10</f>
        <v/>
      </c>
      <c r="F11" s="62">
        <f>'BDEQ-BDESC-rural-residential-o'!F10</f>
        <v/>
      </c>
      <c r="G11" s="62">
        <f>'BDEQ-BDESC-rural-residential-o'!G10</f>
        <v/>
      </c>
      <c r="H11" s="62">
        <f>'BDEQ-BDESC-rural-residential-o'!H10</f>
        <v/>
      </c>
      <c r="I11" s="62">
        <f>'BDEQ-BDESC-rural-residential-o'!I10</f>
        <v/>
      </c>
      <c r="J11" s="62">
        <f>'BDEQ-BDESC-rural-residential-o'!J10</f>
        <v/>
      </c>
      <c r="K11" s="62">
        <f>'BDEQ-BDESC-rural-residential-o'!K10</f>
        <v/>
      </c>
      <c r="L11" s="62">
        <f>'BDEQ-BDESC-rural-residential-o'!L10</f>
        <v/>
      </c>
      <c r="M11" s="62">
        <f>'BDEQ-BDESC-rural-residential-o'!M10</f>
        <v/>
      </c>
      <c r="N11" s="62">
        <f>'BDEQ-BDESC-rural-residential-o'!N10</f>
        <v/>
      </c>
      <c r="O11" s="62">
        <f>'BDEQ-BDESC-rural-residential-o'!O10</f>
        <v/>
      </c>
      <c r="P11" s="62">
        <f>'BDEQ-BDESC-rural-residential-o'!P10</f>
        <v/>
      </c>
      <c r="Q11" s="62">
        <f>'BDEQ-BDESC-rural-residential-o'!Q10</f>
        <v/>
      </c>
      <c r="R11" s="62">
        <f>'BDEQ-BDESC-rural-residential-o'!R10</f>
        <v/>
      </c>
      <c r="S11" s="62">
        <f>'BDEQ-BDESC-rural-residential-o'!S10</f>
        <v/>
      </c>
      <c r="T11" s="62">
        <f>'BDEQ-BDESC-rural-residential-o'!T10</f>
        <v/>
      </c>
      <c r="U11" s="62">
        <f>'BDEQ-BDESC-rural-residential-o'!U10</f>
        <v/>
      </c>
      <c r="V11" s="62">
        <f>'BDEQ-BDESC-rural-residential-o'!V10</f>
        <v/>
      </c>
      <c r="W11" s="62">
        <f>'BDEQ-BDESC-rural-residential-o'!W10</f>
        <v/>
      </c>
      <c r="X11" s="62">
        <f>'BDEQ-BDESC-rural-residential-o'!X10</f>
        <v/>
      </c>
      <c r="Y11" s="62">
        <f>'BDEQ-BDESC-rural-residential-o'!Y10</f>
        <v/>
      </c>
      <c r="Z11" s="62">
        <f>'BDEQ-BDESC-rural-residential-o'!Z10</f>
        <v/>
      </c>
      <c r="AA11" s="62">
        <f>'BDEQ-BDESC-rural-residential-o'!AA10</f>
        <v/>
      </c>
      <c r="AB11" s="62">
        <f>'BDEQ-BDESC-rural-residential-o'!AB10</f>
        <v/>
      </c>
      <c r="AC11" s="62">
        <f>'BDEQ-BDESC-rural-residential-o'!AC10</f>
        <v/>
      </c>
      <c r="AD11" s="62">
        <f>'BDEQ-BDESC-rural-residential-o'!AD10</f>
        <v/>
      </c>
      <c r="AE11" s="62">
        <f>'BDEQ-BDESC-rural-residential-o'!AE10</f>
        <v/>
      </c>
      <c r="AF11" s="62">
        <f>'BDEQ-BDESC-rural-residential-o'!AF10</f>
        <v/>
      </c>
    </row>
    <row r="12" ht="14.25" customHeight="1" s="74">
      <c r="A12" s="7" t="inlineStr">
        <is>
          <t>petroleum</t>
        </is>
      </c>
      <c r="B12" s="62">
        <f>'BDEQ-BDESC-rural-residential-o'!B11</f>
        <v/>
      </c>
      <c r="C12" s="62">
        <f>'BDEQ-BDESC-rural-residential-o'!C11</f>
        <v/>
      </c>
      <c r="D12" s="62">
        <f>'BDEQ-BDESC-rural-residential-o'!D11</f>
        <v/>
      </c>
      <c r="E12" s="62">
        <f>'BDEQ-BDESC-rural-residential-o'!E11</f>
        <v/>
      </c>
      <c r="F12" s="62">
        <f>'BDEQ-BDESC-rural-residential-o'!F11</f>
        <v/>
      </c>
      <c r="G12" s="62">
        <f>'BDEQ-BDESC-rural-residential-o'!G11</f>
        <v/>
      </c>
      <c r="H12" s="62">
        <f>'BDEQ-BDESC-rural-residential-o'!H11</f>
        <v/>
      </c>
      <c r="I12" s="62">
        <f>'BDEQ-BDESC-rural-residential-o'!I11</f>
        <v/>
      </c>
      <c r="J12" s="62">
        <f>'BDEQ-BDESC-rural-residential-o'!J11</f>
        <v/>
      </c>
      <c r="K12" s="62">
        <f>'BDEQ-BDESC-rural-residential-o'!K11</f>
        <v/>
      </c>
      <c r="L12" s="62">
        <f>'BDEQ-BDESC-rural-residential-o'!L11</f>
        <v/>
      </c>
      <c r="M12" s="62">
        <f>'BDEQ-BDESC-rural-residential-o'!M11</f>
        <v/>
      </c>
      <c r="N12" s="62">
        <f>'BDEQ-BDESC-rural-residential-o'!N11</f>
        <v/>
      </c>
      <c r="O12" s="62">
        <f>'BDEQ-BDESC-rural-residential-o'!O11</f>
        <v/>
      </c>
      <c r="P12" s="62">
        <f>'BDEQ-BDESC-rural-residential-o'!P11</f>
        <v/>
      </c>
      <c r="Q12" s="62">
        <f>'BDEQ-BDESC-rural-residential-o'!Q11</f>
        <v/>
      </c>
      <c r="R12" s="62">
        <f>'BDEQ-BDESC-rural-residential-o'!R11</f>
        <v/>
      </c>
      <c r="S12" s="62">
        <f>'BDEQ-BDESC-rural-residential-o'!S11</f>
        <v/>
      </c>
      <c r="T12" s="62">
        <f>'BDEQ-BDESC-rural-residential-o'!T11</f>
        <v/>
      </c>
      <c r="U12" s="62">
        <f>'BDEQ-BDESC-rural-residential-o'!U11</f>
        <v/>
      </c>
      <c r="V12" s="62">
        <f>'BDEQ-BDESC-rural-residential-o'!V11</f>
        <v/>
      </c>
      <c r="W12" s="62">
        <f>'BDEQ-BDESC-rural-residential-o'!W11</f>
        <v/>
      </c>
      <c r="X12" s="62">
        <f>'BDEQ-BDESC-rural-residential-o'!X11</f>
        <v/>
      </c>
      <c r="Y12" s="62">
        <f>'BDEQ-BDESC-rural-residential-o'!Y11</f>
        <v/>
      </c>
      <c r="Z12" s="62">
        <f>'BDEQ-BDESC-rural-residential-o'!Z11</f>
        <v/>
      </c>
      <c r="AA12" s="62">
        <f>'BDEQ-BDESC-rural-residential-o'!AA11</f>
        <v/>
      </c>
      <c r="AB12" s="62">
        <f>'BDEQ-BDESC-rural-residential-o'!AB11</f>
        <v/>
      </c>
      <c r="AC12" s="62">
        <f>'BDEQ-BDESC-rural-residential-o'!AC11</f>
        <v/>
      </c>
      <c r="AD12" s="62">
        <f>'BDEQ-BDESC-rural-residential-o'!AD11</f>
        <v/>
      </c>
      <c r="AE12" s="62">
        <f>'BDEQ-BDESC-rural-residential-o'!AE11</f>
        <v/>
      </c>
      <c r="AF12" s="62">
        <f>'BDEQ-BDESC-rural-residential-o'!AF11</f>
        <v/>
      </c>
    </row>
    <row r="13" ht="14.25" customHeight="1" s="74">
      <c r="A13" s="7" t="inlineStr">
        <is>
          <t>natural gas peaker</t>
        </is>
      </c>
      <c r="B13" s="62">
        <f>'BDEQ-BDESC-rural-residential-o'!B12</f>
        <v/>
      </c>
      <c r="C13" s="62">
        <f>'BDEQ-BDESC-rural-residential-o'!C12</f>
        <v/>
      </c>
      <c r="D13" s="62">
        <f>'BDEQ-BDESC-rural-residential-o'!D12</f>
        <v/>
      </c>
      <c r="E13" s="62">
        <f>'BDEQ-BDESC-rural-residential-o'!E12</f>
        <v/>
      </c>
      <c r="F13" s="62">
        <f>'BDEQ-BDESC-rural-residential-o'!F12</f>
        <v/>
      </c>
      <c r="G13" s="62">
        <f>'BDEQ-BDESC-rural-residential-o'!G12</f>
        <v/>
      </c>
      <c r="H13" s="62">
        <f>'BDEQ-BDESC-rural-residential-o'!H12</f>
        <v/>
      </c>
      <c r="I13" s="62">
        <f>'BDEQ-BDESC-rural-residential-o'!I12</f>
        <v/>
      </c>
      <c r="J13" s="62">
        <f>'BDEQ-BDESC-rural-residential-o'!J12</f>
        <v/>
      </c>
      <c r="K13" s="62">
        <f>'BDEQ-BDESC-rural-residential-o'!K12</f>
        <v/>
      </c>
      <c r="L13" s="62">
        <f>'BDEQ-BDESC-rural-residential-o'!L12</f>
        <v/>
      </c>
      <c r="M13" s="62">
        <f>'BDEQ-BDESC-rural-residential-o'!M12</f>
        <v/>
      </c>
      <c r="N13" s="62">
        <f>'BDEQ-BDESC-rural-residential-o'!N12</f>
        <v/>
      </c>
      <c r="O13" s="62">
        <f>'BDEQ-BDESC-rural-residential-o'!O12</f>
        <v/>
      </c>
      <c r="P13" s="62">
        <f>'BDEQ-BDESC-rural-residential-o'!P12</f>
        <v/>
      </c>
      <c r="Q13" s="62">
        <f>'BDEQ-BDESC-rural-residential-o'!Q12</f>
        <v/>
      </c>
      <c r="R13" s="62">
        <f>'BDEQ-BDESC-rural-residential-o'!R12</f>
        <v/>
      </c>
      <c r="S13" s="62">
        <f>'BDEQ-BDESC-rural-residential-o'!S12</f>
        <v/>
      </c>
      <c r="T13" s="62">
        <f>'BDEQ-BDESC-rural-residential-o'!T12</f>
        <v/>
      </c>
      <c r="U13" s="62">
        <f>'BDEQ-BDESC-rural-residential-o'!U12</f>
        <v/>
      </c>
      <c r="V13" s="62">
        <f>'BDEQ-BDESC-rural-residential-o'!V12</f>
        <v/>
      </c>
      <c r="W13" s="62">
        <f>'BDEQ-BDESC-rural-residential-o'!W12</f>
        <v/>
      </c>
      <c r="X13" s="62">
        <f>'BDEQ-BDESC-rural-residential-o'!X12</f>
        <v/>
      </c>
      <c r="Y13" s="62">
        <f>'BDEQ-BDESC-rural-residential-o'!Y12</f>
        <v/>
      </c>
      <c r="Z13" s="62">
        <f>'BDEQ-BDESC-rural-residential-o'!Z12</f>
        <v/>
      </c>
      <c r="AA13" s="62">
        <f>'BDEQ-BDESC-rural-residential-o'!AA12</f>
        <v/>
      </c>
      <c r="AB13" s="62">
        <f>'BDEQ-BDESC-rural-residential-o'!AB12</f>
        <v/>
      </c>
      <c r="AC13" s="62">
        <f>'BDEQ-BDESC-rural-residential-o'!AC12</f>
        <v/>
      </c>
      <c r="AD13" s="62">
        <f>'BDEQ-BDESC-rural-residential-o'!AD12</f>
        <v/>
      </c>
      <c r="AE13" s="62">
        <f>'BDEQ-BDESC-rural-residential-o'!AE12</f>
        <v/>
      </c>
      <c r="AF13" s="62">
        <f>'BDEQ-BDESC-rural-residential-o'!AF12</f>
        <v/>
      </c>
    </row>
    <row r="14" ht="14.25" customHeight="1" s="74">
      <c r="A14" s="7" t="inlineStr">
        <is>
          <t>lignite</t>
        </is>
      </c>
      <c r="B14" s="62">
        <f>'BDEQ-BDESC-rural-residential-o'!B13</f>
        <v/>
      </c>
      <c r="C14" s="62">
        <f>'BDEQ-BDESC-rural-residential-o'!C13</f>
        <v/>
      </c>
      <c r="D14" s="62">
        <f>'BDEQ-BDESC-rural-residential-o'!D13</f>
        <v/>
      </c>
      <c r="E14" s="62">
        <f>'BDEQ-BDESC-rural-residential-o'!E13</f>
        <v/>
      </c>
      <c r="F14" s="62">
        <f>'BDEQ-BDESC-rural-residential-o'!F13</f>
        <v/>
      </c>
      <c r="G14" s="62">
        <f>'BDEQ-BDESC-rural-residential-o'!G13</f>
        <v/>
      </c>
      <c r="H14" s="62">
        <f>'BDEQ-BDESC-rural-residential-o'!H13</f>
        <v/>
      </c>
      <c r="I14" s="62">
        <f>'BDEQ-BDESC-rural-residential-o'!I13</f>
        <v/>
      </c>
      <c r="J14" s="62">
        <f>'BDEQ-BDESC-rural-residential-o'!J13</f>
        <v/>
      </c>
      <c r="K14" s="62">
        <f>'BDEQ-BDESC-rural-residential-o'!K13</f>
        <v/>
      </c>
      <c r="L14" s="62">
        <f>'BDEQ-BDESC-rural-residential-o'!L13</f>
        <v/>
      </c>
      <c r="M14" s="62">
        <f>'BDEQ-BDESC-rural-residential-o'!M13</f>
        <v/>
      </c>
      <c r="N14" s="62">
        <f>'BDEQ-BDESC-rural-residential-o'!N13</f>
        <v/>
      </c>
      <c r="O14" s="62">
        <f>'BDEQ-BDESC-rural-residential-o'!O13</f>
        <v/>
      </c>
      <c r="P14" s="62">
        <f>'BDEQ-BDESC-rural-residential-o'!P13</f>
        <v/>
      </c>
      <c r="Q14" s="62">
        <f>'BDEQ-BDESC-rural-residential-o'!Q13</f>
        <v/>
      </c>
      <c r="R14" s="62">
        <f>'BDEQ-BDESC-rural-residential-o'!R13</f>
        <v/>
      </c>
      <c r="S14" s="62">
        <f>'BDEQ-BDESC-rural-residential-o'!S13</f>
        <v/>
      </c>
      <c r="T14" s="62">
        <f>'BDEQ-BDESC-rural-residential-o'!T13</f>
        <v/>
      </c>
      <c r="U14" s="62">
        <f>'BDEQ-BDESC-rural-residential-o'!U13</f>
        <v/>
      </c>
      <c r="V14" s="62">
        <f>'BDEQ-BDESC-rural-residential-o'!V13</f>
        <v/>
      </c>
      <c r="W14" s="62">
        <f>'BDEQ-BDESC-rural-residential-o'!W13</f>
        <v/>
      </c>
      <c r="X14" s="62">
        <f>'BDEQ-BDESC-rural-residential-o'!X13</f>
        <v/>
      </c>
      <c r="Y14" s="62">
        <f>'BDEQ-BDESC-rural-residential-o'!Y13</f>
        <v/>
      </c>
      <c r="Z14" s="62">
        <f>'BDEQ-BDESC-rural-residential-o'!Z13</f>
        <v/>
      </c>
      <c r="AA14" s="62">
        <f>'BDEQ-BDESC-rural-residential-o'!AA13</f>
        <v/>
      </c>
      <c r="AB14" s="62">
        <f>'BDEQ-BDESC-rural-residential-o'!AB13</f>
        <v/>
      </c>
      <c r="AC14" s="62">
        <f>'BDEQ-BDESC-rural-residential-o'!AC13</f>
        <v/>
      </c>
      <c r="AD14" s="62">
        <f>'BDEQ-BDESC-rural-residential-o'!AD13</f>
        <v/>
      </c>
      <c r="AE14" s="62">
        <f>'BDEQ-BDESC-rural-residential-o'!AE13</f>
        <v/>
      </c>
      <c r="AF14" s="62">
        <f>'BDEQ-BDESC-rural-residential-o'!AF13</f>
        <v/>
      </c>
    </row>
    <row r="15" ht="14.25" customHeight="1" s="74">
      <c r="A15" s="7" t="inlineStr">
        <is>
          <t>offshore wind</t>
        </is>
      </c>
      <c r="B15" s="62">
        <f>'BDEQ-BDESC-rural-residential-o'!B14</f>
        <v/>
      </c>
      <c r="C15" s="62">
        <f>'BDEQ-BDESC-rural-residential-o'!C14</f>
        <v/>
      </c>
      <c r="D15" s="62">
        <f>'BDEQ-BDESC-rural-residential-o'!D14</f>
        <v/>
      </c>
      <c r="E15" s="62">
        <f>'BDEQ-BDESC-rural-residential-o'!E14</f>
        <v/>
      </c>
      <c r="F15" s="62">
        <f>'BDEQ-BDESC-rural-residential-o'!F14</f>
        <v/>
      </c>
      <c r="G15" s="62">
        <f>'BDEQ-BDESC-rural-residential-o'!G14</f>
        <v/>
      </c>
      <c r="H15" s="62">
        <f>'BDEQ-BDESC-rural-residential-o'!H14</f>
        <v/>
      </c>
      <c r="I15" s="62">
        <f>'BDEQ-BDESC-rural-residential-o'!I14</f>
        <v/>
      </c>
      <c r="J15" s="62">
        <f>'BDEQ-BDESC-rural-residential-o'!J14</f>
        <v/>
      </c>
      <c r="K15" s="62">
        <f>'BDEQ-BDESC-rural-residential-o'!K14</f>
        <v/>
      </c>
      <c r="L15" s="62">
        <f>'BDEQ-BDESC-rural-residential-o'!L14</f>
        <v/>
      </c>
      <c r="M15" s="62">
        <f>'BDEQ-BDESC-rural-residential-o'!M14</f>
        <v/>
      </c>
      <c r="N15" s="62">
        <f>'BDEQ-BDESC-rural-residential-o'!N14</f>
        <v/>
      </c>
      <c r="O15" s="62">
        <f>'BDEQ-BDESC-rural-residential-o'!O14</f>
        <v/>
      </c>
      <c r="P15" s="62">
        <f>'BDEQ-BDESC-rural-residential-o'!P14</f>
        <v/>
      </c>
      <c r="Q15" s="62">
        <f>'BDEQ-BDESC-rural-residential-o'!Q14</f>
        <v/>
      </c>
      <c r="R15" s="62">
        <f>'BDEQ-BDESC-rural-residential-o'!R14</f>
        <v/>
      </c>
      <c r="S15" s="62">
        <f>'BDEQ-BDESC-rural-residential-o'!S14</f>
        <v/>
      </c>
      <c r="T15" s="62">
        <f>'BDEQ-BDESC-rural-residential-o'!T14</f>
        <v/>
      </c>
      <c r="U15" s="62">
        <f>'BDEQ-BDESC-rural-residential-o'!U14</f>
        <v/>
      </c>
      <c r="V15" s="62">
        <f>'BDEQ-BDESC-rural-residential-o'!V14</f>
        <v/>
      </c>
      <c r="W15" s="62">
        <f>'BDEQ-BDESC-rural-residential-o'!W14</f>
        <v/>
      </c>
      <c r="X15" s="62">
        <f>'BDEQ-BDESC-rural-residential-o'!X14</f>
        <v/>
      </c>
      <c r="Y15" s="62">
        <f>'BDEQ-BDESC-rural-residential-o'!Y14</f>
        <v/>
      </c>
      <c r="Z15" s="62">
        <f>'BDEQ-BDESC-rural-residential-o'!Z14</f>
        <v/>
      </c>
      <c r="AA15" s="62">
        <f>'BDEQ-BDESC-rural-residential-o'!AA14</f>
        <v/>
      </c>
      <c r="AB15" s="62">
        <f>'BDEQ-BDESC-rural-residential-o'!AB14</f>
        <v/>
      </c>
      <c r="AC15" s="62">
        <f>'BDEQ-BDESC-rural-residential-o'!AC14</f>
        <v/>
      </c>
      <c r="AD15" s="62">
        <f>'BDEQ-BDESC-rural-residential-o'!AD14</f>
        <v/>
      </c>
      <c r="AE15" s="62">
        <f>'BDEQ-BDESC-rural-residential-o'!AE14</f>
        <v/>
      </c>
      <c r="AF15" s="62">
        <f>'BDEQ-BDESC-rural-residential-o'!AF14</f>
        <v/>
      </c>
    </row>
    <row r="16" ht="14.25" customHeight="1" s="74">
      <c r="A16" s="7" t="inlineStr">
        <is>
          <t>crude oil</t>
        </is>
      </c>
      <c r="B16" s="62">
        <f>'BDEQ-BDESC-rural-residential-o'!B15</f>
        <v/>
      </c>
      <c r="C16" s="62">
        <f>'BDEQ-BDESC-rural-residential-o'!C15</f>
        <v/>
      </c>
      <c r="D16" s="62">
        <f>'BDEQ-BDESC-rural-residential-o'!D15</f>
        <v/>
      </c>
      <c r="E16" s="62">
        <f>'BDEQ-BDESC-rural-residential-o'!E15</f>
        <v/>
      </c>
      <c r="F16" s="62">
        <f>'BDEQ-BDESC-rural-residential-o'!F15</f>
        <v/>
      </c>
      <c r="G16" s="62">
        <f>'BDEQ-BDESC-rural-residential-o'!G15</f>
        <v/>
      </c>
      <c r="H16" s="62">
        <f>'BDEQ-BDESC-rural-residential-o'!H15</f>
        <v/>
      </c>
      <c r="I16" s="62">
        <f>'BDEQ-BDESC-rural-residential-o'!I15</f>
        <v/>
      </c>
      <c r="J16" s="62">
        <f>'BDEQ-BDESC-rural-residential-o'!J15</f>
        <v/>
      </c>
      <c r="K16" s="62">
        <f>'BDEQ-BDESC-rural-residential-o'!K15</f>
        <v/>
      </c>
      <c r="L16" s="62">
        <f>'BDEQ-BDESC-rural-residential-o'!L15</f>
        <v/>
      </c>
      <c r="M16" s="62">
        <f>'BDEQ-BDESC-rural-residential-o'!M15</f>
        <v/>
      </c>
      <c r="N16" s="62">
        <f>'BDEQ-BDESC-rural-residential-o'!N15</f>
        <v/>
      </c>
      <c r="O16" s="62">
        <f>'BDEQ-BDESC-rural-residential-o'!O15</f>
        <v/>
      </c>
      <c r="P16" s="62">
        <f>'BDEQ-BDESC-rural-residential-o'!P15</f>
        <v/>
      </c>
      <c r="Q16" s="62">
        <f>'BDEQ-BDESC-rural-residential-o'!Q15</f>
        <v/>
      </c>
      <c r="R16" s="62">
        <f>'BDEQ-BDESC-rural-residential-o'!R15</f>
        <v/>
      </c>
      <c r="S16" s="62">
        <f>'BDEQ-BDESC-rural-residential-o'!S15</f>
        <v/>
      </c>
      <c r="T16" s="62">
        <f>'BDEQ-BDESC-rural-residential-o'!T15</f>
        <v/>
      </c>
      <c r="U16" s="62">
        <f>'BDEQ-BDESC-rural-residential-o'!U15</f>
        <v/>
      </c>
      <c r="V16" s="62">
        <f>'BDEQ-BDESC-rural-residential-o'!V15</f>
        <v/>
      </c>
      <c r="W16" s="62">
        <f>'BDEQ-BDESC-rural-residential-o'!W15</f>
        <v/>
      </c>
      <c r="X16" s="62">
        <f>'BDEQ-BDESC-rural-residential-o'!X15</f>
        <v/>
      </c>
      <c r="Y16" s="62">
        <f>'BDEQ-BDESC-rural-residential-o'!Y15</f>
        <v/>
      </c>
      <c r="Z16" s="62">
        <f>'BDEQ-BDESC-rural-residential-o'!Z15</f>
        <v/>
      </c>
      <c r="AA16" s="62">
        <f>'BDEQ-BDESC-rural-residential-o'!AA15</f>
        <v/>
      </c>
      <c r="AB16" s="62">
        <f>'BDEQ-BDESC-rural-residential-o'!AB15</f>
        <v/>
      </c>
      <c r="AC16" s="62">
        <f>'BDEQ-BDESC-rural-residential-o'!AC15</f>
        <v/>
      </c>
      <c r="AD16" s="62">
        <f>'BDEQ-BDESC-rural-residential-o'!AD15</f>
        <v/>
      </c>
      <c r="AE16" s="62">
        <f>'BDEQ-BDESC-rural-residential-o'!AE15</f>
        <v/>
      </c>
      <c r="AF16" s="62">
        <f>'BDEQ-BDESC-rural-residential-o'!AF15</f>
        <v/>
      </c>
    </row>
    <row r="17" ht="14.25" customHeight="1" s="74">
      <c r="A17" s="7" t="inlineStr">
        <is>
          <t>heavy or residual fuel oil</t>
        </is>
      </c>
      <c r="B17" s="62">
        <f>'BDEQ-BDESC-rural-residential-o'!B16</f>
        <v/>
      </c>
      <c r="C17" s="62">
        <f>'BDEQ-BDESC-rural-residential-o'!C16</f>
        <v/>
      </c>
      <c r="D17" s="62">
        <f>'BDEQ-BDESC-rural-residential-o'!D16</f>
        <v/>
      </c>
      <c r="E17" s="62">
        <f>'BDEQ-BDESC-rural-residential-o'!E16</f>
        <v/>
      </c>
      <c r="F17" s="62">
        <f>'BDEQ-BDESC-rural-residential-o'!F16</f>
        <v/>
      </c>
      <c r="G17" s="62">
        <f>'BDEQ-BDESC-rural-residential-o'!G16</f>
        <v/>
      </c>
      <c r="H17" s="62">
        <f>'BDEQ-BDESC-rural-residential-o'!H16</f>
        <v/>
      </c>
      <c r="I17" s="62">
        <f>'BDEQ-BDESC-rural-residential-o'!I16</f>
        <v/>
      </c>
      <c r="J17" s="62">
        <f>'BDEQ-BDESC-rural-residential-o'!J16</f>
        <v/>
      </c>
      <c r="K17" s="62">
        <f>'BDEQ-BDESC-rural-residential-o'!K16</f>
        <v/>
      </c>
      <c r="L17" s="62">
        <f>'BDEQ-BDESC-rural-residential-o'!L16</f>
        <v/>
      </c>
      <c r="M17" s="62">
        <f>'BDEQ-BDESC-rural-residential-o'!M16</f>
        <v/>
      </c>
      <c r="N17" s="62">
        <f>'BDEQ-BDESC-rural-residential-o'!N16</f>
        <v/>
      </c>
      <c r="O17" s="62">
        <f>'BDEQ-BDESC-rural-residential-o'!O16</f>
        <v/>
      </c>
      <c r="P17" s="62">
        <f>'BDEQ-BDESC-rural-residential-o'!P16</f>
        <v/>
      </c>
      <c r="Q17" s="62">
        <f>'BDEQ-BDESC-rural-residential-o'!Q16</f>
        <v/>
      </c>
      <c r="R17" s="62">
        <f>'BDEQ-BDESC-rural-residential-o'!R16</f>
        <v/>
      </c>
      <c r="S17" s="62">
        <f>'BDEQ-BDESC-rural-residential-o'!S16</f>
        <v/>
      </c>
      <c r="T17" s="62">
        <f>'BDEQ-BDESC-rural-residential-o'!T16</f>
        <v/>
      </c>
      <c r="U17" s="62">
        <f>'BDEQ-BDESC-rural-residential-o'!U16</f>
        <v/>
      </c>
      <c r="V17" s="62">
        <f>'BDEQ-BDESC-rural-residential-o'!V16</f>
        <v/>
      </c>
      <c r="W17" s="62">
        <f>'BDEQ-BDESC-rural-residential-o'!W16</f>
        <v/>
      </c>
      <c r="X17" s="62">
        <f>'BDEQ-BDESC-rural-residential-o'!X16</f>
        <v/>
      </c>
      <c r="Y17" s="62">
        <f>'BDEQ-BDESC-rural-residential-o'!Y16</f>
        <v/>
      </c>
      <c r="Z17" s="62">
        <f>'BDEQ-BDESC-rural-residential-o'!Z16</f>
        <v/>
      </c>
      <c r="AA17" s="62">
        <f>'BDEQ-BDESC-rural-residential-o'!AA16</f>
        <v/>
      </c>
      <c r="AB17" s="62">
        <f>'BDEQ-BDESC-rural-residential-o'!AB16</f>
        <v/>
      </c>
      <c r="AC17" s="62">
        <f>'BDEQ-BDESC-rural-residential-o'!AC16</f>
        <v/>
      </c>
      <c r="AD17" s="62">
        <f>'BDEQ-BDESC-rural-residential-o'!AD16</f>
        <v/>
      </c>
      <c r="AE17" s="62">
        <f>'BDEQ-BDESC-rural-residential-o'!AE16</f>
        <v/>
      </c>
      <c r="AF17" s="62">
        <f>'BDEQ-BDESC-rural-residential-o'!AF16</f>
        <v/>
      </c>
    </row>
    <row r="18" ht="14.25" customHeight="1" s="74">
      <c r="A18" s="7" t="inlineStr">
        <is>
          <t>municipal solid waste</t>
        </is>
      </c>
      <c r="B18" s="62">
        <f>'BDEQ-BDESC-rural-residential-o'!B17</f>
        <v/>
      </c>
      <c r="C18" s="62">
        <f>'BDEQ-BDESC-rural-residential-o'!C17</f>
        <v/>
      </c>
      <c r="D18" s="62">
        <f>'BDEQ-BDESC-rural-residential-o'!D17</f>
        <v/>
      </c>
      <c r="E18" s="62">
        <f>'BDEQ-BDESC-rural-residential-o'!E17</f>
        <v/>
      </c>
      <c r="F18" s="62">
        <f>'BDEQ-BDESC-rural-residential-o'!F17</f>
        <v/>
      </c>
      <c r="G18" s="62">
        <f>'BDEQ-BDESC-rural-residential-o'!G17</f>
        <v/>
      </c>
      <c r="H18" s="62">
        <f>'BDEQ-BDESC-rural-residential-o'!H17</f>
        <v/>
      </c>
      <c r="I18" s="62">
        <f>'BDEQ-BDESC-rural-residential-o'!I17</f>
        <v/>
      </c>
      <c r="J18" s="62">
        <f>'BDEQ-BDESC-rural-residential-o'!J17</f>
        <v/>
      </c>
      <c r="K18" s="62">
        <f>'BDEQ-BDESC-rural-residential-o'!K17</f>
        <v/>
      </c>
      <c r="L18" s="62">
        <f>'BDEQ-BDESC-rural-residential-o'!L17</f>
        <v/>
      </c>
      <c r="M18" s="62">
        <f>'BDEQ-BDESC-rural-residential-o'!M17</f>
        <v/>
      </c>
      <c r="N18" s="62">
        <f>'BDEQ-BDESC-rural-residential-o'!N17</f>
        <v/>
      </c>
      <c r="O18" s="62">
        <f>'BDEQ-BDESC-rural-residential-o'!O17</f>
        <v/>
      </c>
      <c r="P18" s="62">
        <f>'BDEQ-BDESC-rural-residential-o'!P17</f>
        <v/>
      </c>
      <c r="Q18" s="62">
        <f>'BDEQ-BDESC-rural-residential-o'!Q17</f>
        <v/>
      </c>
      <c r="R18" s="62">
        <f>'BDEQ-BDESC-rural-residential-o'!R17</f>
        <v/>
      </c>
      <c r="S18" s="62">
        <f>'BDEQ-BDESC-rural-residential-o'!S17</f>
        <v/>
      </c>
      <c r="T18" s="62">
        <f>'BDEQ-BDESC-rural-residential-o'!T17</f>
        <v/>
      </c>
      <c r="U18" s="62">
        <f>'BDEQ-BDESC-rural-residential-o'!U17</f>
        <v/>
      </c>
      <c r="V18" s="62">
        <f>'BDEQ-BDESC-rural-residential-o'!V17</f>
        <v/>
      </c>
      <c r="W18" s="62">
        <f>'BDEQ-BDESC-rural-residential-o'!W17</f>
        <v/>
      </c>
      <c r="X18" s="62">
        <f>'BDEQ-BDESC-rural-residential-o'!X17</f>
        <v/>
      </c>
      <c r="Y18" s="62">
        <f>'BDEQ-BDESC-rural-residential-o'!Y17</f>
        <v/>
      </c>
      <c r="Z18" s="62">
        <f>'BDEQ-BDESC-rural-residential-o'!Z17</f>
        <v/>
      </c>
      <c r="AA18" s="62">
        <f>'BDEQ-BDESC-rural-residential-o'!AA17</f>
        <v/>
      </c>
      <c r="AB18" s="62">
        <f>'BDEQ-BDESC-rural-residential-o'!AB17</f>
        <v/>
      </c>
      <c r="AC18" s="62">
        <f>'BDEQ-BDESC-rural-residential-o'!AC17</f>
        <v/>
      </c>
      <c r="AD18" s="62">
        <f>'BDEQ-BDESC-rural-residential-o'!AD17</f>
        <v/>
      </c>
      <c r="AE18" s="62">
        <f>'BDEQ-BDESC-rural-residential-o'!AE17</f>
        <v/>
      </c>
      <c r="AF18" s="62">
        <f>'BDEQ-BDESC-rural-residential-o'!AF17</f>
        <v/>
      </c>
    </row>
    <row r="19" ht="14.25" customHeight="1" s="74">
      <c r="A19" s="64" t="inlineStr">
        <is>
          <t>hard coal w CCS</t>
        </is>
      </c>
      <c r="B19" s="65" t="n">
        <v>0</v>
      </c>
      <c r="C19" s="65" t="n">
        <v>0</v>
      </c>
      <c r="D19" s="65" t="n">
        <v>0</v>
      </c>
      <c r="E19" s="65" t="n">
        <v>0</v>
      </c>
      <c r="F19" s="65" t="n">
        <v>0</v>
      </c>
      <c r="G19" s="65" t="n">
        <v>0</v>
      </c>
      <c r="H19" s="65" t="n">
        <v>0</v>
      </c>
      <c r="I19" s="65" t="n">
        <v>0</v>
      </c>
      <c r="J19" s="65" t="n">
        <v>0</v>
      </c>
      <c r="K19" s="65" t="n">
        <v>0</v>
      </c>
      <c r="L19" s="65" t="n">
        <v>0</v>
      </c>
      <c r="M19" s="65" t="n">
        <v>0</v>
      </c>
      <c r="N19" s="65" t="n">
        <v>0</v>
      </c>
      <c r="O19" s="65" t="n">
        <v>0</v>
      </c>
      <c r="P19" s="65" t="n">
        <v>0</v>
      </c>
      <c r="Q19" s="65" t="n">
        <v>0</v>
      </c>
      <c r="R19" s="65" t="n">
        <v>0</v>
      </c>
      <c r="S19" s="65" t="n">
        <v>0</v>
      </c>
      <c r="T19" s="65" t="n">
        <v>0</v>
      </c>
      <c r="U19" s="65" t="n">
        <v>0</v>
      </c>
      <c r="V19" s="65" t="n">
        <v>0</v>
      </c>
      <c r="W19" s="65" t="n">
        <v>0</v>
      </c>
      <c r="X19" s="65" t="n">
        <v>0</v>
      </c>
      <c r="Y19" s="65" t="n">
        <v>0</v>
      </c>
      <c r="Z19" s="65" t="n">
        <v>0</v>
      </c>
      <c r="AA19" s="65" t="n">
        <v>0</v>
      </c>
      <c r="AB19" s="65" t="n">
        <v>0</v>
      </c>
      <c r="AC19" s="65" t="n">
        <v>0</v>
      </c>
      <c r="AD19" s="65" t="n">
        <v>0</v>
      </c>
      <c r="AE19" s="65" t="n">
        <v>0</v>
      </c>
      <c r="AF19" s="65" t="n">
        <v>0</v>
      </c>
      <c r="AG19" s="65" t="n">
        <v>0</v>
      </c>
    </row>
    <row r="20" ht="14.25" customHeight="1" s="74">
      <c r="A20" s="64" t="inlineStr">
        <is>
          <t>natural gas combined cycle w CCS</t>
        </is>
      </c>
      <c r="B20" s="65" t="n">
        <v>0</v>
      </c>
      <c r="C20" s="65" t="n">
        <v>0</v>
      </c>
      <c r="D20" s="65" t="n">
        <v>0</v>
      </c>
      <c r="E20" s="65" t="n">
        <v>0</v>
      </c>
      <c r="F20" s="65" t="n">
        <v>0</v>
      </c>
      <c r="G20" s="65" t="n">
        <v>0</v>
      </c>
      <c r="H20" s="65" t="n">
        <v>0</v>
      </c>
      <c r="I20" s="65" t="n">
        <v>0</v>
      </c>
      <c r="J20" s="65" t="n">
        <v>0</v>
      </c>
      <c r="K20" s="65" t="n">
        <v>0</v>
      </c>
      <c r="L20" s="65" t="n">
        <v>0</v>
      </c>
      <c r="M20" s="65" t="n">
        <v>0</v>
      </c>
      <c r="N20" s="65" t="n">
        <v>0</v>
      </c>
      <c r="O20" s="65" t="n">
        <v>0</v>
      </c>
      <c r="P20" s="65" t="n">
        <v>0</v>
      </c>
      <c r="Q20" s="65" t="n">
        <v>0</v>
      </c>
      <c r="R20" s="65" t="n">
        <v>0</v>
      </c>
      <c r="S20" s="65" t="n">
        <v>0</v>
      </c>
      <c r="T20" s="65" t="n">
        <v>0</v>
      </c>
      <c r="U20" s="65" t="n">
        <v>0</v>
      </c>
      <c r="V20" s="65" t="n">
        <v>0</v>
      </c>
      <c r="W20" s="65" t="n">
        <v>0</v>
      </c>
      <c r="X20" s="65" t="n">
        <v>0</v>
      </c>
      <c r="Y20" s="65" t="n">
        <v>0</v>
      </c>
      <c r="Z20" s="65" t="n">
        <v>0</v>
      </c>
      <c r="AA20" s="65" t="n">
        <v>0</v>
      </c>
      <c r="AB20" s="65" t="n">
        <v>0</v>
      </c>
      <c r="AC20" s="65" t="n">
        <v>0</v>
      </c>
      <c r="AD20" s="65" t="n">
        <v>0</v>
      </c>
      <c r="AE20" s="65" t="n">
        <v>0</v>
      </c>
      <c r="AF20" s="65" t="n">
        <v>0</v>
      </c>
      <c r="AG20" s="65" t="n">
        <v>0</v>
      </c>
    </row>
    <row r="21" ht="14.25" customHeight="1" s="74">
      <c r="A21" s="64" t="inlineStr">
        <is>
          <t>biomass w CCS</t>
        </is>
      </c>
      <c r="B21" s="65" t="n">
        <v>0</v>
      </c>
      <c r="C21" s="65" t="n">
        <v>0</v>
      </c>
      <c r="D21" s="65" t="n">
        <v>0</v>
      </c>
      <c r="E21" s="65" t="n">
        <v>0</v>
      </c>
      <c r="F21" s="65" t="n">
        <v>0</v>
      </c>
      <c r="G21" s="65" t="n">
        <v>0</v>
      </c>
      <c r="H21" s="65" t="n">
        <v>0</v>
      </c>
      <c r="I21" s="65" t="n">
        <v>0</v>
      </c>
      <c r="J21" s="65" t="n">
        <v>0</v>
      </c>
      <c r="K21" s="65" t="n">
        <v>0</v>
      </c>
      <c r="L21" s="65" t="n">
        <v>0</v>
      </c>
      <c r="M21" s="65" t="n">
        <v>0</v>
      </c>
      <c r="N21" s="65" t="n">
        <v>0</v>
      </c>
      <c r="O21" s="65" t="n">
        <v>0</v>
      </c>
      <c r="P21" s="65" t="n">
        <v>0</v>
      </c>
      <c r="Q21" s="65" t="n">
        <v>0</v>
      </c>
      <c r="R21" s="65" t="n">
        <v>0</v>
      </c>
      <c r="S21" s="65" t="n">
        <v>0</v>
      </c>
      <c r="T21" s="65" t="n">
        <v>0</v>
      </c>
      <c r="U21" s="65" t="n">
        <v>0</v>
      </c>
      <c r="V21" s="65" t="n">
        <v>0</v>
      </c>
      <c r="W21" s="65" t="n">
        <v>0</v>
      </c>
      <c r="X21" s="65" t="n">
        <v>0</v>
      </c>
      <c r="Y21" s="65" t="n">
        <v>0</v>
      </c>
      <c r="Z21" s="65" t="n">
        <v>0</v>
      </c>
      <c r="AA21" s="65" t="n">
        <v>0</v>
      </c>
      <c r="AB21" s="65" t="n">
        <v>0</v>
      </c>
      <c r="AC21" s="65" t="n">
        <v>0</v>
      </c>
      <c r="AD21" s="65" t="n">
        <v>0</v>
      </c>
      <c r="AE21" s="65" t="n">
        <v>0</v>
      </c>
      <c r="AF21" s="65" t="n">
        <v>0</v>
      </c>
      <c r="AG21" s="65" t="n">
        <v>0</v>
      </c>
    </row>
    <row r="22" ht="14.25" customHeight="1" s="74">
      <c r="A22" s="64" t="inlineStr">
        <is>
          <t>lignite w CCS</t>
        </is>
      </c>
      <c r="B22" s="65" t="n">
        <v>0</v>
      </c>
      <c r="C22" s="65" t="n">
        <v>0</v>
      </c>
      <c r="D22" s="65" t="n">
        <v>0</v>
      </c>
      <c r="E22" s="65" t="n">
        <v>0</v>
      </c>
      <c r="F22" s="65" t="n">
        <v>0</v>
      </c>
      <c r="G22" s="65" t="n">
        <v>0</v>
      </c>
      <c r="H22" s="65" t="n">
        <v>0</v>
      </c>
      <c r="I22" s="65" t="n">
        <v>0</v>
      </c>
      <c r="J22" s="65" t="n">
        <v>0</v>
      </c>
      <c r="K22" s="65" t="n">
        <v>0</v>
      </c>
      <c r="L22" s="65" t="n">
        <v>0</v>
      </c>
      <c r="M22" s="65" t="n">
        <v>0</v>
      </c>
      <c r="N22" s="65" t="n">
        <v>0</v>
      </c>
      <c r="O22" s="65" t="n">
        <v>0</v>
      </c>
      <c r="P22" s="65" t="n">
        <v>0</v>
      </c>
      <c r="Q22" s="65" t="n">
        <v>0</v>
      </c>
      <c r="R22" s="65" t="n">
        <v>0</v>
      </c>
      <c r="S22" s="65" t="n">
        <v>0</v>
      </c>
      <c r="T22" s="65" t="n">
        <v>0</v>
      </c>
      <c r="U22" s="65" t="n">
        <v>0</v>
      </c>
      <c r="V22" s="65" t="n">
        <v>0</v>
      </c>
      <c r="W22" s="65" t="n">
        <v>0</v>
      </c>
      <c r="X22" s="65" t="n">
        <v>0</v>
      </c>
      <c r="Y22" s="65" t="n">
        <v>0</v>
      </c>
      <c r="Z22" s="65" t="n">
        <v>0</v>
      </c>
      <c r="AA22" s="65" t="n">
        <v>0</v>
      </c>
      <c r="AB22" s="65" t="n">
        <v>0</v>
      </c>
      <c r="AC22" s="65" t="n">
        <v>0</v>
      </c>
      <c r="AD22" s="65" t="n">
        <v>0</v>
      </c>
      <c r="AE22" s="65" t="n">
        <v>0</v>
      </c>
      <c r="AF22" s="65" t="n">
        <v>0</v>
      </c>
      <c r="AG22" s="65" t="n">
        <v>0</v>
      </c>
    </row>
    <row r="23" ht="14.25" customHeight="1" s="74">
      <c r="A23" s="64" t="inlineStr">
        <is>
          <t>small modular reactor</t>
        </is>
      </c>
      <c r="B23" s="65" t="n">
        <v>0</v>
      </c>
      <c r="C23" s="65" t="n">
        <v>0</v>
      </c>
      <c r="D23" s="65" t="n">
        <v>0</v>
      </c>
      <c r="E23" s="65" t="n">
        <v>0</v>
      </c>
      <c r="F23" s="65" t="n">
        <v>0</v>
      </c>
      <c r="G23" s="65" t="n">
        <v>0</v>
      </c>
      <c r="H23" s="65" t="n">
        <v>0</v>
      </c>
      <c r="I23" s="65" t="n">
        <v>0</v>
      </c>
      <c r="J23" s="65" t="n">
        <v>0</v>
      </c>
      <c r="K23" s="65" t="n">
        <v>0</v>
      </c>
      <c r="L23" s="65" t="n">
        <v>0</v>
      </c>
      <c r="M23" s="65" t="n">
        <v>0</v>
      </c>
      <c r="N23" s="65" t="n">
        <v>0</v>
      </c>
      <c r="O23" s="65" t="n">
        <v>0</v>
      </c>
      <c r="P23" s="65" t="n">
        <v>0</v>
      </c>
      <c r="Q23" s="65" t="n">
        <v>0</v>
      </c>
      <c r="R23" s="65" t="n">
        <v>0</v>
      </c>
      <c r="S23" s="65" t="n">
        <v>0</v>
      </c>
      <c r="T23" s="65" t="n">
        <v>0</v>
      </c>
      <c r="U23" s="65" t="n">
        <v>0</v>
      </c>
      <c r="V23" s="65" t="n">
        <v>0</v>
      </c>
      <c r="W23" s="65" t="n">
        <v>0</v>
      </c>
      <c r="X23" s="65" t="n">
        <v>0</v>
      </c>
      <c r="Y23" s="65" t="n">
        <v>0</v>
      </c>
      <c r="Z23" s="65" t="n">
        <v>0</v>
      </c>
      <c r="AA23" s="65" t="n">
        <v>0</v>
      </c>
      <c r="AB23" s="65" t="n">
        <v>0</v>
      </c>
      <c r="AC23" s="65" t="n">
        <v>0</v>
      </c>
      <c r="AD23" s="65" t="n">
        <v>0</v>
      </c>
      <c r="AE23" s="65" t="n">
        <v>0</v>
      </c>
      <c r="AF23" s="65" t="n">
        <v>0</v>
      </c>
      <c r="AG23" s="65" t="n">
        <v>0</v>
      </c>
    </row>
    <row r="24" ht="14.25" customHeight="1" s="74">
      <c r="A24" s="66" t="inlineStr">
        <is>
          <t>hydrogen combustion turbine</t>
        </is>
      </c>
      <c r="B24" s="65" t="n">
        <v>0</v>
      </c>
      <c r="C24" s="65" t="n">
        <v>0</v>
      </c>
      <c r="D24" s="65" t="n">
        <v>0</v>
      </c>
      <c r="E24" s="65" t="n">
        <v>0</v>
      </c>
      <c r="F24" s="65" t="n">
        <v>0</v>
      </c>
      <c r="G24" s="65" t="n">
        <v>0</v>
      </c>
      <c r="H24" s="65" t="n">
        <v>0</v>
      </c>
      <c r="I24" s="65" t="n">
        <v>0</v>
      </c>
      <c r="J24" s="65" t="n">
        <v>0</v>
      </c>
      <c r="K24" s="65" t="n">
        <v>0</v>
      </c>
      <c r="L24" s="65" t="n">
        <v>0</v>
      </c>
      <c r="M24" s="65" t="n">
        <v>0</v>
      </c>
      <c r="N24" s="65" t="n">
        <v>0</v>
      </c>
      <c r="O24" s="65" t="n">
        <v>0</v>
      </c>
      <c r="P24" s="65" t="n">
        <v>0</v>
      </c>
      <c r="Q24" s="65" t="n">
        <v>0</v>
      </c>
      <c r="R24" s="65" t="n">
        <v>0</v>
      </c>
      <c r="S24" s="65" t="n">
        <v>0</v>
      </c>
      <c r="T24" s="65" t="n">
        <v>0</v>
      </c>
      <c r="U24" s="65" t="n">
        <v>0</v>
      </c>
      <c r="V24" s="65" t="n">
        <v>0</v>
      </c>
      <c r="W24" s="65" t="n">
        <v>0</v>
      </c>
      <c r="X24" s="65" t="n">
        <v>0</v>
      </c>
      <c r="Y24" s="65" t="n">
        <v>0</v>
      </c>
      <c r="Z24" s="65" t="n">
        <v>0</v>
      </c>
      <c r="AA24" s="65" t="n">
        <v>0</v>
      </c>
      <c r="AB24" s="65" t="n">
        <v>0</v>
      </c>
      <c r="AC24" s="65" t="n">
        <v>0</v>
      </c>
      <c r="AD24" s="65" t="n">
        <v>0</v>
      </c>
      <c r="AE24" s="65" t="n">
        <v>0</v>
      </c>
      <c r="AF24" s="65" t="n">
        <v>0</v>
      </c>
      <c r="AG24" s="65" t="n">
        <v>0</v>
      </c>
    </row>
    <row r="25" ht="14.25" customHeight="1" s="74">
      <c r="A25" s="66" t="inlineStr">
        <is>
          <t>hydrogen combined cycle</t>
        </is>
      </c>
      <c r="B25" s="65" t="n">
        <v>0</v>
      </c>
      <c r="C25" s="65" t="n">
        <v>0</v>
      </c>
      <c r="D25" s="65" t="n">
        <v>0</v>
      </c>
      <c r="E25" s="65" t="n">
        <v>0</v>
      </c>
      <c r="F25" s="65" t="n">
        <v>0</v>
      </c>
      <c r="G25" s="65" t="n">
        <v>0</v>
      </c>
      <c r="H25" s="65" t="n">
        <v>0</v>
      </c>
      <c r="I25" s="65" t="n">
        <v>0</v>
      </c>
      <c r="J25" s="65" t="n">
        <v>0</v>
      </c>
      <c r="K25" s="65" t="n">
        <v>0</v>
      </c>
      <c r="L25" s="65" t="n">
        <v>0</v>
      </c>
      <c r="M25" s="65" t="n">
        <v>0</v>
      </c>
      <c r="N25" s="65" t="n">
        <v>0</v>
      </c>
      <c r="O25" s="65" t="n">
        <v>0</v>
      </c>
      <c r="P25" s="65" t="n">
        <v>0</v>
      </c>
      <c r="Q25" s="65" t="n">
        <v>0</v>
      </c>
      <c r="R25" s="65" t="n">
        <v>0</v>
      </c>
      <c r="S25" s="65" t="n">
        <v>0</v>
      </c>
      <c r="T25" s="65" t="n">
        <v>0</v>
      </c>
      <c r="U25" s="65" t="n">
        <v>0</v>
      </c>
      <c r="V25" s="65" t="n">
        <v>0</v>
      </c>
      <c r="W25" s="65" t="n">
        <v>0</v>
      </c>
      <c r="X25" s="65" t="n">
        <v>0</v>
      </c>
      <c r="Y25" s="65" t="n">
        <v>0</v>
      </c>
      <c r="Z25" s="65" t="n">
        <v>0</v>
      </c>
      <c r="AA25" s="65" t="n">
        <v>0</v>
      </c>
      <c r="AB25" s="65" t="n">
        <v>0</v>
      </c>
      <c r="AC25" s="65" t="n">
        <v>0</v>
      </c>
      <c r="AD25" s="65" t="n">
        <v>0</v>
      </c>
      <c r="AE25" s="65" t="n">
        <v>0</v>
      </c>
      <c r="AF25" s="65" t="n">
        <v>0</v>
      </c>
      <c r="AG25" s="65" t="n">
        <v>0</v>
      </c>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row r="1001" ht="14.25" customHeight="1" s="74">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c r="AA1001" s="2" t="n"/>
      <c r="AB1001" s="2" t="n"/>
      <c r="AC1001" s="2" t="n"/>
      <c r="AD1001" s="2" t="n"/>
      <c r="AE1001" s="2" t="n"/>
      <c r="AF1001" s="2" t="n"/>
    </row>
  </sheetData>
  <pageMargins left="0.7" right="0.7" top="0.75" bottom="0.75" header="0" footer="0"/>
  <pageSetup orientation="landscape"/>
</worksheet>
</file>

<file path=xl/worksheets/sheet14.xml><?xml version="1.0" encoding="utf-8"?>
<worksheet xmlns="http://schemas.openxmlformats.org/spreadsheetml/2006/main">
  <sheetPr>
    <tabColor rgb="FF1F497D"/>
    <outlinePr summaryBelow="1" summaryRight="1"/>
    <pageSetUpPr/>
  </sheetPr>
  <dimension ref="A1:AG1001"/>
  <sheetViews>
    <sheetView tabSelected="1" workbookViewId="0">
      <selection activeCell="I22" sqref="I22"/>
    </sheetView>
  </sheetViews>
  <sheetFormatPr baseColWidth="10" defaultColWidth="12.6640625" defaultRowHeight="15" customHeight="1"/>
  <cols>
    <col width="20.5" customWidth="1" style="74" min="1" max="1"/>
    <col width="9.33203125" bestFit="1" customWidth="1" style="74" min="2" max="2"/>
    <col width="9" bestFit="1" customWidth="1" style="74" min="3"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f>'BDEQ-BDESC-urban-residential-o'!B2</f>
        <v/>
      </c>
      <c r="C2" s="62">
        <f>'BDEQ-BDESC-urban-residential-o'!C2</f>
        <v/>
      </c>
      <c r="D2" s="62">
        <f>'BDEQ-BDESC-urban-residential-o'!D2</f>
        <v/>
      </c>
      <c r="E2" s="62">
        <f>'BDEQ-BDESC-urban-residential-o'!E2</f>
        <v/>
      </c>
      <c r="F2" s="62">
        <f>'BDEQ-BDESC-urban-residential-o'!F2</f>
        <v/>
      </c>
      <c r="G2" s="62">
        <f>'BDEQ-BDESC-urban-residential-o'!G2</f>
        <v/>
      </c>
      <c r="H2" s="62">
        <f>'BDEQ-BDESC-urban-residential-o'!H2</f>
        <v/>
      </c>
      <c r="I2" s="62">
        <f>'BDEQ-BDESC-urban-residential-o'!I2</f>
        <v/>
      </c>
      <c r="J2" s="62">
        <f>'BDEQ-BDESC-urban-residential-o'!J2</f>
        <v/>
      </c>
      <c r="K2" s="62">
        <f>'BDEQ-BDESC-urban-residential-o'!K2</f>
        <v/>
      </c>
      <c r="L2" s="62">
        <f>'BDEQ-BDESC-urban-residential-o'!L2</f>
        <v/>
      </c>
      <c r="M2" s="62">
        <f>'BDEQ-BDESC-urban-residential-o'!M2</f>
        <v/>
      </c>
      <c r="N2" s="62">
        <f>'BDEQ-BDESC-urban-residential-o'!N2</f>
        <v/>
      </c>
      <c r="O2" s="62">
        <f>'BDEQ-BDESC-urban-residential-o'!O2</f>
        <v/>
      </c>
      <c r="P2" s="62">
        <f>'BDEQ-BDESC-urban-residential-o'!P2</f>
        <v/>
      </c>
      <c r="Q2" s="62">
        <f>'BDEQ-BDESC-urban-residential-o'!Q2</f>
        <v/>
      </c>
      <c r="R2" s="62">
        <f>'BDEQ-BDESC-urban-residential-o'!R2</f>
        <v/>
      </c>
      <c r="S2" s="62">
        <f>'BDEQ-BDESC-urban-residential-o'!S2</f>
        <v/>
      </c>
      <c r="T2" s="62">
        <f>'BDEQ-BDESC-urban-residential-o'!T2</f>
        <v/>
      </c>
      <c r="U2" s="62">
        <f>'BDEQ-BDESC-urban-residential-o'!U2</f>
        <v/>
      </c>
      <c r="V2" s="62">
        <f>'BDEQ-BDESC-urban-residential-o'!V2</f>
        <v/>
      </c>
      <c r="W2" s="62">
        <f>'BDEQ-BDESC-urban-residential-o'!W2</f>
        <v/>
      </c>
      <c r="X2" s="62">
        <f>'BDEQ-BDESC-urban-residential-o'!X2</f>
        <v/>
      </c>
      <c r="Y2" s="62">
        <f>'BDEQ-BDESC-urban-residential-o'!Y2</f>
        <v/>
      </c>
      <c r="Z2" s="62">
        <f>'BDEQ-BDESC-urban-residential-o'!Z2</f>
        <v/>
      </c>
      <c r="AA2" s="62">
        <f>'BDEQ-BDESC-urban-residential-o'!AA2</f>
        <v/>
      </c>
      <c r="AB2" s="62">
        <f>'BDEQ-BDESC-urban-residential-o'!AB2</f>
        <v/>
      </c>
      <c r="AC2" s="62">
        <f>'BDEQ-BDESC-urban-residential-o'!AC2</f>
        <v/>
      </c>
      <c r="AD2" s="62">
        <f>'BDEQ-BDESC-urban-residential-o'!AD2</f>
        <v/>
      </c>
      <c r="AE2" s="62">
        <f>'BDEQ-BDESC-urban-residential-o'!AE2</f>
        <v/>
      </c>
      <c r="AF2" s="62">
        <f>'BDEQ-BDESC-urban-residential-o'!AF2</f>
        <v/>
      </c>
    </row>
    <row r="3" ht="14.25" customFormat="1" customHeight="1" s="57">
      <c r="A3" s="70" t="inlineStr">
        <is>
          <t>natural gas steam turbine</t>
        </is>
      </c>
      <c r="B3" s="69" t="n">
        <v>0</v>
      </c>
      <c r="C3" s="69" t="n">
        <v>0</v>
      </c>
      <c r="D3" s="69" t="n">
        <v>0</v>
      </c>
      <c r="E3" s="69" t="n">
        <v>0</v>
      </c>
      <c r="F3" s="69" t="n">
        <v>0</v>
      </c>
      <c r="G3" s="69" t="n">
        <v>0</v>
      </c>
      <c r="H3" s="69" t="n">
        <v>0</v>
      </c>
      <c r="I3" s="69" t="n">
        <v>0</v>
      </c>
      <c r="J3" s="69" t="n">
        <v>0</v>
      </c>
      <c r="K3" s="69" t="n">
        <v>0</v>
      </c>
      <c r="L3" s="69" t="n">
        <v>0</v>
      </c>
      <c r="M3" s="69" t="n">
        <v>0</v>
      </c>
      <c r="N3" s="69" t="n">
        <v>0</v>
      </c>
      <c r="O3" s="69" t="n">
        <v>0</v>
      </c>
      <c r="P3" s="69" t="n">
        <v>0</v>
      </c>
      <c r="Q3" s="69" t="n">
        <v>0</v>
      </c>
      <c r="R3" s="69" t="n">
        <v>0</v>
      </c>
      <c r="S3" s="69" t="n">
        <v>0</v>
      </c>
      <c r="T3" s="69" t="n">
        <v>0</v>
      </c>
      <c r="U3" s="69" t="n">
        <v>0</v>
      </c>
      <c r="V3" s="69" t="n">
        <v>0</v>
      </c>
      <c r="W3" s="69" t="n">
        <v>0</v>
      </c>
      <c r="X3" s="69" t="n">
        <v>0</v>
      </c>
      <c r="Y3" s="69" t="n">
        <v>0</v>
      </c>
      <c r="Z3" s="69" t="n">
        <v>0</v>
      </c>
      <c r="AA3" s="69" t="n">
        <v>0</v>
      </c>
      <c r="AB3" s="69" t="n">
        <v>0</v>
      </c>
      <c r="AC3" s="69" t="n">
        <v>0</v>
      </c>
      <c r="AD3" s="69" t="n">
        <v>0</v>
      </c>
      <c r="AE3" s="69" t="n">
        <v>0</v>
      </c>
      <c r="AF3" s="69" t="n">
        <v>0</v>
      </c>
    </row>
    <row r="4" ht="14.25" customHeight="1" s="74">
      <c r="A4" s="70" t="inlineStr">
        <is>
          <t>natural gas combined cycle</t>
        </is>
      </c>
      <c r="B4" s="62">
        <f>'BDEQ-BDESC-urban-residential-o'!B3</f>
        <v/>
      </c>
      <c r="C4" s="62">
        <f>'BDEQ-BDESC-urban-residential-o'!C3</f>
        <v/>
      </c>
      <c r="D4" s="62">
        <f>'BDEQ-BDESC-urban-residential-o'!D3</f>
        <v/>
      </c>
      <c r="E4" s="62">
        <f>'BDEQ-BDESC-urban-residential-o'!E3</f>
        <v/>
      </c>
      <c r="F4" s="62">
        <f>'BDEQ-BDESC-urban-residential-o'!F3</f>
        <v/>
      </c>
      <c r="G4" s="62">
        <f>'BDEQ-BDESC-urban-residential-o'!G3</f>
        <v/>
      </c>
      <c r="H4" s="62">
        <f>'BDEQ-BDESC-urban-residential-o'!H3</f>
        <v/>
      </c>
      <c r="I4" s="62">
        <f>'BDEQ-BDESC-urban-residential-o'!I3</f>
        <v/>
      </c>
      <c r="J4" s="62">
        <f>'BDEQ-BDESC-urban-residential-o'!J3</f>
        <v/>
      </c>
      <c r="K4" s="62">
        <f>'BDEQ-BDESC-urban-residential-o'!K3</f>
        <v/>
      </c>
      <c r="L4" s="62">
        <f>'BDEQ-BDESC-urban-residential-o'!L3</f>
        <v/>
      </c>
      <c r="M4" s="62">
        <f>'BDEQ-BDESC-urban-residential-o'!M3</f>
        <v/>
      </c>
      <c r="N4" s="62">
        <f>'BDEQ-BDESC-urban-residential-o'!N3</f>
        <v/>
      </c>
      <c r="O4" s="62">
        <f>'BDEQ-BDESC-urban-residential-o'!O3</f>
        <v/>
      </c>
      <c r="P4" s="62">
        <f>'BDEQ-BDESC-urban-residential-o'!P3</f>
        <v/>
      </c>
      <c r="Q4" s="62">
        <f>'BDEQ-BDESC-urban-residential-o'!Q3</f>
        <v/>
      </c>
      <c r="R4" s="62">
        <f>'BDEQ-BDESC-urban-residential-o'!R3</f>
        <v/>
      </c>
      <c r="S4" s="62">
        <f>'BDEQ-BDESC-urban-residential-o'!S3</f>
        <v/>
      </c>
      <c r="T4" s="62">
        <f>'BDEQ-BDESC-urban-residential-o'!T3</f>
        <v/>
      </c>
      <c r="U4" s="62">
        <f>'BDEQ-BDESC-urban-residential-o'!U3</f>
        <v/>
      </c>
      <c r="V4" s="62">
        <f>'BDEQ-BDESC-urban-residential-o'!V3</f>
        <v/>
      </c>
      <c r="W4" s="62">
        <f>'BDEQ-BDESC-urban-residential-o'!W3</f>
        <v/>
      </c>
      <c r="X4" s="62">
        <f>'BDEQ-BDESC-urban-residential-o'!X3</f>
        <v/>
      </c>
      <c r="Y4" s="62">
        <f>'BDEQ-BDESC-urban-residential-o'!Y3</f>
        <v/>
      </c>
      <c r="Z4" s="62">
        <f>'BDEQ-BDESC-urban-residential-o'!Z3</f>
        <v/>
      </c>
      <c r="AA4" s="62">
        <f>'BDEQ-BDESC-urban-residential-o'!AA3</f>
        <v/>
      </c>
      <c r="AB4" s="62">
        <f>'BDEQ-BDESC-urban-residential-o'!AB3</f>
        <v/>
      </c>
      <c r="AC4" s="62">
        <f>'BDEQ-BDESC-urban-residential-o'!AC3</f>
        <v/>
      </c>
      <c r="AD4" s="62">
        <f>'BDEQ-BDESC-urban-residential-o'!AD3</f>
        <v/>
      </c>
      <c r="AE4" s="62">
        <f>'BDEQ-BDESC-urban-residential-o'!AE3</f>
        <v/>
      </c>
      <c r="AF4" s="62">
        <f>'BDEQ-BDESC-urban-residential-o'!AF3</f>
        <v/>
      </c>
    </row>
    <row r="5" ht="14.25" customHeight="1" s="74">
      <c r="A5" s="7" t="inlineStr">
        <is>
          <t>nuclear</t>
        </is>
      </c>
      <c r="B5" s="62">
        <f>'BDEQ-BDESC-urban-residential-o'!B4</f>
        <v/>
      </c>
      <c r="C5" s="62">
        <f>'BDEQ-BDESC-urban-residential-o'!C4</f>
        <v/>
      </c>
      <c r="D5" s="62">
        <f>'BDEQ-BDESC-urban-residential-o'!D4</f>
        <v/>
      </c>
      <c r="E5" s="62">
        <f>'BDEQ-BDESC-urban-residential-o'!E4</f>
        <v/>
      </c>
      <c r="F5" s="62">
        <f>'BDEQ-BDESC-urban-residential-o'!F4</f>
        <v/>
      </c>
      <c r="G5" s="62">
        <f>'BDEQ-BDESC-urban-residential-o'!G4</f>
        <v/>
      </c>
      <c r="H5" s="62">
        <f>'BDEQ-BDESC-urban-residential-o'!H4</f>
        <v/>
      </c>
      <c r="I5" s="62">
        <f>'BDEQ-BDESC-urban-residential-o'!I4</f>
        <v/>
      </c>
      <c r="J5" s="62">
        <f>'BDEQ-BDESC-urban-residential-o'!J4</f>
        <v/>
      </c>
      <c r="K5" s="62">
        <f>'BDEQ-BDESC-urban-residential-o'!K4</f>
        <v/>
      </c>
      <c r="L5" s="62">
        <f>'BDEQ-BDESC-urban-residential-o'!L4</f>
        <v/>
      </c>
      <c r="M5" s="62">
        <f>'BDEQ-BDESC-urban-residential-o'!M4</f>
        <v/>
      </c>
      <c r="N5" s="62">
        <f>'BDEQ-BDESC-urban-residential-o'!N4</f>
        <v/>
      </c>
      <c r="O5" s="62">
        <f>'BDEQ-BDESC-urban-residential-o'!O4</f>
        <v/>
      </c>
      <c r="P5" s="62">
        <f>'BDEQ-BDESC-urban-residential-o'!P4</f>
        <v/>
      </c>
      <c r="Q5" s="62">
        <f>'BDEQ-BDESC-urban-residential-o'!Q4</f>
        <v/>
      </c>
      <c r="R5" s="62">
        <f>'BDEQ-BDESC-urban-residential-o'!R4</f>
        <v/>
      </c>
      <c r="S5" s="62">
        <f>'BDEQ-BDESC-urban-residential-o'!S4</f>
        <v/>
      </c>
      <c r="T5" s="62">
        <f>'BDEQ-BDESC-urban-residential-o'!T4</f>
        <v/>
      </c>
      <c r="U5" s="62">
        <f>'BDEQ-BDESC-urban-residential-o'!U4</f>
        <v/>
      </c>
      <c r="V5" s="62">
        <f>'BDEQ-BDESC-urban-residential-o'!V4</f>
        <v/>
      </c>
      <c r="W5" s="62">
        <f>'BDEQ-BDESC-urban-residential-o'!W4</f>
        <v/>
      </c>
      <c r="X5" s="62">
        <f>'BDEQ-BDESC-urban-residential-o'!X4</f>
        <v/>
      </c>
      <c r="Y5" s="62">
        <f>'BDEQ-BDESC-urban-residential-o'!Y4</f>
        <v/>
      </c>
      <c r="Z5" s="62">
        <f>'BDEQ-BDESC-urban-residential-o'!Z4</f>
        <v/>
      </c>
      <c r="AA5" s="62">
        <f>'BDEQ-BDESC-urban-residential-o'!AA4</f>
        <v/>
      </c>
      <c r="AB5" s="62">
        <f>'BDEQ-BDESC-urban-residential-o'!AB4</f>
        <v/>
      </c>
      <c r="AC5" s="62">
        <f>'BDEQ-BDESC-urban-residential-o'!AC4</f>
        <v/>
      </c>
      <c r="AD5" s="62">
        <f>'BDEQ-BDESC-urban-residential-o'!AD4</f>
        <v/>
      </c>
      <c r="AE5" s="62">
        <f>'BDEQ-BDESC-urban-residential-o'!AE4</f>
        <v/>
      </c>
      <c r="AF5" s="62">
        <f>'BDEQ-BDESC-urban-residential-o'!AF4</f>
        <v/>
      </c>
    </row>
    <row r="6" ht="14.25" customHeight="1" s="74">
      <c r="A6" s="7" t="inlineStr">
        <is>
          <t>hydro</t>
        </is>
      </c>
      <c r="B6" s="62">
        <f>'BDEQ-BDESC-urban-residential-o'!B5</f>
        <v/>
      </c>
      <c r="C6" s="62">
        <f>'BDEQ-BDESC-urban-residential-o'!C5</f>
        <v/>
      </c>
      <c r="D6" s="62">
        <f>'BDEQ-BDESC-urban-residential-o'!D5</f>
        <v/>
      </c>
      <c r="E6" s="62">
        <f>'BDEQ-BDESC-urban-residential-o'!E5</f>
        <v/>
      </c>
      <c r="F6" s="62">
        <f>'BDEQ-BDESC-urban-residential-o'!F5</f>
        <v/>
      </c>
      <c r="G6" s="62">
        <f>'BDEQ-BDESC-urban-residential-o'!G5</f>
        <v/>
      </c>
      <c r="H6" s="62">
        <f>'BDEQ-BDESC-urban-residential-o'!H5</f>
        <v/>
      </c>
      <c r="I6" s="62">
        <f>'BDEQ-BDESC-urban-residential-o'!I5</f>
        <v/>
      </c>
      <c r="J6" s="62">
        <f>'BDEQ-BDESC-urban-residential-o'!J5</f>
        <v/>
      </c>
      <c r="K6" s="62">
        <f>'BDEQ-BDESC-urban-residential-o'!K5</f>
        <v/>
      </c>
      <c r="L6" s="62">
        <f>'BDEQ-BDESC-urban-residential-o'!L5</f>
        <v/>
      </c>
      <c r="M6" s="62">
        <f>'BDEQ-BDESC-urban-residential-o'!M5</f>
        <v/>
      </c>
      <c r="N6" s="62">
        <f>'BDEQ-BDESC-urban-residential-o'!N5</f>
        <v/>
      </c>
      <c r="O6" s="62">
        <f>'BDEQ-BDESC-urban-residential-o'!O5</f>
        <v/>
      </c>
      <c r="P6" s="62">
        <f>'BDEQ-BDESC-urban-residential-o'!P5</f>
        <v/>
      </c>
      <c r="Q6" s="62">
        <f>'BDEQ-BDESC-urban-residential-o'!Q5</f>
        <v/>
      </c>
      <c r="R6" s="62">
        <f>'BDEQ-BDESC-urban-residential-o'!R5</f>
        <v/>
      </c>
      <c r="S6" s="62">
        <f>'BDEQ-BDESC-urban-residential-o'!S5</f>
        <v/>
      </c>
      <c r="T6" s="62">
        <f>'BDEQ-BDESC-urban-residential-o'!T5</f>
        <v/>
      </c>
      <c r="U6" s="62">
        <f>'BDEQ-BDESC-urban-residential-o'!U5</f>
        <v/>
      </c>
      <c r="V6" s="62">
        <f>'BDEQ-BDESC-urban-residential-o'!V5</f>
        <v/>
      </c>
      <c r="W6" s="62">
        <f>'BDEQ-BDESC-urban-residential-o'!W5</f>
        <v/>
      </c>
      <c r="X6" s="62">
        <f>'BDEQ-BDESC-urban-residential-o'!X5</f>
        <v/>
      </c>
      <c r="Y6" s="62">
        <f>'BDEQ-BDESC-urban-residential-o'!Y5</f>
        <v/>
      </c>
      <c r="Z6" s="62">
        <f>'BDEQ-BDESC-urban-residential-o'!Z5</f>
        <v/>
      </c>
      <c r="AA6" s="62">
        <f>'BDEQ-BDESC-urban-residential-o'!AA5</f>
        <v/>
      </c>
      <c r="AB6" s="62">
        <f>'BDEQ-BDESC-urban-residential-o'!AB5</f>
        <v/>
      </c>
      <c r="AC6" s="62">
        <f>'BDEQ-BDESC-urban-residential-o'!AC5</f>
        <v/>
      </c>
      <c r="AD6" s="62">
        <f>'BDEQ-BDESC-urban-residential-o'!AD5</f>
        <v/>
      </c>
      <c r="AE6" s="62">
        <f>'BDEQ-BDESC-urban-residential-o'!AE5</f>
        <v/>
      </c>
      <c r="AF6" s="62">
        <f>'BDEQ-BDESC-urban-residential-o'!AF5</f>
        <v/>
      </c>
    </row>
    <row r="7" ht="14.25" customHeight="1" s="74">
      <c r="A7" s="7" t="inlineStr">
        <is>
          <t>onshore wind</t>
        </is>
      </c>
      <c r="B7" s="62">
        <f>'BDEQ-BDESC-urban-residential-o'!B6</f>
        <v/>
      </c>
      <c r="C7" s="62">
        <f>'BDEQ-BDESC-urban-residential-o'!C6</f>
        <v/>
      </c>
      <c r="D7" s="62">
        <f>'BDEQ-BDESC-urban-residential-o'!D6</f>
        <v/>
      </c>
      <c r="E7" s="62">
        <f>'BDEQ-BDESC-urban-residential-o'!E6</f>
        <v/>
      </c>
      <c r="F7" s="62">
        <f>'BDEQ-BDESC-urban-residential-o'!F6</f>
        <v/>
      </c>
      <c r="G7" s="62">
        <f>'BDEQ-BDESC-urban-residential-o'!G6</f>
        <v/>
      </c>
      <c r="H7" s="62">
        <f>'BDEQ-BDESC-urban-residential-o'!H6</f>
        <v/>
      </c>
      <c r="I7" s="62">
        <f>'BDEQ-BDESC-urban-residential-o'!I6</f>
        <v/>
      </c>
      <c r="J7" s="62">
        <f>'BDEQ-BDESC-urban-residential-o'!J6</f>
        <v/>
      </c>
      <c r="K7" s="62">
        <f>'BDEQ-BDESC-urban-residential-o'!K6</f>
        <v/>
      </c>
      <c r="L7" s="62">
        <f>'BDEQ-BDESC-urban-residential-o'!L6</f>
        <v/>
      </c>
      <c r="M7" s="62">
        <f>'BDEQ-BDESC-urban-residential-o'!M6</f>
        <v/>
      </c>
      <c r="N7" s="62">
        <f>'BDEQ-BDESC-urban-residential-o'!N6</f>
        <v/>
      </c>
      <c r="O7" s="62">
        <f>'BDEQ-BDESC-urban-residential-o'!O6</f>
        <v/>
      </c>
      <c r="P7" s="62">
        <f>'BDEQ-BDESC-urban-residential-o'!P6</f>
        <v/>
      </c>
      <c r="Q7" s="62">
        <f>'BDEQ-BDESC-urban-residential-o'!Q6</f>
        <v/>
      </c>
      <c r="R7" s="62">
        <f>'BDEQ-BDESC-urban-residential-o'!R6</f>
        <v/>
      </c>
      <c r="S7" s="62">
        <f>'BDEQ-BDESC-urban-residential-o'!S6</f>
        <v/>
      </c>
      <c r="T7" s="62">
        <f>'BDEQ-BDESC-urban-residential-o'!T6</f>
        <v/>
      </c>
      <c r="U7" s="62">
        <f>'BDEQ-BDESC-urban-residential-o'!U6</f>
        <v/>
      </c>
      <c r="V7" s="62">
        <f>'BDEQ-BDESC-urban-residential-o'!V6</f>
        <v/>
      </c>
      <c r="W7" s="62">
        <f>'BDEQ-BDESC-urban-residential-o'!W6</f>
        <v/>
      </c>
      <c r="X7" s="62">
        <f>'BDEQ-BDESC-urban-residential-o'!X6</f>
        <v/>
      </c>
      <c r="Y7" s="62">
        <f>'BDEQ-BDESC-urban-residential-o'!Y6</f>
        <v/>
      </c>
      <c r="Z7" s="62">
        <f>'BDEQ-BDESC-urban-residential-o'!Z6</f>
        <v/>
      </c>
      <c r="AA7" s="62">
        <f>'BDEQ-BDESC-urban-residential-o'!AA6</f>
        <v/>
      </c>
      <c r="AB7" s="62">
        <f>'BDEQ-BDESC-urban-residential-o'!AB6</f>
        <v/>
      </c>
      <c r="AC7" s="62">
        <f>'BDEQ-BDESC-urban-residential-o'!AC6</f>
        <v/>
      </c>
      <c r="AD7" s="62">
        <f>'BDEQ-BDESC-urban-residential-o'!AD6</f>
        <v/>
      </c>
      <c r="AE7" s="62">
        <f>'BDEQ-BDESC-urban-residential-o'!AE6</f>
        <v/>
      </c>
      <c r="AF7" s="62">
        <f>'BDEQ-BDESC-urban-residential-o'!AF6</f>
        <v/>
      </c>
    </row>
    <row r="8" ht="14.25" customHeight="1" s="74">
      <c r="A8" s="7" t="inlineStr">
        <is>
          <t>solar PV</t>
        </is>
      </c>
      <c r="B8" s="62">
        <f>'BDEQ-BDESC-urban-residential-o'!B7</f>
        <v/>
      </c>
      <c r="C8" s="62">
        <f>'BDEQ-BDESC-urban-residential-o'!C7</f>
        <v/>
      </c>
      <c r="D8" s="62">
        <f>'BDEQ-BDESC-urban-residential-o'!D7</f>
        <v/>
      </c>
      <c r="E8" s="62">
        <f>'BDEQ-BDESC-urban-residential-o'!E7</f>
        <v/>
      </c>
      <c r="F8" s="62">
        <f>'BDEQ-BDESC-urban-residential-o'!F7</f>
        <v/>
      </c>
      <c r="G8" s="62">
        <f>'BDEQ-BDESC-urban-residential-o'!G7</f>
        <v/>
      </c>
      <c r="H8" s="62">
        <f>'BDEQ-BDESC-urban-residential-o'!H7</f>
        <v/>
      </c>
      <c r="I8" s="62">
        <f>'BDEQ-BDESC-urban-residential-o'!I7</f>
        <v/>
      </c>
      <c r="J8" s="62">
        <f>'BDEQ-BDESC-urban-residential-o'!J7</f>
        <v/>
      </c>
      <c r="K8" s="62">
        <f>'BDEQ-BDESC-urban-residential-o'!K7</f>
        <v/>
      </c>
      <c r="L8" s="62">
        <f>'BDEQ-BDESC-urban-residential-o'!L7</f>
        <v/>
      </c>
      <c r="M8" s="62">
        <f>'BDEQ-BDESC-urban-residential-o'!M7</f>
        <v/>
      </c>
      <c r="N8" s="62">
        <f>'BDEQ-BDESC-urban-residential-o'!N7</f>
        <v/>
      </c>
      <c r="O8" s="62">
        <f>'BDEQ-BDESC-urban-residential-o'!O7</f>
        <v/>
      </c>
      <c r="P8" s="62">
        <f>'BDEQ-BDESC-urban-residential-o'!P7</f>
        <v/>
      </c>
      <c r="Q8" s="62">
        <f>'BDEQ-BDESC-urban-residential-o'!Q7</f>
        <v/>
      </c>
      <c r="R8" s="62">
        <f>'BDEQ-BDESC-urban-residential-o'!R7</f>
        <v/>
      </c>
      <c r="S8" s="62">
        <f>'BDEQ-BDESC-urban-residential-o'!S7</f>
        <v/>
      </c>
      <c r="T8" s="62">
        <f>'BDEQ-BDESC-urban-residential-o'!T7</f>
        <v/>
      </c>
      <c r="U8" s="62">
        <f>'BDEQ-BDESC-urban-residential-o'!U7</f>
        <v/>
      </c>
      <c r="V8" s="62">
        <f>'BDEQ-BDESC-urban-residential-o'!V7</f>
        <v/>
      </c>
      <c r="W8" s="62">
        <f>'BDEQ-BDESC-urban-residential-o'!W7</f>
        <v/>
      </c>
      <c r="X8" s="62">
        <f>'BDEQ-BDESC-urban-residential-o'!X7</f>
        <v/>
      </c>
      <c r="Y8" s="62">
        <f>'BDEQ-BDESC-urban-residential-o'!Y7</f>
        <v/>
      </c>
      <c r="Z8" s="62">
        <f>'BDEQ-BDESC-urban-residential-o'!Z7</f>
        <v/>
      </c>
      <c r="AA8" s="62">
        <f>'BDEQ-BDESC-urban-residential-o'!AA7</f>
        <v/>
      </c>
      <c r="AB8" s="62">
        <f>'BDEQ-BDESC-urban-residential-o'!AB7</f>
        <v/>
      </c>
      <c r="AC8" s="62">
        <f>'BDEQ-BDESC-urban-residential-o'!AC7</f>
        <v/>
      </c>
      <c r="AD8" s="62">
        <f>'BDEQ-BDESC-urban-residential-o'!AD7</f>
        <v/>
      </c>
      <c r="AE8" s="62">
        <f>'BDEQ-BDESC-urban-residential-o'!AE7</f>
        <v/>
      </c>
      <c r="AF8" s="62">
        <f>'BDEQ-BDESC-urban-residential-o'!AF7</f>
        <v/>
      </c>
    </row>
    <row r="9" ht="14.25" customHeight="1" s="74">
      <c r="A9" s="7" t="inlineStr">
        <is>
          <t>solar thermal</t>
        </is>
      </c>
      <c r="B9" s="62">
        <f>'BDEQ-BDESC-urban-residential-o'!B8</f>
        <v/>
      </c>
      <c r="C9" s="62">
        <f>'BDEQ-BDESC-urban-residential-o'!C8</f>
        <v/>
      </c>
      <c r="D9" s="62">
        <f>'BDEQ-BDESC-urban-residential-o'!D8</f>
        <v/>
      </c>
      <c r="E9" s="62">
        <f>'BDEQ-BDESC-urban-residential-o'!E8</f>
        <v/>
      </c>
      <c r="F9" s="62">
        <f>'BDEQ-BDESC-urban-residential-o'!F8</f>
        <v/>
      </c>
      <c r="G9" s="62">
        <f>'BDEQ-BDESC-urban-residential-o'!G8</f>
        <v/>
      </c>
      <c r="H9" s="62">
        <f>'BDEQ-BDESC-urban-residential-o'!H8</f>
        <v/>
      </c>
      <c r="I9" s="62">
        <f>'BDEQ-BDESC-urban-residential-o'!I8</f>
        <v/>
      </c>
      <c r="J9" s="62">
        <f>'BDEQ-BDESC-urban-residential-o'!J8</f>
        <v/>
      </c>
      <c r="K9" s="62">
        <f>'BDEQ-BDESC-urban-residential-o'!K8</f>
        <v/>
      </c>
      <c r="L9" s="62">
        <f>'BDEQ-BDESC-urban-residential-o'!L8</f>
        <v/>
      </c>
      <c r="M9" s="62">
        <f>'BDEQ-BDESC-urban-residential-o'!M8</f>
        <v/>
      </c>
      <c r="N9" s="62">
        <f>'BDEQ-BDESC-urban-residential-o'!N8</f>
        <v/>
      </c>
      <c r="O9" s="62">
        <f>'BDEQ-BDESC-urban-residential-o'!O8</f>
        <v/>
      </c>
      <c r="P9" s="62">
        <f>'BDEQ-BDESC-urban-residential-o'!P8</f>
        <v/>
      </c>
      <c r="Q9" s="62">
        <f>'BDEQ-BDESC-urban-residential-o'!Q8</f>
        <v/>
      </c>
      <c r="R9" s="62">
        <f>'BDEQ-BDESC-urban-residential-o'!R8</f>
        <v/>
      </c>
      <c r="S9" s="62">
        <f>'BDEQ-BDESC-urban-residential-o'!S8</f>
        <v/>
      </c>
      <c r="T9" s="62">
        <f>'BDEQ-BDESC-urban-residential-o'!T8</f>
        <v/>
      </c>
      <c r="U9" s="62">
        <f>'BDEQ-BDESC-urban-residential-o'!U8</f>
        <v/>
      </c>
      <c r="V9" s="62">
        <f>'BDEQ-BDESC-urban-residential-o'!V8</f>
        <v/>
      </c>
      <c r="W9" s="62">
        <f>'BDEQ-BDESC-urban-residential-o'!W8</f>
        <v/>
      </c>
      <c r="X9" s="62">
        <f>'BDEQ-BDESC-urban-residential-o'!X8</f>
        <v/>
      </c>
      <c r="Y9" s="62">
        <f>'BDEQ-BDESC-urban-residential-o'!Y8</f>
        <v/>
      </c>
      <c r="Z9" s="62">
        <f>'BDEQ-BDESC-urban-residential-o'!Z8</f>
        <v/>
      </c>
      <c r="AA9" s="62">
        <f>'BDEQ-BDESC-urban-residential-o'!AA8</f>
        <v/>
      </c>
      <c r="AB9" s="62">
        <f>'BDEQ-BDESC-urban-residential-o'!AB8</f>
        <v/>
      </c>
      <c r="AC9" s="62">
        <f>'BDEQ-BDESC-urban-residential-o'!AC8</f>
        <v/>
      </c>
      <c r="AD9" s="62">
        <f>'BDEQ-BDESC-urban-residential-o'!AD8</f>
        <v/>
      </c>
      <c r="AE9" s="62">
        <f>'BDEQ-BDESC-urban-residential-o'!AE8</f>
        <v/>
      </c>
      <c r="AF9" s="62">
        <f>'BDEQ-BDESC-urban-residential-o'!AF8</f>
        <v/>
      </c>
    </row>
    <row r="10" ht="14.25" customHeight="1" s="74">
      <c r="A10" s="7" t="inlineStr">
        <is>
          <t>biomass</t>
        </is>
      </c>
      <c r="B10" s="62">
        <f>'BDEQ-BDESC-urban-residential-o'!B9</f>
        <v/>
      </c>
      <c r="C10" s="62">
        <f>'BDEQ-BDESC-urban-residential-o'!C9</f>
        <v/>
      </c>
      <c r="D10" s="62">
        <f>'BDEQ-BDESC-urban-residential-o'!D9</f>
        <v/>
      </c>
      <c r="E10" s="62">
        <f>'BDEQ-BDESC-urban-residential-o'!E9</f>
        <v/>
      </c>
      <c r="F10" s="62">
        <f>'BDEQ-BDESC-urban-residential-o'!F9</f>
        <v/>
      </c>
      <c r="G10" s="62">
        <f>'BDEQ-BDESC-urban-residential-o'!G9</f>
        <v/>
      </c>
      <c r="H10" s="62">
        <f>'BDEQ-BDESC-urban-residential-o'!H9</f>
        <v/>
      </c>
      <c r="I10" s="62">
        <f>'BDEQ-BDESC-urban-residential-o'!I9</f>
        <v/>
      </c>
      <c r="J10" s="62">
        <f>'BDEQ-BDESC-urban-residential-o'!J9</f>
        <v/>
      </c>
      <c r="K10" s="62">
        <f>'BDEQ-BDESC-urban-residential-o'!K9</f>
        <v/>
      </c>
      <c r="L10" s="62">
        <f>'BDEQ-BDESC-urban-residential-o'!L9</f>
        <v/>
      </c>
      <c r="M10" s="62">
        <f>'BDEQ-BDESC-urban-residential-o'!M9</f>
        <v/>
      </c>
      <c r="N10" s="62">
        <f>'BDEQ-BDESC-urban-residential-o'!N9</f>
        <v/>
      </c>
      <c r="O10" s="62">
        <f>'BDEQ-BDESC-urban-residential-o'!O9</f>
        <v/>
      </c>
      <c r="P10" s="62">
        <f>'BDEQ-BDESC-urban-residential-o'!P9</f>
        <v/>
      </c>
      <c r="Q10" s="62">
        <f>'BDEQ-BDESC-urban-residential-o'!Q9</f>
        <v/>
      </c>
      <c r="R10" s="62">
        <f>'BDEQ-BDESC-urban-residential-o'!R9</f>
        <v/>
      </c>
      <c r="S10" s="62">
        <f>'BDEQ-BDESC-urban-residential-o'!S9</f>
        <v/>
      </c>
      <c r="T10" s="62">
        <f>'BDEQ-BDESC-urban-residential-o'!T9</f>
        <v/>
      </c>
      <c r="U10" s="62">
        <f>'BDEQ-BDESC-urban-residential-o'!U9</f>
        <v/>
      </c>
      <c r="V10" s="62">
        <f>'BDEQ-BDESC-urban-residential-o'!V9</f>
        <v/>
      </c>
      <c r="W10" s="62">
        <f>'BDEQ-BDESC-urban-residential-o'!W9</f>
        <v/>
      </c>
      <c r="X10" s="62">
        <f>'BDEQ-BDESC-urban-residential-o'!X9</f>
        <v/>
      </c>
      <c r="Y10" s="62">
        <f>'BDEQ-BDESC-urban-residential-o'!Y9</f>
        <v/>
      </c>
      <c r="Z10" s="62">
        <f>'BDEQ-BDESC-urban-residential-o'!Z9</f>
        <v/>
      </c>
      <c r="AA10" s="62">
        <f>'BDEQ-BDESC-urban-residential-o'!AA9</f>
        <v/>
      </c>
      <c r="AB10" s="62">
        <f>'BDEQ-BDESC-urban-residential-o'!AB9</f>
        <v/>
      </c>
      <c r="AC10" s="62">
        <f>'BDEQ-BDESC-urban-residential-o'!AC9</f>
        <v/>
      </c>
      <c r="AD10" s="62">
        <f>'BDEQ-BDESC-urban-residential-o'!AD9</f>
        <v/>
      </c>
      <c r="AE10" s="62">
        <f>'BDEQ-BDESC-urban-residential-o'!AE9</f>
        <v/>
      </c>
      <c r="AF10" s="62">
        <f>'BDEQ-BDESC-urban-residential-o'!AF9</f>
        <v/>
      </c>
    </row>
    <row r="11" ht="14.25" customHeight="1" s="74">
      <c r="A11" s="7" t="inlineStr">
        <is>
          <t>geothermal</t>
        </is>
      </c>
      <c r="B11" s="62">
        <f>'BDEQ-BDESC-urban-residential-o'!B10</f>
        <v/>
      </c>
      <c r="C11" s="62">
        <f>'BDEQ-BDESC-urban-residential-o'!C10</f>
        <v/>
      </c>
      <c r="D11" s="62">
        <f>'BDEQ-BDESC-urban-residential-o'!D10</f>
        <v/>
      </c>
      <c r="E11" s="62">
        <f>'BDEQ-BDESC-urban-residential-o'!E10</f>
        <v/>
      </c>
      <c r="F11" s="62">
        <f>'BDEQ-BDESC-urban-residential-o'!F10</f>
        <v/>
      </c>
      <c r="G11" s="62">
        <f>'BDEQ-BDESC-urban-residential-o'!G10</f>
        <v/>
      </c>
      <c r="H11" s="62">
        <f>'BDEQ-BDESC-urban-residential-o'!H10</f>
        <v/>
      </c>
      <c r="I11" s="62">
        <f>'BDEQ-BDESC-urban-residential-o'!I10</f>
        <v/>
      </c>
      <c r="J11" s="62">
        <f>'BDEQ-BDESC-urban-residential-o'!J10</f>
        <v/>
      </c>
      <c r="K11" s="62">
        <f>'BDEQ-BDESC-urban-residential-o'!K10</f>
        <v/>
      </c>
      <c r="L11" s="62">
        <f>'BDEQ-BDESC-urban-residential-o'!L10</f>
        <v/>
      </c>
      <c r="M11" s="62">
        <f>'BDEQ-BDESC-urban-residential-o'!M10</f>
        <v/>
      </c>
      <c r="N11" s="62">
        <f>'BDEQ-BDESC-urban-residential-o'!N10</f>
        <v/>
      </c>
      <c r="O11" s="62">
        <f>'BDEQ-BDESC-urban-residential-o'!O10</f>
        <v/>
      </c>
      <c r="P11" s="62">
        <f>'BDEQ-BDESC-urban-residential-o'!P10</f>
        <v/>
      </c>
      <c r="Q11" s="62">
        <f>'BDEQ-BDESC-urban-residential-o'!Q10</f>
        <v/>
      </c>
      <c r="R11" s="62">
        <f>'BDEQ-BDESC-urban-residential-o'!R10</f>
        <v/>
      </c>
      <c r="S11" s="62">
        <f>'BDEQ-BDESC-urban-residential-o'!S10</f>
        <v/>
      </c>
      <c r="T11" s="62">
        <f>'BDEQ-BDESC-urban-residential-o'!T10</f>
        <v/>
      </c>
      <c r="U11" s="62">
        <f>'BDEQ-BDESC-urban-residential-o'!U10</f>
        <v/>
      </c>
      <c r="V11" s="62">
        <f>'BDEQ-BDESC-urban-residential-o'!V10</f>
        <v/>
      </c>
      <c r="W11" s="62">
        <f>'BDEQ-BDESC-urban-residential-o'!W10</f>
        <v/>
      </c>
      <c r="X11" s="62">
        <f>'BDEQ-BDESC-urban-residential-o'!X10</f>
        <v/>
      </c>
      <c r="Y11" s="62">
        <f>'BDEQ-BDESC-urban-residential-o'!Y10</f>
        <v/>
      </c>
      <c r="Z11" s="62">
        <f>'BDEQ-BDESC-urban-residential-o'!Z10</f>
        <v/>
      </c>
      <c r="AA11" s="62">
        <f>'BDEQ-BDESC-urban-residential-o'!AA10</f>
        <v/>
      </c>
      <c r="AB11" s="62">
        <f>'BDEQ-BDESC-urban-residential-o'!AB10</f>
        <v/>
      </c>
      <c r="AC11" s="62">
        <f>'BDEQ-BDESC-urban-residential-o'!AC10</f>
        <v/>
      </c>
      <c r="AD11" s="62">
        <f>'BDEQ-BDESC-urban-residential-o'!AD10</f>
        <v/>
      </c>
      <c r="AE11" s="62">
        <f>'BDEQ-BDESC-urban-residential-o'!AE10</f>
        <v/>
      </c>
      <c r="AF11" s="62">
        <f>'BDEQ-BDESC-urban-residential-o'!AF10</f>
        <v/>
      </c>
    </row>
    <row r="12" ht="14.25" customHeight="1" s="74">
      <c r="A12" s="7" t="inlineStr">
        <is>
          <t>petroleum</t>
        </is>
      </c>
      <c r="B12" s="62">
        <f>'BDEQ-BDESC-urban-residential-o'!B11</f>
        <v/>
      </c>
      <c r="C12" s="62">
        <f>'BDEQ-BDESC-urban-residential-o'!C11</f>
        <v/>
      </c>
      <c r="D12" s="62">
        <f>'BDEQ-BDESC-urban-residential-o'!D11</f>
        <v/>
      </c>
      <c r="E12" s="62">
        <f>'BDEQ-BDESC-urban-residential-o'!E11</f>
        <v/>
      </c>
      <c r="F12" s="62">
        <f>'BDEQ-BDESC-urban-residential-o'!F11</f>
        <v/>
      </c>
      <c r="G12" s="62">
        <f>'BDEQ-BDESC-urban-residential-o'!G11</f>
        <v/>
      </c>
      <c r="H12" s="62">
        <f>'BDEQ-BDESC-urban-residential-o'!H11</f>
        <v/>
      </c>
      <c r="I12" s="62">
        <f>'BDEQ-BDESC-urban-residential-o'!I11</f>
        <v/>
      </c>
      <c r="J12" s="62">
        <f>'BDEQ-BDESC-urban-residential-o'!J11</f>
        <v/>
      </c>
      <c r="K12" s="62">
        <f>'BDEQ-BDESC-urban-residential-o'!K11</f>
        <v/>
      </c>
      <c r="L12" s="62">
        <f>'BDEQ-BDESC-urban-residential-o'!L11</f>
        <v/>
      </c>
      <c r="M12" s="62">
        <f>'BDEQ-BDESC-urban-residential-o'!M11</f>
        <v/>
      </c>
      <c r="N12" s="62">
        <f>'BDEQ-BDESC-urban-residential-o'!N11</f>
        <v/>
      </c>
      <c r="O12" s="62">
        <f>'BDEQ-BDESC-urban-residential-o'!O11</f>
        <v/>
      </c>
      <c r="P12" s="62">
        <f>'BDEQ-BDESC-urban-residential-o'!P11</f>
        <v/>
      </c>
      <c r="Q12" s="62">
        <f>'BDEQ-BDESC-urban-residential-o'!Q11</f>
        <v/>
      </c>
      <c r="R12" s="62">
        <f>'BDEQ-BDESC-urban-residential-o'!R11</f>
        <v/>
      </c>
      <c r="S12" s="62">
        <f>'BDEQ-BDESC-urban-residential-o'!S11</f>
        <v/>
      </c>
      <c r="T12" s="62">
        <f>'BDEQ-BDESC-urban-residential-o'!T11</f>
        <v/>
      </c>
      <c r="U12" s="62">
        <f>'BDEQ-BDESC-urban-residential-o'!U11</f>
        <v/>
      </c>
      <c r="V12" s="62">
        <f>'BDEQ-BDESC-urban-residential-o'!V11</f>
        <v/>
      </c>
      <c r="W12" s="62">
        <f>'BDEQ-BDESC-urban-residential-o'!W11</f>
        <v/>
      </c>
      <c r="X12" s="62">
        <f>'BDEQ-BDESC-urban-residential-o'!X11</f>
        <v/>
      </c>
      <c r="Y12" s="62">
        <f>'BDEQ-BDESC-urban-residential-o'!Y11</f>
        <v/>
      </c>
      <c r="Z12" s="62">
        <f>'BDEQ-BDESC-urban-residential-o'!Z11</f>
        <v/>
      </c>
      <c r="AA12" s="62">
        <f>'BDEQ-BDESC-urban-residential-o'!AA11</f>
        <v/>
      </c>
      <c r="AB12" s="62">
        <f>'BDEQ-BDESC-urban-residential-o'!AB11</f>
        <v/>
      </c>
      <c r="AC12" s="62">
        <f>'BDEQ-BDESC-urban-residential-o'!AC11</f>
        <v/>
      </c>
      <c r="AD12" s="62">
        <f>'BDEQ-BDESC-urban-residential-o'!AD11</f>
        <v/>
      </c>
      <c r="AE12" s="62">
        <f>'BDEQ-BDESC-urban-residential-o'!AE11</f>
        <v/>
      </c>
      <c r="AF12" s="62">
        <f>'BDEQ-BDESC-urban-residential-o'!AF11</f>
        <v/>
      </c>
    </row>
    <row r="13" ht="14.25" customHeight="1" s="74">
      <c r="A13" s="7" t="inlineStr">
        <is>
          <t>natural gas peaker</t>
        </is>
      </c>
      <c r="B13" s="62">
        <f>'BDEQ-BDESC-urban-residential-o'!B12</f>
        <v/>
      </c>
      <c r="C13" s="62">
        <f>'BDEQ-BDESC-urban-residential-o'!C12</f>
        <v/>
      </c>
      <c r="D13" s="62">
        <f>'BDEQ-BDESC-urban-residential-o'!D12</f>
        <v/>
      </c>
      <c r="E13" s="62">
        <f>'BDEQ-BDESC-urban-residential-o'!E12</f>
        <v/>
      </c>
      <c r="F13" s="62">
        <f>'BDEQ-BDESC-urban-residential-o'!F12</f>
        <v/>
      </c>
      <c r="G13" s="62">
        <f>'BDEQ-BDESC-urban-residential-o'!G12</f>
        <v/>
      </c>
      <c r="H13" s="62">
        <f>'BDEQ-BDESC-urban-residential-o'!H12</f>
        <v/>
      </c>
      <c r="I13" s="62">
        <f>'BDEQ-BDESC-urban-residential-o'!I12</f>
        <v/>
      </c>
      <c r="J13" s="62">
        <f>'BDEQ-BDESC-urban-residential-o'!J12</f>
        <v/>
      </c>
      <c r="K13" s="62">
        <f>'BDEQ-BDESC-urban-residential-o'!K12</f>
        <v/>
      </c>
      <c r="L13" s="62">
        <f>'BDEQ-BDESC-urban-residential-o'!L12</f>
        <v/>
      </c>
      <c r="M13" s="62">
        <f>'BDEQ-BDESC-urban-residential-o'!M12</f>
        <v/>
      </c>
      <c r="N13" s="62">
        <f>'BDEQ-BDESC-urban-residential-o'!N12</f>
        <v/>
      </c>
      <c r="O13" s="62">
        <f>'BDEQ-BDESC-urban-residential-o'!O12</f>
        <v/>
      </c>
      <c r="P13" s="62">
        <f>'BDEQ-BDESC-urban-residential-o'!P12</f>
        <v/>
      </c>
      <c r="Q13" s="62">
        <f>'BDEQ-BDESC-urban-residential-o'!Q12</f>
        <v/>
      </c>
      <c r="R13" s="62">
        <f>'BDEQ-BDESC-urban-residential-o'!R12</f>
        <v/>
      </c>
      <c r="S13" s="62">
        <f>'BDEQ-BDESC-urban-residential-o'!S12</f>
        <v/>
      </c>
      <c r="T13" s="62">
        <f>'BDEQ-BDESC-urban-residential-o'!T12</f>
        <v/>
      </c>
      <c r="U13" s="62">
        <f>'BDEQ-BDESC-urban-residential-o'!U12</f>
        <v/>
      </c>
      <c r="V13" s="62">
        <f>'BDEQ-BDESC-urban-residential-o'!V12</f>
        <v/>
      </c>
      <c r="W13" s="62">
        <f>'BDEQ-BDESC-urban-residential-o'!W12</f>
        <v/>
      </c>
      <c r="X13" s="62">
        <f>'BDEQ-BDESC-urban-residential-o'!X12</f>
        <v/>
      </c>
      <c r="Y13" s="62">
        <f>'BDEQ-BDESC-urban-residential-o'!Y12</f>
        <v/>
      </c>
      <c r="Z13" s="62">
        <f>'BDEQ-BDESC-urban-residential-o'!Z12</f>
        <v/>
      </c>
      <c r="AA13" s="62">
        <f>'BDEQ-BDESC-urban-residential-o'!AA12</f>
        <v/>
      </c>
      <c r="AB13" s="62">
        <f>'BDEQ-BDESC-urban-residential-o'!AB12</f>
        <v/>
      </c>
      <c r="AC13" s="62">
        <f>'BDEQ-BDESC-urban-residential-o'!AC12</f>
        <v/>
      </c>
      <c r="AD13" s="62">
        <f>'BDEQ-BDESC-urban-residential-o'!AD12</f>
        <v/>
      </c>
      <c r="AE13" s="62">
        <f>'BDEQ-BDESC-urban-residential-o'!AE12</f>
        <v/>
      </c>
      <c r="AF13" s="62">
        <f>'BDEQ-BDESC-urban-residential-o'!AF12</f>
        <v/>
      </c>
    </row>
    <row r="14" ht="14.25" customHeight="1" s="74">
      <c r="A14" s="7" t="inlineStr">
        <is>
          <t>lignite</t>
        </is>
      </c>
      <c r="B14" s="62">
        <f>'BDEQ-BDESC-urban-residential-o'!B13</f>
        <v/>
      </c>
      <c r="C14" s="62">
        <f>'BDEQ-BDESC-urban-residential-o'!C13</f>
        <v/>
      </c>
      <c r="D14" s="62">
        <f>'BDEQ-BDESC-urban-residential-o'!D13</f>
        <v/>
      </c>
      <c r="E14" s="62">
        <f>'BDEQ-BDESC-urban-residential-o'!E13</f>
        <v/>
      </c>
      <c r="F14" s="62">
        <f>'BDEQ-BDESC-urban-residential-o'!F13</f>
        <v/>
      </c>
      <c r="G14" s="62">
        <f>'BDEQ-BDESC-urban-residential-o'!G13</f>
        <v/>
      </c>
      <c r="H14" s="62">
        <f>'BDEQ-BDESC-urban-residential-o'!H13</f>
        <v/>
      </c>
      <c r="I14" s="62">
        <f>'BDEQ-BDESC-urban-residential-o'!I13</f>
        <v/>
      </c>
      <c r="J14" s="62">
        <f>'BDEQ-BDESC-urban-residential-o'!J13</f>
        <v/>
      </c>
      <c r="K14" s="62">
        <f>'BDEQ-BDESC-urban-residential-o'!K13</f>
        <v/>
      </c>
      <c r="L14" s="62">
        <f>'BDEQ-BDESC-urban-residential-o'!L13</f>
        <v/>
      </c>
      <c r="M14" s="62">
        <f>'BDEQ-BDESC-urban-residential-o'!M13</f>
        <v/>
      </c>
      <c r="N14" s="62">
        <f>'BDEQ-BDESC-urban-residential-o'!N13</f>
        <v/>
      </c>
      <c r="O14" s="62">
        <f>'BDEQ-BDESC-urban-residential-o'!O13</f>
        <v/>
      </c>
      <c r="P14" s="62">
        <f>'BDEQ-BDESC-urban-residential-o'!P13</f>
        <v/>
      </c>
      <c r="Q14" s="62">
        <f>'BDEQ-BDESC-urban-residential-o'!Q13</f>
        <v/>
      </c>
      <c r="R14" s="62">
        <f>'BDEQ-BDESC-urban-residential-o'!R13</f>
        <v/>
      </c>
      <c r="S14" s="62">
        <f>'BDEQ-BDESC-urban-residential-o'!S13</f>
        <v/>
      </c>
      <c r="T14" s="62">
        <f>'BDEQ-BDESC-urban-residential-o'!T13</f>
        <v/>
      </c>
      <c r="U14" s="62">
        <f>'BDEQ-BDESC-urban-residential-o'!U13</f>
        <v/>
      </c>
      <c r="V14" s="62">
        <f>'BDEQ-BDESC-urban-residential-o'!V13</f>
        <v/>
      </c>
      <c r="W14" s="62">
        <f>'BDEQ-BDESC-urban-residential-o'!W13</f>
        <v/>
      </c>
      <c r="X14" s="62">
        <f>'BDEQ-BDESC-urban-residential-o'!X13</f>
        <v/>
      </c>
      <c r="Y14" s="62">
        <f>'BDEQ-BDESC-urban-residential-o'!Y13</f>
        <v/>
      </c>
      <c r="Z14" s="62">
        <f>'BDEQ-BDESC-urban-residential-o'!Z13</f>
        <v/>
      </c>
      <c r="AA14" s="62">
        <f>'BDEQ-BDESC-urban-residential-o'!AA13</f>
        <v/>
      </c>
      <c r="AB14" s="62">
        <f>'BDEQ-BDESC-urban-residential-o'!AB13</f>
        <v/>
      </c>
      <c r="AC14" s="62">
        <f>'BDEQ-BDESC-urban-residential-o'!AC13</f>
        <v/>
      </c>
      <c r="AD14" s="62">
        <f>'BDEQ-BDESC-urban-residential-o'!AD13</f>
        <v/>
      </c>
      <c r="AE14" s="62">
        <f>'BDEQ-BDESC-urban-residential-o'!AE13</f>
        <v/>
      </c>
      <c r="AF14" s="62">
        <f>'BDEQ-BDESC-urban-residential-o'!AF13</f>
        <v/>
      </c>
    </row>
    <row r="15" ht="14.25" customHeight="1" s="74">
      <c r="A15" s="7" t="inlineStr">
        <is>
          <t>offshore wind</t>
        </is>
      </c>
      <c r="B15" s="62">
        <f>'BDEQ-BDESC-urban-residential-o'!B14</f>
        <v/>
      </c>
      <c r="C15" s="62">
        <f>'BDEQ-BDESC-urban-residential-o'!C14</f>
        <v/>
      </c>
      <c r="D15" s="62">
        <f>'BDEQ-BDESC-urban-residential-o'!D14</f>
        <v/>
      </c>
      <c r="E15" s="62">
        <f>'BDEQ-BDESC-urban-residential-o'!E14</f>
        <v/>
      </c>
      <c r="F15" s="62">
        <f>'BDEQ-BDESC-urban-residential-o'!F14</f>
        <v/>
      </c>
      <c r="G15" s="62">
        <f>'BDEQ-BDESC-urban-residential-o'!G14</f>
        <v/>
      </c>
      <c r="H15" s="62">
        <f>'BDEQ-BDESC-urban-residential-o'!H14</f>
        <v/>
      </c>
      <c r="I15" s="62">
        <f>'BDEQ-BDESC-urban-residential-o'!I14</f>
        <v/>
      </c>
      <c r="J15" s="62">
        <f>'BDEQ-BDESC-urban-residential-o'!J14</f>
        <v/>
      </c>
      <c r="K15" s="62">
        <f>'BDEQ-BDESC-urban-residential-o'!K14</f>
        <v/>
      </c>
      <c r="L15" s="62">
        <f>'BDEQ-BDESC-urban-residential-o'!L14</f>
        <v/>
      </c>
      <c r="M15" s="62">
        <f>'BDEQ-BDESC-urban-residential-o'!M14</f>
        <v/>
      </c>
      <c r="N15" s="62">
        <f>'BDEQ-BDESC-urban-residential-o'!N14</f>
        <v/>
      </c>
      <c r="O15" s="62">
        <f>'BDEQ-BDESC-urban-residential-o'!O14</f>
        <v/>
      </c>
      <c r="P15" s="62">
        <f>'BDEQ-BDESC-urban-residential-o'!P14</f>
        <v/>
      </c>
      <c r="Q15" s="62">
        <f>'BDEQ-BDESC-urban-residential-o'!Q14</f>
        <v/>
      </c>
      <c r="R15" s="62">
        <f>'BDEQ-BDESC-urban-residential-o'!R14</f>
        <v/>
      </c>
      <c r="S15" s="62">
        <f>'BDEQ-BDESC-urban-residential-o'!S14</f>
        <v/>
      </c>
      <c r="T15" s="62">
        <f>'BDEQ-BDESC-urban-residential-o'!T14</f>
        <v/>
      </c>
      <c r="U15" s="62">
        <f>'BDEQ-BDESC-urban-residential-o'!U14</f>
        <v/>
      </c>
      <c r="V15" s="62">
        <f>'BDEQ-BDESC-urban-residential-o'!V14</f>
        <v/>
      </c>
      <c r="W15" s="62">
        <f>'BDEQ-BDESC-urban-residential-o'!W14</f>
        <v/>
      </c>
      <c r="X15" s="62">
        <f>'BDEQ-BDESC-urban-residential-o'!X14</f>
        <v/>
      </c>
      <c r="Y15" s="62">
        <f>'BDEQ-BDESC-urban-residential-o'!Y14</f>
        <v/>
      </c>
      <c r="Z15" s="62">
        <f>'BDEQ-BDESC-urban-residential-o'!Z14</f>
        <v/>
      </c>
      <c r="AA15" s="62">
        <f>'BDEQ-BDESC-urban-residential-o'!AA14</f>
        <v/>
      </c>
      <c r="AB15" s="62">
        <f>'BDEQ-BDESC-urban-residential-o'!AB14</f>
        <v/>
      </c>
      <c r="AC15" s="62">
        <f>'BDEQ-BDESC-urban-residential-o'!AC14</f>
        <v/>
      </c>
      <c r="AD15" s="62">
        <f>'BDEQ-BDESC-urban-residential-o'!AD14</f>
        <v/>
      </c>
      <c r="AE15" s="62">
        <f>'BDEQ-BDESC-urban-residential-o'!AE14</f>
        <v/>
      </c>
      <c r="AF15" s="62">
        <f>'BDEQ-BDESC-urban-residential-o'!AF14</f>
        <v/>
      </c>
    </row>
    <row r="16" ht="14.25" customHeight="1" s="74">
      <c r="A16" s="7" t="inlineStr">
        <is>
          <t>crude oil</t>
        </is>
      </c>
      <c r="B16" s="62">
        <f>'BDEQ-BDESC-urban-residential-o'!B15</f>
        <v/>
      </c>
      <c r="C16" s="62">
        <f>'BDEQ-BDESC-urban-residential-o'!C15</f>
        <v/>
      </c>
      <c r="D16" s="62">
        <f>'BDEQ-BDESC-urban-residential-o'!D15</f>
        <v/>
      </c>
      <c r="E16" s="62">
        <f>'BDEQ-BDESC-urban-residential-o'!E15</f>
        <v/>
      </c>
      <c r="F16" s="62">
        <f>'BDEQ-BDESC-urban-residential-o'!F15</f>
        <v/>
      </c>
      <c r="G16" s="62">
        <f>'BDEQ-BDESC-urban-residential-o'!G15</f>
        <v/>
      </c>
      <c r="H16" s="62">
        <f>'BDEQ-BDESC-urban-residential-o'!H15</f>
        <v/>
      </c>
      <c r="I16" s="62">
        <f>'BDEQ-BDESC-urban-residential-o'!I15</f>
        <v/>
      </c>
      <c r="J16" s="62">
        <f>'BDEQ-BDESC-urban-residential-o'!J15</f>
        <v/>
      </c>
      <c r="K16" s="62">
        <f>'BDEQ-BDESC-urban-residential-o'!K15</f>
        <v/>
      </c>
      <c r="L16" s="62">
        <f>'BDEQ-BDESC-urban-residential-o'!L15</f>
        <v/>
      </c>
      <c r="M16" s="62">
        <f>'BDEQ-BDESC-urban-residential-o'!M15</f>
        <v/>
      </c>
      <c r="N16" s="62">
        <f>'BDEQ-BDESC-urban-residential-o'!N15</f>
        <v/>
      </c>
      <c r="O16" s="62">
        <f>'BDEQ-BDESC-urban-residential-o'!O15</f>
        <v/>
      </c>
      <c r="P16" s="62">
        <f>'BDEQ-BDESC-urban-residential-o'!P15</f>
        <v/>
      </c>
      <c r="Q16" s="62">
        <f>'BDEQ-BDESC-urban-residential-o'!Q15</f>
        <v/>
      </c>
      <c r="R16" s="62">
        <f>'BDEQ-BDESC-urban-residential-o'!R15</f>
        <v/>
      </c>
      <c r="S16" s="62">
        <f>'BDEQ-BDESC-urban-residential-o'!S15</f>
        <v/>
      </c>
      <c r="T16" s="62">
        <f>'BDEQ-BDESC-urban-residential-o'!T15</f>
        <v/>
      </c>
      <c r="U16" s="62">
        <f>'BDEQ-BDESC-urban-residential-o'!U15</f>
        <v/>
      </c>
      <c r="V16" s="62">
        <f>'BDEQ-BDESC-urban-residential-o'!V15</f>
        <v/>
      </c>
      <c r="W16" s="62">
        <f>'BDEQ-BDESC-urban-residential-o'!W15</f>
        <v/>
      </c>
      <c r="X16" s="62">
        <f>'BDEQ-BDESC-urban-residential-o'!X15</f>
        <v/>
      </c>
      <c r="Y16" s="62">
        <f>'BDEQ-BDESC-urban-residential-o'!Y15</f>
        <v/>
      </c>
      <c r="Z16" s="62">
        <f>'BDEQ-BDESC-urban-residential-o'!Z15</f>
        <v/>
      </c>
      <c r="AA16" s="62">
        <f>'BDEQ-BDESC-urban-residential-o'!AA15</f>
        <v/>
      </c>
      <c r="AB16" s="62">
        <f>'BDEQ-BDESC-urban-residential-o'!AB15</f>
        <v/>
      </c>
      <c r="AC16" s="62">
        <f>'BDEQ-BDESC-urban-residential-o'!AC15</f>
        <v/>
      </c>
      <c r="AD16" s="62">
        <f>'BDEQ-BDESC-urban-residential-o'!AD15</f>
        <v/>
      </c>
      <c r="AE16" s="62">
        <f>'BDEQ-BDESC-urban-residential-o'!AE15</f>
        <v/>
      </c>
      <c r="AF16" s="62">
        <f>'BDEQ-BDESC-urban-residential-o'!AF15</f>
        <v/>
      </c>
    </row>
    <row r="17" ht="14.25" customHeight="1" s="74">
      <c r="A17" s="7" t="inlineStr">
        <is>
          <t>heavy or residual fuel oil</t>
        </is>
      </c>
      <c r="B17" s="62">
        <f>'BDEQ-BDESC-urban-residential-o'!B16</f>
        <v/>
      </c>
      <c r="C17" s="62">
        <f>'BDEQ-BDESC-urban-residential-o'!C16</f>
        <v/>
      </c>
      <c r="D17" s="62">
        <f>'BDEQ-BDESC-urban-residential-o'!D16</f>
        <v/>
      </c>
      <c r="E17" s="62">
        <f>'BDEQ-BDESC-urban-residential-o'!E16</f>
        <v/>
      </c>
      <c r="F17" s="62">
        <f>'BDEQ-BDESC-urban-residential-o'!F16</f>
        <v/>
      </c>
      <c r="G17" s="62">
        <f>'BDEQ-BDESC-urban-residential-o'!G16</f>
        <v/>
      </c>
      <c r="H17" s="62">
        <f>'BDEQ-BDESC-urban-residential-o'!H16</f>
        <v/>
      </c>
      <c r="I17" s="62">
        <f>'BDEQ-BDESC-urban-residential-o'!I16</f>
        <v/>
      </c>
      <c r="J17" s="62">
        <f>'BDEQ-BDESC-urban-residential-o'!J16</f>
        <v/>
      </c>
      <c r="K17" s="62">
        <f>'BDEQ-BDESC-urban-residential-o'!K16</f>
        <v/>
      </c>
      <c r="L17" s="62">
        <f>'BDEQ-BDESC-urban-residential-o'!L16</f>
        <v/>
      </c>
      <c r="M17" s="62">
        <f>'BDEQ-BDESC-urban-residential-o'!M16</f>
        <v/>
      </c>
      <c r="N17" s="62">
        <f>'BDEQ-BDESC-urban-residential-o'!N16</f>
        <v/>
      </c>
      <c r="O17" s="62">
        <f>'BDEQ-BDESC-urban-residential-o'!O16</f>
        <v/>
      </c>
      <c r="P17" s="62">
        <f>'BDEQ-BDESC-urban-residential-o'!P16</f>
        <v/>
      </c>
      <c r="Q17" s="62">
        <f>'BDEQ-BDESC-urban-residential-o'!Q16</f>
        <v/>
      </c>
      <c r="R17" s="62">
        <f>'BDEQ-BDESC-urban-residential-o'!R16</f>
        <v/>
      </c>
      <c r="S17" s="62">
        <f>'BDEQ-BDESC-urban-residential-o'!S16</f>
        <v/>
      </c>
      <c r="T17" s="62">
        <f>'BDEQ-BDESC-urban-residential-o'!T16</f>
        <v/>
      </c>
      <c r="U17" s="62">
        <f>'BDEQ-BDESC-urban-residential-o'!U16</f>
        <v/>
      </c>
      <c r="V17" s="62">
        <f>'BDEQ-BDESC-urban-residential-o'!V16</f>
        <v/>
      </c>
      <c r="W17" s="62">
        <f>'BDEQ-BDESC-urban-residential-o'!W16</f>
        <v/>
      </c>
      <c r="X17" s="62">
        <f>'BDEQ-BDESC-urban-residential-o'!X16</f>
        <v/>
      </c>
      <c r="Y17" s="62">
        <f>'BDEQ-BDESC-urban-residential-o'!Y16</f>
        <v/>
      </c>
      <c r="Z17" s="62">
        <f>'BDEQ-BDESC-urban-residential-o'!Z16</f>
        <v/>
      </c>
      <c r="AA17" s="62">
        <f>'BDEQ-BDESC-urban-residential-o'!AA16</f>
        <v/>
      </c>
      <c r="AB17" s="62">
        <f>'BDEQ-BDESC-urban-residential-o'!AB16</f>
        <v/>
      </c>
      <c r="AC17" s="62">
        <f>'BDEQ-BDESC-urban-residential-o'!AC16</f>
        <v/>
      </c>
      <c r="AD17" s="62">
        <f>'BDEQ-BDESC-urban-residential-o'!AD16</f>
        <v/>
      </c>
      <c r="AE17" s="62">
        <f>'BDEQ-BDESC-urban-residential-o'!AE16</f>
        <v/>
      </c>
      <c r="AF17" s="62">
        <f>'BDEQ-BDESC-urban-residential-o'!AF16</f>
        <v/>
      </c>
    </row>
    <row r="18" ht="14.25" customHeight="1" s="74">
      <c r="A18" s="7" t="inlineStr">
        <is>
          <t>municipal solid waste</t>
        </is>
      </c>
      <c r="B18" s="62">
        <f>'BDEQ-BDESC-urban-residential-o'!B17</f>
        <v/>
      </c>
      <c r="C18" s="62">
        <f>'BDEQ-BDESC-urban-residential-o'!C17</f>
        <v/>
      </c>
      <c r="D18" s="62">
        <f>'BDEQ-BDESC-urban-residential-o'!D17</f>
        <v/>
      </c>
      <c r="E18" s="62">
        <f>'BDEQ-BDESC-urban-residential-o'!E17</f>
        <v/>
      </c>
      <c r="F18" s="62">
        <f>'BDEQ-BDESC-urban-residential-o'!F17</f>
        <v/>
      </c>
      <c r="G18" s="62">
        <f>'BDEQ-BDESC-urban-residential-o'!G17</f>
        <v/>
      </c>
      <c r="H18" s="62">
        <f>'BDEQ-BDESC-urban-residential-o'!H17</f>
        <v/>
      </c>
      <c r="I18" s="62">
        <f>'BDEQ-BDESC-urban-residential-o'!I17</f>
        <v/>
      </c>
      <c r="J18" s="62">
        <f>'BDEQ-BDESC-urban-residential-o'!J17</f>
        <v/>
      </c>
      <c r="K18" s="62">
        <f>'BDEQ-BDESC-urban-residential-o'!K17</f>
        <v/>
      </c>
      <c r="L18" s="62">
        <f>'BDEQ-BDESC-urban-residential-o'!L17</f>
        <v/>
      </c>
      <c r="M18" s="62">
        <f>'BDEQ-BDESC-urban-residential-o'!M17</f>
        <v/>
      </c>
      <c r="N18" s="62">
        <f>'BDEQ-BDESC-urban-residential-o'!N17</f>
        <v/>
      </c>
      <c r="O18" s="62">
        <f>'BDEQ-BDESC-urban-residential-o'!O17</f>
        <v/>
      </c>
      <c r="P18" s="62">
        <f>'BDEQ-BDESC-urban-residential-o'!P17</f>
        <v/>
      </c>
      <c r="Q18" s="62">
        <f>'BDEQ-BDESC-urban-residential-o'!Q17</f>
        <v/>
      </c>
      <c r="R18" s="62">
        <f>'BDEQ-BDESC-urban-residential-o'!R17</f>
        <v/>
      </c>
      <c r="S18" s="62">
        <f>'BDEQ-BDESC-urban-residential-o'!S17</f>
        <v/>
      </c>
      <c r="T18" s="62">
        <f>'BDEQ-BDESC-urban-residential-o'!T17</f>
        <v/>
      </c>
      <c r="U18" s="62">
        <f>'BDEQ-BDESC-urban-residential-o'!U17</f>
        <v/>
      </c>
      <c r="V18" s="62">
        <f>'BDEQ-BDESC-urban-residential-o'!V17</f>
        <v/>
      </c>
      <c r="W18" s="62">
        <f>'BDEQ-BDESC-urban-residential-o'!W17</f>
        <v/>
      </c>
      <c r="X18" s="62">
        <f>'BDEQ-BDESC-urban-residential-o'!X17</f>
        <v/>
      </c>
      <c r="Y18" s="62">
        <f>'BDEQ-BDESC-urban-residential-o'!Y17</f>
        <v/>
      </c>
      <c r="Z18" s="62">
        <f>'BDEQ-BDESC-urban-residential-o'!Z17</f>
        <v/>
      </c>
      <c r="AA18" s="62">
        <f>'BDEQ-BDESC-urban-residential-o'!AA17</f>
        <v/>
      </c>
      <c r="AB18" s="62">
        <f>'BDEQ-BDESC-urban-residential-o'!AB17</f>
        <v/>
      </c>
      <c r="AC18" s="62">
        <f>'BDEQ-BDESC-urban-residential-o'!AC17</f>
        <v/>
      </c>
      <c r="AD18" s="62">
        <f>'BDEQ-BDESC-urban-residential-o'!AD17</f>
        <v/>
      </c>
      <c r="AE18" s="62">
        <f>'BDEQ-BDESC-urban-residential-o'!AE17</f>
        <v/>
      </c>
      <c r="AF18" s="62">
        <f>'BDEQ-BDESC-urban-residential-o'!AF17</f>
        <v/>
      </c>
    </row>
    <row r="19" ht="14.25" customHeight="1" s="74">
      <c r="A19" s="64" t="inlineStr">
        <is>
          <t>hard coal w CCS</t>
        </is>
      </c>
      <c r="B19" s="65" t="n">
        <v>0</v>
      </c>
      <c r="C19" s="65" t="n">
        <v>0</v>
      </c>
      <c r="D19" s="65" t="n">
        <v>0</v>
      </c>
      <c r="E19" s="65" t="n">
        <v>0</v>
      </c>
      <c r="F19" s="65" t="n">
        <v>0</v>
      </c>
      <c r="G19" s="65" t="n">
        <v>0</v>
      </c>
      <c r="H19" s="65" t="n">
        <v>0</v>
      </c>
      <c r="I19" s="65" t="n">
        <v>0</v>
      </c>
      <c r="J19" s="65" t="n">
        <v>0</v>
      </c>
      <c r="K19" s="65" t="n">
        <v>0</v>
      </c>
      <c r="L19" s="65" t="n">
        <v>0</v>
      </c>
      <c r="M19" s="65" t="n">
        <v>0</v>
      </c>
      <c r="N19" s="65" t="n">
        <v>0</v>
      </c>
      <c r="O19" s="65" t="n">
        <v>0</v>
      </c>
      <c r="P19" s="65" t="n">
        <v>0</v>
      </c>
      <c r="Q19" s="65" t="n">
        <v>0</v>
      </c>
      <c r="R19" s="65" t="n">
        <v>0</v>
      </c>
      <c r="S19" s="65" t="n">
        <v>0</v>
      </c>
      <c r="T19" s="65" t="n">
        <v>0</v>
      </c>
      <c r="U19" s="65" t="n">
        <v>0</v>
      </c>
      <c r="V19" s="65" t="n">
        <v>0</v>
      </c>
      <c r="W19" s="65" t="n">
        <v>0</v>
      </c>
      <c r="X19" s="65" t="n">
        <v>0</v>
      </c>
      <c r="Y19" s="65" t="n">
        <v>0</v>
      </c>
      <c r="Z19" s="65" t="n">
        <v>0</v>
      </c>
      <c r="AA19" s="65" t="n">
        <v>0</v>
      </c>
      <c r="AB19" s="65" t="n">
        <v>0</v>
      </c>
      <c r="AC19" s="65" t="n">
        <v>0</v>
      </c>
      <c r="AD19" s="65" t="n">
        <v>0</v>
      </c>
      <c r="AE19" s="65" t="n">
        <v>0</v>
      </c>
      <c r="AF19" s="65" t="n">
        <v>0</v>
      </c>
      <c r="AG19" s="65" t="n">
        <v>0</v>
      </c>
    </row>
    <row r="20" ht="14.25" customHeight="1" s="74">
      <c r="A20" s="64" t="inlineStr">
        <is>
          <t>natural gas combined cycle w CCS</t>
        </is>
      </c>
      <c r="B20" s="65" t="n">
        <v>0</v>
      </c>
      <c r="C20" s="65" t="n">
        <v>0</v>
      </c>
      <c r="D20" s="65" t="n">
        <v>0</v>
      </c>
      <c r="E20" s="65" t="n">
        <v>0</v>
      </c>
      <c r="F20" s="65" t="n">
        <v>0</v>
      </c>
      <c r="G20" s="65" t="n">
        <v>0</v>
      </c>
      <c r="H20" s="65" t="n">
        <v>0</v>
      </c>
      <c r="I20" s="65" t="n">
        <v>0</v>
      </c>
      <c r="J20" s="65" t="n">
        <v>0</v>
      </c>
      <c r="K20" s="65" t="n">
        <v>0</v>
      </c>
      <c r="L20" s="65" t="n">
        <v>0</v>
      </c>
      <c r="M20" s="65" t="n">
        <v>0</v>
      </c>
      <c r="N20" s="65" t="n">
        <v>0</v>
      </c>
      <c r="O20" s="65" t="n">
        <v>0</v>
      </c>
      <c r="P20" s="65" t="n">
        <v>0</v>
      </c>
      <c r="Q20" s="65" t="n">
        <v>0</v>
      </c>
      <c r="R20" s="65" t="n">
        <v>0</v>
      </c>
      <c r="S20" s="65" t="n">
        <v>0</v>
      </c>
      <c r="T20" s="65" t="n">
        <v>0</v>
      </c>
      <c r="U20" s="65" t="n">
        <v>0</v>
      </c>
      <c r="V20" s="65" t="n">
        <v>0</v>
      </c>
      <c r="W20" s="65" t="n">
        <v>0</v>
      </c>
      <c r="X20" s="65" t="n">
        <v>0</v>
      </c>
      <c r="Y20" s="65" t="n">
        <v>0</v>
      </c>
      <c r="Z20" s="65" t="n">
        <v>0</v>
      </c>
      <c r="AA20" s="65" t="n">
        <v>0</v>
      </c>
      <c r="AB20" s="65" t="n">
        <v>0</v>
      </c>
      <c r="AC20" s="65" t="n">
        <v>0</v>
      </c>
      <c r="AD20" s="65" t="n">
        <v>0</v>
      </c>
      <c r="AE20" s="65" t="n">
        <v>0</v>
      </c>
      <c r="AF20" s="65" t="n">
        <v>0</v>
      </c>
      <c r="AG20" s="65" t="n">
        <v>0</v>
      </c>
    </row>
    <row r="21" ht="14.25" customHeight="1" s="74">
      <c r="A21" s="64" t="inlineStr">
        <is>
          <t>biomass w CCS</t>
        </is>
      </c>
      <c r="B21" s="65" t="n">
        <v>0</v>
      </c>
      <c r="C21" s="65" t="n">
        <v>0</v>
      </c>
      <c r="D21" s="65" t="n">
        <v>0</v>
      </c>
      <c r="E21" s="65" t="n">
        <v>0</v>
      </c>
      <c r="F21" s="65" t="n">
        <v>0</v>
      </c>
      <c r="G21" s="65" t="n">
        <v>0</v>
      </c>
      <c r="H21" s="65" t="n">
        <v>0</v>
      </c>
      <c r="I21" s="65" t="n">
        <v>0</v>
      </c>
      <c r="J21" s="65" t="n">
        <v>0</v>
      </c>
      <c r="K21" s="65" t="n">
        <v>0</v>
      </c>
      <c r="L21" s="65" t="n">
        <v>0</v>
      </c>
      <c r="M21" s="65" t="n">
        <v>0</v>
      </c>
      <c r="N21" s="65" t="n">
        <v>0</v>
      </c>
      <c r="O21" s="65" t="n">
        <v>0</v>
      </c>
      <c r="P21" s="65" t="n">
        <v>0</v>
      </c>
      <c r="Q21" s="65" t="n">
        <v>0</v>
      </c>
      <c r="R21" s="65" t="n">
        <v>0</v>
      </c>
      <c r="S21" s="65" t="n">
        <v>0</v>
      </c>
      <c r="T21" s="65" t="n">
        <v>0</v>
      </c>
      <c r="U21" s="65" t="n">
        <v>0</v>
      </c>
      <c r="V21" s="65" t="n">
        <v>0</v>
      </c>
      <c r="W21" s="65" t="n">
        <v>0</v>
      </c>
      <c r="X21" s="65" t="n">
        <v>0</v>
      </c>
      <c r="Y21" s="65" t="n">
        <v>0</v>
      </c>
      <c r="Z21" s="65" t="n">
        <v>0</v>
      </c>
      <c r="AA21" s="65" t="n">
        <v>0</v>
      </c>
      <c r="AB21" s="65" t="n">
        <v>0</v>
      </c>
      <c r="AC21" s="65" t="n">
        <v>0</v>
      </c>
      <c r="AD21" s="65" t="n">
        <v>0</v>
      </c>
      <c r="AE21" s="65" t="n">
        <v>0</v>
      </c>
      <c r="AF21" s="65" t="n">
        <v>0</v>
      </c>
      <c r="AG21" s="65" t="n">
        <v>0</v>
      </c>
    </row>
    <row r="22" ht="14.25" customHeight="1" s="74">
      <c r="A22" s="64" t="inlineStr">
        <is>
          <t>lignite w CCS</t>
        </is>
      </c>
      <c r="B22" s="65" t="n">
        <v>0</v>
      </c>
      <c r="C22" s="65" t="n">
        <v>0</v>
      </c>
      <c r="D22" s="65" t="n">
        <v>0</v>
      </c>
      <c r="E22" s="65" t="n">
        <v>0</v>
      </c>
      <c r="F22" s="65" t="n">
        <v>0</v>
      </c>
      <c r="G22" s="65" t="n">
        <v>0</v>
      </c>
      <c r="H22" s="65" t="n">
        <v>0</v>
      </c>
      <c r="I22" s="65" t="n">
        <v>0</v>
      </c>
      <c r="J22" s="65" t="n">
        <v>0</v>
      </c>
      <c r="K22" s="65" t="n">
        <v>0</v>
      </c>
      <c r="L22" s="65" t="n">
        <v>0</v>
      </c>
      <c r="M22" s="65" t="n">
        <v>0</v>
      </c>
      <c r="N22" s="65" t="n">
        <v>0</v>
      </c>
      <c r="O22" s="65" t="n">
        <v>0</v>
      </c>
      <c r="P22" s="65" t="n">
        <v>0</v>
      </c>
      <c r="Q22" s="65" t="n">
        <v>0</v>
      </c>
      <c r="R22" s="65" t="n">
        <v>0</v>
      </c>
      <c r="S22" s="65" t="n">
        <v>0</v>
      </c>
      <c r="T22" s="65" t="n">
        <v>0</v>
      </c>
      <c r="U22" s="65" t="n">
        <v>0</v>
      </c>
      <c r="V22" s="65" t="n">
        <v>0</v>
      </c>
      <c r="W22" s="65" t="n">
        <v>0</v>
      </c>
      <c r="X22" s="65" t="n">
        <v>0</v>
      </c>
      <c r="Y22" s="65" t="n">
        <v>0</v>
      </c>
      <c r="Z22" s="65" t="n">
        <v>0</v>
      </c>
      <c r="AA22" s="65" t="n">
        <v>0</v>
      </c>
      <c r="AB22" s="65" t="n">
        <v>0</v>
      </c>
      <c r="AC22" s="65" t="n">
        <v>0</v>
      </c>
      <c r="AD22" s="65" t="n">
        <v>0</v>
      </c>
      <c r="AE22" s="65" t="n">
        <v>0</v>
      </c>
      <c r="AF22" s="65" t="n">
        <v>0</v>
      </c>
      <c r="AG22" s="65" t="n">
        <v>0</v>
      </c>
    </row>
    <row r="23" ht="14.25" customHeight="1" s="74">
      <c r="A23" s="64" t="inlineStr">
        <is>
          <t>small modular reactor</t>
        </is>
      </c>
      <c r="B23" s="65" t="n">
        <v>0</v>
      </c>
      <c r="C23" s="65" t="n">
        <v>0</v>
      </c>
      <c r="D23" s="65" t="n">
        <v>0</v>
      </c>
      <c r="E23" s="65" t="n">
        <v>0</v>
      </c>
      <c r="F23" s="65" t="n">
        <v>0</v>
      </c>
      <c r="G23" s="65" t="n">
        <v>0</v>
      </c>
      <c r="H23" s="65" t="n">
        <v>0</v>
      </c>
      <c r="I23" s="65" t="n">
        <v>0</v>
      </c>
      <c r="J23" s="65" t="n">
        <v>0</v>
      </c>
      <c r="K23" s="65" t="n">
        <v>0</v>
      </c>
      <c r="L23" s="65" t="n">
        <v>0</v>
      </c>
      <c r="M23" s="65" t="n">
        <v>0</v>
      </c>
      <c r="N23" s="65" t="n">
        <v>0</v>
      </c>
      <c r="O23" s="65" t="n">
        <v>0</v>
      </c>
      <c r="P23" s="65" t="n">
        <v>0</v>
      </c>
      <c r="Q23" s="65" t="n">
        <v>0</v>
      </c>
      <c r="R23" s="65" t="n">
        <v>0</v>
      </c>
      <c r="S23" s="65" t="n">
        <v>0</v>
      </c>
      <c r="T23" s="65" t="n">
        <v>0</v>
      </c>
      <c r="U23" s="65" t="n">
        <v>0</v>
      </c>
      <c r="V23" s="65" t="n">
        <v>0</v>
      </c>
      <c r="W23" s="65" t="n">
        <v>0</v>
      </c>
      <c r="X23" s="65" t="n">
        <v>0</v>
      </c>
      <c r="Y23" s="65" t="n">
        <v>0</v>
      </c>
      <c r="Z23" s="65" t="n">
        <v>0</v>
      </c>
      <c r="AA23" s="65" t="n">
        <v>0</v>
      </c>
      <c r="AB23" s="65" t="n">
        <v>0</v>
      </c>
      <c r="AC23" s="65" t="n">
        <v>0</v>
      </c>
      <c r="AD23" s="65" t="n">
        <v>0</v>
      </c>
      <c r="AE23" s="65" t="n">
        <v>0</v>
      </c>
      <c r="AF23" s="65" t="n">
        <v>0</v>
      </c>
      <c r="AG23" s="65" t="n">
        <v>0</v>
      </c>
    </row>
    <row r="24" ht="14.25" customHeight="1" s="74">
      <c r="A24" s="66" t="inlineStr">
        <is>
          <t>hydrogen combustion turbine</t>
        </is>
      </c>
      <c r="B24" s="65" t="n">
        <v>0</v>
      </c>
      <c r="C24" s="65" t="n">
        <v>0</v>
      </c>
      <c r="D24" s="65" t="n">
        <v>0</v>
      </c>
      <c r="E24" s="65" t="n">
        <v>0</v>
      </c>
      <c r="F24" s="65" t="n">
        <v>0</v>
      </c>
      <c r="G24" s="65" t="n">
        <v>0</v>
      </c>
      <c r="H24" s="65" t="n">
        <v>0</v>
      </c>
      <c r="I24" s="65" t="n">
        <v>0</v>
      </c>
      <c r="J24" s="65" t="n">
        <v>0</v>
      </c>
      <c r="K24" s="65" t="n">
        <v>0</v>
      </c>
      <c r="L24" s="65" t="n">
        <v>0</v>
      </c>
      <c r="M24" s="65" t="n">
        <v>0</v>
      </c>
      <c r="N24" s="65" t="n">
        <v>0</v>
      </c>
      <c r="O24" s="65" t="n">
        <v>0</v>
      </c>
      <c r="P24" s="65" t="n">
        <v>0</v>
      </c>
      <c r="Q24" s="65" t="n">
        <v>0</v>
      </c>
      <c r="R24" s="65" t="n">
        <v>0</v>
      </c>
      <c r="S24" s="65" t="n">
        <v>0</v>
      </c>
      <c r="T24" s="65" t="n">
        <v>0</v>
      </c>
      <c r="U24" s="65" t="n">
        <v>0</v>
      </c>
      <c r="V24" s="65" t="n">
        <v>0</v>
      </c>
      <c r="W24" s="65" t="n">
        <v>0</v>
      </c>
      <c r="X24" s="65" t="n">
        <v>0</v>
      </c>
      <c r="Y24" s="65" t="n">
        <v>0</v>
      </c>
      <c r="Z24" s="65" t="n">
        <v>0</v>
      </c>
      <c r="AA24" s="65" t="n">
        <v>0</v>
      </c>
      <c r="AB24" s="65" t="n">
        <v>0</v>
      </c>
      <c r="AC24" s="65" t="n">
        <v>0</v>
      </c>
      <c r="AD24" s="65" t="n">
        <v>0</v>
      </c>
      <c r="AE24" s="65" t="n">
        <v>0</v>
      </c>
      <c r="AF24" s="65" t="n">
        <v>0</v>
      </c>
      <c r="AG24" s="65" t="n">
        <v>0</v>
      </c>
    </row>
    <row r="25" ht="14.25" customHeight="1" s="74">
      <c r="A25" s="66" t="inlineStr">
        <is>
          <t>hydrogen combined cycle</t>
        </is>
      </c>
      <c r="B25" s="65" t="n">
        <v>0</v>
      </c>
      <c r="C25" s="65" t="n">
        <v>0</v>
      </c>
      <c r="D25" s="65" t="n">
        <v>0</v>
      </c>
      <c r="E25" s="65" t="n">
        <v>0</v>
      </c>
      <c r="F25" s="65" t="n">
        <v>0</v>
      </c>
      <c r="G25" s="65" t="n">
        <v>0</v>
      </c>
      <c r="H25" s="65" t="n">
        <v>0</v>
      </c>
      <c r="I25" s="65" t="n">
        <v>0</v>
      </c>
      <c r="J25" s="65" t="n">
        <v>0</v>
      </c>
      <c r="K25" s="65" t="n">
        <v>0</v>
      </c>
      <c r="L25" s="65" t="n">
        <v>0</v>
      </c>
      <c r="M25" s="65" t="n">
        <v>0</v>
      </c>
      <c r="N25" s="65" t="n">
        <v>0</v>
      </c>
      <c r="O25" s="65" t="n">
        <v>0</v>
      </c>
      <c r="P25" s="65" t="n">
        <v>0</v>
      </c>
      <c r="Q25" s="65" t="n">
        <v>0</v>
      </c>
      <c r="R25" s="65" t="n">
        <v>0</v>
      </c>
      <c r="S25" s="65" t="n">
        <v>0</v>
      </c>
      <c r="T25" s="65" t="n">
        <v>0</v>
      </c>
      <c r="U25" s="65" t="n">
        <v>0</v>
      </c>
      <c r="V25" s="65" t="n">
        <v>0</v>
      </c>
      <c r="W25" s="65" t="n">
        <v>0</v>
      </c>
      <c r="X25" s="65" t="n">
        <v>0</v>
      </c>
      <c r="Y25" s="65" t="n">
        <v>0</v>
      </c>
      <c r="Z25" s="65" t="n">
        <v>0</v>
      </c>
      <c r="AA25" s="65" t="n">
        <v>0</v>
      </c>
      <c r="AB25" s="65" t="n">
        <v>0</v>
      </c>
      <c r="AC25" s="65" t="n">
        <v>0</v>
      </c>
      <c r="AD25" s="65" t="n">
        <v>0</v>
      </c>
      <c r="AE25" s="65" t="n">
        <v>0</v>
      </c>
      <c r="AF25" s="65" t="n">
        <v>0</v>
      </c>
      <c r="AG25" s="65" t="n">
        <v>0</v>
      </c>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row r="1001" ht="14.25" customHeight="1" s="74">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c r="AA1001" s="2" t="n"/>
      <c r="AB1001" s="2" t="n"/>
      <c r="AC1001" s="2" t="n"/>
      <c r="AD1001" s="2" t="n"/>
      <c r="AE1001" s="2" t="n"/>
      <c r="AF1001" s="2" t="n"/>
    </row>
  </sheetData>
  <pageMargins left="0.7" right="0.7" top="0.75" bottom="0.75" header="0" footer="0"/>
  <pageSetup orientation="landscape"/>
</worksheet>
</file>

<file path=xl/worksheets/sheet15.xml><?xml version="1.0" encoding="utf-8"?>
<worksheet xmlns="http://schemas.openxmlformats.org/spreadsheetml/2006/main">
  <sheetPr>
    <tabColor rgb="FF1F497D"/>
    <outlinePr summaryBelow="1" summaryRight="1"/>
    <pageSetUpPr/>
  </sheetPr>
  <dimension ref="A1:AG1001"/>
  <sheetViews>
    <sheetView workbookViewId="0">
      <selection activeCell="E15" sqref="E15"/>
    </sheetView>
  </sheetViews>
  <sheetFormatPr baseColWidth="10" defaultColWidth="12.6640625" defaultRowHeight="15" customHeight="1"/>
  <cols>
    <col width="20.5" customWidth="1" style="74" min="1" max="1"/>
    <col width="8.33203125" customWidth="1" style="74" min="2"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f>'BDEQ-BDESC-commercial-o'!B2</f>
        <v/>
      </c>
      <c r="C2" s="62">
        <f>'BDEQ-BDESC-commercial-o'!C2</f>
        <v/>
      </c>
      <c r="D2" s="62">
        <f>'BDEQ-BDESC-commercial-o'!D2</f>
        <v/>
      </c>
      <c r="E2" s="62">
        <f>'BDEQ-BDESC-commercial-o'!E2</f>
        <v/>
      </c>
      <c r="F2" s="62">
        <f>'BDEQ-BDESC-commercial-o'!F2</f>
        <v/>
      </c>
      <c r="G2" s="62">
        <f>'BDEQ-BDESC-commercial-o'!G2</f>
        <v/>
      </c>
      <c r="H2" s="62">
        <f>'BDEQ-BDESC-commercial-o'!H2</f>
        <v/>
      </c>
      <c r="I2" s="62">
        <f>'BDEQ-BDESC-commercial-o'!I2</f>
        <v/>
      </c>
      <c r="J2" s="62">
        <f>'BDEQ-BDESC-commercial-o'!J2</f>
        <v/>
      </c>
      <c r="K2" s="62">
        <f>'BDEQ-BDESC-commercial-o'!K2</f>
        <v/>
      </c>
      <c r="L2" s="62">
        <f>'BDEQ-BDESC-commercial-o'!L2</f>
        <v/>
      </c>
      <c r="M2" s="62">
        <f>'BDEQ-BDESC-commercial-o'!M2</f>
        <v/>
      </c>
      <c r="N2" s="62">
        <f>'BDEQ-BDESC-commercial-o'!N2</f>
        <v/>
      </c>
      <c r="O2" s="62">
        <f>'BDEQ-BDESC-commercial-o'!O2</f>
        <v/>
      </c>
      <c r="P2" s="62">
        <f>'BDEQ-BDESC-commercial-o'!P2</f>
        <v/>
      </c>
      <c r="Q2" s="62">
        <f>'BDEQ-BDESC-commercial-o'!Q2</f>
        <v/>
      </c>
      <c r="R2" s="62">
        <f>'BDEQ-BDESC-commercial-o'!R2</f>
        <v/>
      </c>
      <c r="S2" s="62">
        <f>'BDEQ-BDESC-commercial-o'!S2</f>
        <v/>
      </c>
      <c r="T2" s="62">
        <f>'BDEQ-BDESC-commercial-o'!T2</f>
        <v/>
      </c>
      <c r="U2" s="62">
        <f>'BDEQ-BDESC-commercial-o'!U2</f>
        <v/>
      </c>
      <c r="V2" s="62">
        <f>'BDEQ-BDESC-commercial-o'!V2</f>
        <v/>
      </c>
      <c r="W2" s="62">
        <f>'BDEQ-BDESC-commercial-o'!W2</f>
        <v/>
      </c>
      <c r="X2" s="62">
        <f>'BDEQ-BDESC-commercial-o'!X2</f>
        <v/>
      </c>
      <c r="Y2" s="62">
        <f>'BDEQ-BDESC-commercial-o'!Y2</f>
        <v/>
      </c>
      <c r="Z2" s="62">
        <f>'BDEQ-BDESC-commercial-o'!Z2</f>
        <v/>
      </c>
      <c r="AA2" s="62">
        <f>'BDEQ-BDESC-commercial-o'!AA2</f>
        <v/>
      </c>
      <c r="AB2" s="62">
        <f>'BDEQ-BDESC-commercial-o'!AB2</f>
        <v/>
      </c>
      <c r="AC2" s="62">
        <f>'BDEQ-BDESC-commercial-o'!AC2</f>
        <v/>
      </c>
      <c r="AD2" s="62">
        <f>'BDEQ-BDESC-commercial-o'!AD2</f>
        <v/>
      </c>
      <c r="AE2" s="62">
        <f>'BDEQ-BDESC-commercial-o'!AE2</f>
        <v/>
      </c>
      <c r="AF2" s="62">
        <f>'BDEQ-BDESC-commercial-o'!AF2</f>
        <v/>
      </c>
    </row>
    <row r="3" ht="14.25" customFormat="1" customHeight="1" s="57">
      <c r="A3" s="70" t="inlineStr">
        <is>
          <t>natural gas steam turbine</t>
        </is>
      </c>
      <c r="B3" s="69" t="n">
        <v>0</v>
      </c>
      <c r="C3" s="69" t="n">
        <v>0</v>
      </c>
      <c r="D3" s="69" t="n">
        <v>0</v>
      </c>
      <c r="E3" s="69" t="n">
        <v>0</v>
      </c>
      <c r="F3" s="69" t="n">
        <v>0</v>
      </c>
      <c r="G3" s="69" t="n">
        <v>0</v>
      </c>
      <c r="H3" s="69" t="n">
        <v>0</v>
      </c>
      <c r="I3" s="69" t="n">
        <v>0</v>
      </c>
      <c r="J3" s="69" t="n">
        <v>0</v>
      </c>
      <c r="K3" s="69" t="n">
        <v>0</v>
      </c>
      <c r="L3" s="69" t="n">
        <v>0</v>
      </c>
      <c r="M3" s="69" t="n">
        <v>0</v>
      </c>
      <c r="N3" s="69" t="n">
        <v>0</v>
      </c>
      <c r="O3" s="69" t="n">
        <v>0</v>
      </c>
      <c r="P3" s="69" t="n">
        <v>0</v>
      </c>
      <c r="Q3" s="69" t="n">
        <v>0</v>
      </c>
      <c r="R3" s="69" t="n">
        <v>0</v>
      </c>
      <c r="S3" s="69" t="n">
        <v>0</v>
      </c>
      <c r="T3" s="69" t="n">
        <v>0</v>
      </c>
      <c r="U3" s="69" t="n">
        <v>0</v>
      </c>
      <c r="V3" s="69" t="n">
        <v>0</v>
      </c>
      <c r="W3" s="69" t="n">
        <v>0</v>
      </c>
      <c r="X3" s="69" t="n">
        <v>0</v>
      </c>
      <c r="Y3" s="69" t="n">
        <v>0</v>
      </c>
      <c r="Z3" s="69" t="n">
        <v>0</v>
      </c>
      <c r="AA3" s="69" t="n">
        <v>0</v>
      </c>
      <c r="AB3" s="69" t="n">
        <v>0</v>
      </c>
      <c r="AC3" s="69" t="n">
        <v>0</v>
      </c>
      <c r="AD3" s="69" t="n">
        <v>0</v>
      </c>
      <c r="AE3" s="69" t="n">
        <v>0</v>
      </c>
      <c r="AF3" s="69" t="n">
        <v>0</v>
      </c>
    </row>
    <row r="4" ht="14.25" customHeight="1" s="74">
      <c r="A4" s="70" t="inlineStr">
        <is>
          <t>natural gas combined cycle</t>
        </is>
      </c>
      <c r="B4" s="62">
        <f>'BDEQ-BDESC-commercial-o'!B3</f>
        <v/>
      </c>
      <c r="C4" s="62">
        <f>'BDEQ-BDESC-commercial-o'!C3</f>
        <v/>
      </c>
      <c r="D4" s="62">
        <f>'BDEQ-BDESC-commercial-o'!D3</f>
        <v/>
      </c>
      <c r="E4" s="62">
        <f>'BDEQ-BDESC-commercial-o'!E3</f>
        <v/>
      </c>
      <c r="F4" s="62">
        <f>'BDEQ-BDESC-commercial-o'!F3</f>
        <v/>
      </c>
      <c r="G4" s="62">
        <f>'BDEQ-BDESC-commercial-o'!G3</f>
        <v/>
      </c>
      <c r="H4" s="62">
        <f>'BDEQ-BDESC-commercial-o'!H3</f>
        <v/>
      </c>
      <c r="I4" s="62">
        <f>'BDEQ-BDESC-commercial-o'!I3</f>
        <v/>
      </c>
      <c r="J4" s="62">
        <f>'BDEQ-BDESC-commercial-o'!J3</f>
        <v/>
      </c>
      <c r="K4" s="62">
        <f>'BDEQ-BDESC-commercial-o'!K3</f>
        <v/>
      </c>
      <c r="L4" s="62">
        <f>'BDEQ-BDESC-commercial-o'!L3</f>
        <v/>
      </c>
      <c r="M4" s="62">
        <f>'BDEQ-BDESC-commercial-o'!M3</f>
        <v/>
      </c>
      <c r="N4" s="62">
        <f>'BDEQ-BDESC-commercial-o'!N3</f>
        <v/>
      </c>
      <c r="O4" s="62">
        <f>'BDEQ-BDESC-commercial-o'!O3</f>
        <v/>
      </c>
      <c r="P4" s="62">
        <f>'BDEQ-BDESC-commercial-o'!P3</f>
        <v/>
      </c>
      <c r="Q4" s="62">
        <f>'BDEQ-BDESC-commercial-o'!Q3</f>
        <v/>
      </c>
      <c r="R4" s="62">
        <f>'BDEQ-BDESC-commercial-o'!R3</f>
        <v/>
      </c>
      <c r="S4" s="62">
        <f>'BDEQ-BDESC-commercial-o'!S3</f>
        <v/>
      </c>
      <c r="T4" s="62">
        <f>'BDEQ-BDESC-commercial-o'!T3</f>
        <v/>
      </c>
      <c r="U4" s="62">
        <f>'BDEQ-BDESC-commercial-o'!U3</f>
        <v/>
      </c>
      <c r="V4" s="62">
        <f>'BDEQ-BDESC-commercial-o'!V3</f>
        <v/>
      </c>
      <c r="W4" s="62">
        <f>'BDEQ-BDESC-commercial-o'!W3</f>
        <v/>
      </c>
      <c r="X4" s="62">
        <f>'BDEQ-BDESC-commercial-o'!X3</f>
        <v/>
      </c>
      <c r="Y4" s="62">
        <f>'BDEQ-BDESC-commercial-o'!Y3</f>
        <v/>
      </c>
      <c r="Z4" s="62">
        <f>'BDEQ-BDESC-commercial-o'!Z3</f>
        <v/>
      </c>
      <c r="AA4" s="62">
        <f>'BDEQ-BDESC-commercial-o'!AA3</f>
        <v/>
      </c>
      <c r="AB4" s="62">
        <f>'BDEQ-BDESC-commercial-o'!AB3</f>
        <v/>
      </c>
      <c r="AC4" s="62">
        <f>'BDEQ-BDESC-commercial-o'!AC3</f>
        <v/>
      </c>
      <c r="AD4" s="62">
        <f>'BDEQ-BDESC-commercial-o'!AD3</f>
        <v/>
      </c>
      <c r="AE4" s="62">
        <f>'BDEQ-BDESC-commercial-o'!AE3</f>
        <v/>
      </c>
      <c r="AF4" s="62">
        <f>'BDEQ-BDESC-commercial-o'!AF3</f>
        <v/>
      </c>
    </row>
    <row r="5" ht="14.25" customHeight="1" s="74">
      <c r="A5" s="7" t="inlineStr">
        <is>
          <t>nuclear</t>
        </is>
      </c>
      <c r="B5" s="62">
        <f>'BDEQ-BDESC-commercial-o'!B4</f>
        <v/>
      </c>
      <c r="C5" s="62">
        <f>'BDEQ-BDESC-commercial-o'!C4</f>
        <v/>
      </c>
      <c r="D5" s="62">
        <f>'BDEQ-BDESC-commercial-o'!D4</f>
        <v/>
      </c>
      <c r="E5" s="62">
        <f>'BDEQ-BDESC-commercial-o'!E4</f>
        <v/>
      </c>
      <c r="F5" s="62">
        <f>'BDEQ-BDESC-commercial-o'!F4</f>
        <v/>
      </c>
      <c r="G5" s="62">
        <f>'BDEQ-BDESC-commercial-o'!G4</f>
        <v/>
      </c>
      <c r="H5" s="62">
        <f>'BDEQ-BDESC-commercial-o'!H4</f>
        <v/>
      </c>
      <c r="I5" s="62">
        <f>'BDEQ-BDESC-commercial-o'!I4</f>
        <v/>
      </c>
      <c r="J5" s="62">
        <f>'BDEQ-BDESC-commercial-o'!J4</f>
        <v/>
      </c>
      <c r="K5" s="62">
        <f>'BDEQ-BDESC-commercial-o'!K4</f>
        <v/>
      </c>
      <c r="L5" s="62">
        <f>'BDEQ-BDESC-commercial-o'!L4</f>
        <v/>
      </c>
      <c r="M5" s="62">
        <f>'BDEQ-BDESC-commercial-o'!M4</f>
        <v/>
      </c>
      <c r="N5" s="62">
        <f>'BDEQ-BDESC-commercial-o'!N4</f>
        <v/>
      </c>
      <c r="O5" s="62">
        <f>'BDEQ-BDESC-commercial-o'!O4</f>
        <v/>
      </c>
      <c r="P5" s="62">
        <f>'BDEQ-BDESC-commercial-o'!P4</f>
        <v/>
      </c>
      <c r="Q5" s="62">
        <f>'BDEQ-BDESC-commercial-o'!Q4</f>
        <v/>
      </c>
      <c r="R5" s="62">
        <f>'BDEQ-BDESC-commercial-o'!R4</f>
        <v/>
      </c>
      <c r="S5" s="62">
        <f>'BDEQ-BDESC-commercial-o'!S4</f>
        <v/>
      </c>
      <c r="T5" s="62">
        <f>'BDEQ-BDESC-commercial-o'!T4</f>
        <v/>
      </c>
      <c r="U5" s="62">
        <f>'BDEQ-BDESC-commercial-o'!U4</f>
        <v/>
      </c>
      <c r="V5" s="62">
        <f>'BDEQ-BDESC-commercial-o'!V4</f>
        <v/>
      </c>
      <c r="W5" s="62">
        <f>'BDEQ-BDESC-commercial-o'!W4</f>
        <v/>
      </c>
      <c r="X5" s="62">
        <f>'BDEQ-BDESC-commercial-o'!X4</f>
        <v/>
      </c>
      <c r="Y5" s="62">
        <f>'BDEQ-BDESC-commercial-o'!Y4</f>
        <v/>
      </c>
      <c r="Z5" s="62">
        <f>'BDEQ-BDESC-commercial-o'!Z4</f>
        <v/>
      </c>
      <c r="AA5" s="62">
        <f>'BDEQ-BDESC-commercial-o'!AA4</f>
        <v/>
      </c>
      <c r="AB5" s="62">
        <f>'BDEQ-BDESC-commercial-o'!AB4</f>
        <v/>
      </c>
      <c r="AC5" s="62">
        <f>'BDEQ-BDESC-commercial-o'!AC4</f>
        <v/>
      </c>
      <c r="AD5" s="62">
        <f>'BDEQ-BDESC-commercial-o'!AD4</f>
        <v/>
      </c>
      <c r="AE5" s="62">
        <f>'BDEQ-BDESC-commercial-o'!AE4</f>
        <v/>
      </c>
      <c r="AF5" s="62">
        <f>'BDEQ-BDESC-commercial-o'!AF4</f>
        <v/>
      </c>
    </row>
    <row r="6" ht="14.25" customHeight="1" s="74">
      <c r="A6" s="7" t="inlineStr">
        <is>
          <t>hydro</t>
        </is>
      </c>
      <c r="B6" s="62">
        <f>'BDEQ-BDESC-commercial-o'!B5</f>
        <v/>
      </c>
      <c r="C6" s="62">
        <f>'BDEQ-BDESC-commercial-o'!C5</f>
        <v/>
      </c>
      <c r="D6" s="62">
        <f>'BDEQ-BDESC-commercial-o'!D5</f>
        <v/>
      </c>
      <c r="E6" s="62">
        <f>'BDEQ-BDESC-commercial-o'!E5</f>
        <v/>
      </c>
      <c r="F6" s="62">
        <f>'BDEQ-BDESC-commercial-o'!F5</f>
        <v/>
      </c>
      <c r="G6" s="62">
        <f>'BDEQ-BDESC-commercial-o'!G5</f>
        <v/>
      </c>
      <c r="H6" s="62">
        <f>'BDEQ-BDESC-commercial-o'!H5</f>
        <v/>
      </c>
      <c r="I6" s="62">
        <f>'BDEQ-BDESC-commercial-o'!I5</f>
        <v/>
      </c>
      <c r="J6" s="62">
        <f>'BDEQ-BDESC-commercial-o'!J5</f>
        <v/>
      </c>
      <c r="K6" s="62">
        <f>'BDEQ-BDESC-commercial-o'!K5</f>
        <v/>
      </c>
      <c r="L6" s="62">
        <f>'BDEQ-BDESC-commercial-o'!L5</f>
        <v/>
      </c>
      <c r="M6" s="62">
        <f>'BDEQ-BDESC-commercial-o'!M5</f>
        <v/>
      </c>
      <c r="N6" s="62">
        <f>'BDEQ-BDESC-commercial-o'!N5</f>
        <v/>
      </c>
      <c r="O6" s="62">
        <f>'BDEQ-BDESC-commercial-o'!O5</f>
        <v/>
      </c>
      <c r="P6" s="62">
        <f>'BDEQ-BDESC-commercial-o'!P5</f>
        <v/>
      </c>
      <c r="Q6" s="62">
        <f>'BDEQ-BDESC-commercial-o'!Q5</f>
        <v/>
      </c>
      <c r="R6" s="62">
        <f>'BDEQ-BDESC-commercial-o'!R5</f>
        <v/>
      </c>
      <c r="S6" s="62">
        <f>'BDEQ-BDESC-commercial-o'!S5</f>
        <v/>
      </c>
      <c r="T6" s="62">
        <f>'BDEQ-BDESC-commercial-o'!T5</f>
        <v/>
      </c>
      <c r="U6" s="62">
        <f>'BDEQ-BDESC-commercial-o'!U5</f>
        <v/>
      </c>
      <c r="V6" s="62">
        <f>'BDEQ-BDESC-commercial-o'!V5</f>
        <v/>
      </c>
      <c r="W6" s="62">
        <f>'BDEQ-BDESC-commercial-o'!W5</f>
        <v/>
      </c>
      <c r="X6" s="62">
        <f>'BDEQ-BDESC-commercial-o'!X5</f>
        <v/>
      </c>
      <c r="Y6" s="62">
        <f>'BDEQ-BDESC-commercial-o'!Y5</f>
        <v/>
      </c>
      <c r="Z6" s="62">
        <f>'BDEQ-BDESC-commercial-o'!Z5</f>
        <v/>
      </c>
      <c r="AA6" s="62">
        <f>'BDEQ-BDESC-commercial-o'!AA5</f>
        <v/>
      </c>
      <c r="AB6" s="62">
        <f>'BDEQ-BDESC-commercial-o'!AB5</f>
        <v/>
      </c>
      <c r="AC6" s="62">
        <f>'BDEQ-BDESC-commercial-o'!AC5</f>
        <v/>
      </c>
      <c r="AD6" s="62">
        <f>'BDEQ-BDESC-commercial-o'!AD5</f>
        <v/>
      </c>
      <c r="AE6" s="62">
        <f>'BDEQ-BDESC-commercial-o'!AE5</f>
        <v/>
      </c>
      <c r="AF6" s="62">
        <f>'BDEQ-BDESC-commercial-o'!AF5</f>
        <v/>
      </c>
    </row>
    <row r="7" ht="14.25" customHeight="1" s="74">
      <c r="A7" s="7" t="inlineStr">
        <is>
          <t>onshore wind</t>
        </is>
      </c>
      <c r="B7" s="62">
        <f>'BDEQ-BDESC-commercial-o'!B6</f>
        <v/>
      </c>
      <c r="C7" s="62">
        <f>'BDEQ-BDESC-commercial-o'!C6</f>
        <v/>
      </c>
      <c r="D7" s="62">
        <f>'BDEQ-BDESC-commercial-o'!D6</f>
        <v/>
      </c>
      <c r="E7" s="62">
        <f>'BDEQ-BDESC-commercial-o'!E6</f>
        <v/>
      </c>
      <c r="F7" s="62">
        <f>'BDEQ-BDESC-commercial-o'!F6</f>
        <v/>
      </c>
      <c r="G7" s="62">
        <f>'BDEQ-BDESC-commercial-o'!G6</f>
        <v/>
      </c>
      <c r="H7" s="62">
        <f>'BDEQ-BDESC-commercial-o'!H6</f>
        <v/>
      </c>
      <c r="I7" s="62">
        <f>'BDEQ-BDESC-commercial-o'!I6</f>
        <v/>
      </c>
      <c r="J7" s="62">
        <f>'BDEQ-BDESC-commercial-o'!J6</f>
        <v/>
      </c>
      <c r="K7" s="62">
        <f>'BDEQ-BDESC-commercial-o'!K6</f>
        <v/>
      </c>
      <c r="L7" s="62">
        <f>'BDEQ-BDESC-commercial-o'!L6</f>
        <v/>
      </c>
      <c r="M7" s="62">
        <f>'BDEQ-BDESC-commercial-o'!M6</f>
        <v/>
      </c>
      <c r="N7" s="62">
        <f>'BDEQ-BDESC-commercial-o'!N6</f>
        <v/>
      </c>
      <c r="O7" s="62">
        <f>'BDEQ-BDESC-commercial-o'!O6</f>
        <v/>
      </c>
      <c r="P7" s="62">
        <f>'BDEQ-BDESC-commercial-o'!P6</f>
        <v/>
      </c>
      <c r="Q7" s="62">
        <f>'BDEQ-BDESC-commercial-o'!Q6</f>
        <v/>
      </c>
      <c r="R7" s="62">
        <f>'BDEQ-BDESC-commercial-o'!R6</f>
        <v/>
      </c>
      <c r="S7" s="62">
        <f>'BDEQ-BDESC-commercial-o'!S6</f>
        <v/>
      </c>
      <c r="T7" s="62">
        <f>'BDEQ-BDESC-commercial-o'!T6</f>
        <v/>
      </c>
      <c r="U7" s="62">
        <f>'BDEQ-BDESC-commercial-o'!U6</f>
        <v/>
      </c>
      <c r="V7" s="62">
        <f>'BDEQ-BDESC-commercial-o'!V6</f>
        <v/>
      </c>
      <c r="W7" s="62">
        <f>'BDEQ-BDESC-commercial-o'!W6</f>
        <v/>
      </c>
      <c r="X7" s="62">
        <f>'BDEQ-BDESC-commercial-o'!X6</f>
        <v/>
      </c>
      <c r="Y7" s="62">
        <f>'BDEQ-BDESC-commercial-o'!Y6</f>
        <v/>
      </c>
      <c r="Z7" s="62">
        <f>'BDEQ-BDESC-commercial-o'!Z6</f>
        <v/>
      </c>
      <c r="AA7" s="62">
        <f>'BDEQ-BDESC-commercial-o'!AA6</f>
        <v/>
      </c>
      <c r="AB7" s="62">
        <f>'BDEQ-BDESC-commercial-o'!AB6</f>
        <v/>
      </c>
      <c r="AC7" s="62">
        <f>'BDEQ-BDESC-commercial-o'!AC6</f>
        <v/>
      </c>
      <c r="AD7" s="62">
        <f>'BDEQ-BDESC-commercial-o'!AD6</f>
        <v/>
      </c>
      <c r="AE7" s="62">
        <f>'BDEQ-BDESC-commercial-o'!AE6</f>
        <v/>
      </c>
      <c r="AF7" s="62">
        <f>'BDEQ-BDESC-commercial-o'!AF6</f>
        <v/>
      </c>
    </row>
    <row r="8" ht="14.25" customHeight="1" s="74">
      <c r="A8" s="7" t="inlineStr">
        <is>
          <t>solar PV</t>
        </is>
      </c>
      <c r="B8" s="62">
        <f>'BDEQ-BDESC-commercial-o'!B7</f>
        <v/>
      </c>
      <c r="C8" s="62">
        <f>'BDEQ-BDESC-commercial-o'!C7</f>
        <v/>
      </c>
      <c r="D8" s="62">
        <f>'BDEQ-BDESC-commercial-o'!D7</f>
        <v/>
      </c>
      <c r="E8" s="62">
        <f>'BDEQ-BDESC-commercial-o'!E7</f>
        <v/>
      </c>
      <c r="F8" s="62">
        <f>'BDEQ-BDESC-commercial-o'!F7</f>
        <v/>
      </c>
      <c r="G8" s="62">
        <f>'BDEQ-BDESC-commercial-o'!G7</f>
        <v/>
      </c>
      <c r="H8" s="62">
        <f>'BDEQ-BDESC-commercial-o'!H7</f>
        <v/>
      </c>
      <c r="I8" s="62">
        <f>'BDEQ-BDESC-commercial-o'!I7</f>
        <v/>
      </c>
      <c r="J8" s="62">
        <f>'BDEQ-BDESC-commercial-o'!J7</f>
        <v/>
      </c>
      <c r="K8" s="62">
        <f>'BDEQ-BDESC-commercial-o'!K7</f>
        <v/>
      </c>
      <c r="L8" s="62">
        <f>'BDEQ-BDESC-commercial-o'!L7</f>
        <v/>
      </c>
      <c r="M8" s="62">
        <f>'BDEQ-BDESC-commercial-o'!M7</f>
        <v/>
      </c>
      <c r="N8" s="62">
        <f>'BDEQ-BDESC-commercial-o'!N7</f>
        <v/>
      </c>
      <c r="O8" s="62">
        <f>'BDEQ-BDESC-commercial-o'!O7</f>
        <v/>
      </c>
      <c r="P8" s="62">
        <f>'BDEQ-BDESC-commercial-o'!P7</f>
        <v/>
      </c>
      <c r="Q8" s="62">
        <f>'BDEQ-BDESC-commercial-o'!Q7</f>
        <v/>
      </c>
      <c r="R8" s="62">
        <f>'BDEQ-BDESC-commercial-o'!R7</f>
        <v/>
      </c>
      <c r="S8" s="62">
        <f>'BDEQ-BDESC-commercial-o'!S7</f>
        <v/>
      </c>
      <c r="T8" s="62">
        <f>'BDEQ-BDESC-commercial-o'!T7</f>
        <v/>
      </c>
      <c r="U8" s="62">
        <f>'BDEQ-BDESC-commercial-o'!U7</f>
        <v/>
      </c>
      <c r="V8" s="62">
        <f>'BDEQ-BDESC-commercial-o'!V7</f>
        <v/>
      </c>
      <c r="W8" s="62">
        <f>'BDEQ-BDESC-commercial-o'!W7</f>
        <v/>
      </c>
      <c r="X8" s="62">
        <f>'BDEQ-BDESC-commercial-o'!X7</f>
        <v/>
      </c>
      <c r="Y8" s="62">
        <f>'BDEQ-BDESC-commercial-o'!Y7</f>
        <v/>
      </c>
      <c r="Z8" s="62">
        <f>'BDEQ-BDESC-commercial-o'!Z7</f>
        <v/>
      </c>
      <c r="AA8" s="62">
        <f>'BDEQ-BDESC-commercial-o'!AA7</f>
        <v/>
      </c>
      <c r="AB8" s="62">
        <f>'BDEQ-BDESC-commercial-o'!AB7</f>
        <v/>
      </c>
      <c r="AC8" s="62">
        <f>'BDEQ-BDESC-commercial-o'!AC7</f>
        <v/>
      </c>
      <c r="AD8" s="62">
        <f>'BDEQ-BDESC-commercial-o'!AD7</f>
        <v/>
      </c>
      <c r="AE8" s="62">
        <f>'BDEQ-BDESC-commercial-o'!AE7</f>
        <v/>
      </c>
      <c r="AF8" s="62">
        <f>'BDEQ-BDESC-commercial-o'!AF7</f>
        <v/>
      </c>
    </row>
    <row r="9" ht="14.25" customHeight="1" s="74">
      <c r="A9" s="7" t="inlineStr">
        <is>
          <t>solar thermal</t>
        </is>
      </c>
      <c r="B9" s="62">
        <f>'BDEQ-BDESC-commercial-o'!B8</f>
        <v/>
      </c>
      <c r="C9" s="62">
        <f>'BDEQ-BDESC-commercial-o'!C8</f>
        <v/>
      </c>
      <c r="D9" s="62">
        <f>'BDEQ-BDESC-commercial-o'!D8</f>
        <v/>
      </c>
      <c r="E9" s="62">
        <f>'BDEQ-BDESC-commercial-o'!E8</f>
        <v/>
      </c>
      <c r="F9" s="62">
        <f>'BDEQ-BDESC-commercial-o'!F8</f>
        <v/>
      </c>
      <c r="G9" s="62">
        <f>'BDEQ-BDESC-commercial-o'!G8</f>
        <v/>
      </c>
      <c r="H9" s="62">
        <f>'BDEQ-BDESC-commercial-o'!H8</f>
        <v/>
      </c>
      <c r="I9" s="62">
        <f>'BDEQ-BDESC-commercial-o'!I8</f>
        <v/>
      </c>
      <c r="J9" s="62">
        <f>'BDEQ-BDESC-commercial-o'!J8</f>
        <v/>
      </c>
      <c r="K9" s="62">
        <f>'BDEQ-BDESC-commercial-o'!K8</f>
        <v/>
      </c>
      <c r="L9" s="62">
        <f>'BDEQ-BDESC-commercial-o'!L8</f>
        <v/>
      </c>
      <c r="M9" s="62">
        <f>'BDEQ-BDESC-commercial-o'!M8</f>
        <v/>
      </c>
      <c r="N9" s="62">
        <f>'BDEQ-BDESC-commercial-o'!N8</f>
        <v/>
      </c>
      <c r="O9" s="62">
        <f>'BDEQ-BDESC-commercial-o'!O8</f>
        <v/>
      </c>
      <c r="P9" s="62">
        <f>'BDEQ-BDESC-commercial-o'!P8</f>
        <v/>
      </c>
      <c r="Q9" s="62">
        <f>'BDEQ-BDESC-commercial-o'!Q8</f>
        <v/>
      </c>
      <c r="R9" s="62">
        <f>'BDEQ-BDESC-commercial-o'!R8</f>
        <v/>
      </c>
      <c r="S9" s="62">
        <f>'BDEQ-BDESC-commercial-o'!S8</f>
        <v/>
      </c>
      <c r="T9" s="62">
        <f>'BDEQ-BDESC-commercial-o'!T8</f>
        <v/>
      </c>
      <c r="U9" s="62">
        <f>'BDEQ-BDESC-commercial-o'!U8</f>
        <v/>
      </c>
      <c r="V9" s="62">
        <f>'BDEQ-BDESC-commercial-o'!V8</f>
        <v/>
      </c>
      <c r="W9" s="62">
        <f>'BDEQ-BDESC-commercial-o'!W8</f>
        <v/>
      </c>
      <c r="X9" s="62">
        <f>'BDEQ-BDESC-commercial-o'!X8</f>
        <v/>
      </c>
      <c r="Y9" s="62">
        <f>'BDEQ-BDESC-commercial-o'!Y8</f>
        <v/>
      </c>
      <c r="Z9" s="62">
        <f>'BDEQ-BDESC-commercial-o'!Z8</f>
        <v/>
      </c>
      <c r="AA9" s="62">
        <f>'BDEQ-BDESC-commercial-o'!AA8</f>
        <v/>
      </c>
      <c r="AB9" s="62">
        <f>'BDEQ-BDESC-commercial-o'!AB8</f>
        <v/>
      </c>
      <c r="AC9" s="62">
        <f>'BDEQ-BDESC-commercial-o'!AC8</f>
        <v/>
      </c>
      <c r="AD9" s="62">
        <f>'BDEQ-BDESC-commercial-o'!AD8</f>
        <v/>
      </c>
      <c r="AE9" s="62">
        <f>'BDEQ-BDESC-commercial-o'!AE8</f>
        <v/>
      </c>
      <c r="AF9" s="62">
        <f>'BDEQ-BDESC-commercial-o'!AF8</f>
        <v/>
      </c>
    </row>
    <row r="10" ht="14.25" customHeight="1" s="74">
      <c r="A10" s="7" t="inlineStr">
        <is>
          <t>biomass</t>
        </is>
      </c>
      <c r="B10" s="62">
        <f>'BDEQ-BDESC-commercial-o'!B9</f>
        <v/>
      </c>
      <c r="C10" s="62">
        <f>'BDEQ-BDESC-commercial-o'!C9</f>
        <v/>
      </c>
      <c r="D10" s="62">
        <f>'BDEQ-BDESC-commercial-o'!D9</f>
        <v/>
      </c>
      <c r="E10" s="62">
        <f>'BDEQ-BDESC-commercial-o'!E9</f>
        <v/>
      </c>
      <c r="F10" s="62">
        <f>'BDEQ-BDESC-commercial-o'!F9</f>
        <v/>
      </c>
      <c r="G10" s="62">
        <f>'BDEQ-BDESC-commercial-o'!G9</f>
        <v/>
      </c>
      <c r="H10" s="62">
        <f>'BDEQ-BDESC-commercial-o'!H9</f>
        <v/>
      </c>
      <c r="I10" s="62">
        <f>'BDEQ-BDESC-commercial-o'!I9</f>
        <v/>
      </c>
      <c r="J10" s="62">
        <f>'BDEQ-BDESC-commercial-o'!J9</f>
        <v/>
      </c>
      <c r="K10" s="62">
        <f>'BDEQ-BDESC-commercial-o'!K9</f>
        <v/>
      </c>
      <c r="L10" s="62">
        <f>'BDEQ-BDESC-commercial-o'!L9</f>
        <v/>
      </c>
      <c r="M10" s="62">
        <f>'BDEQ-BDESC-commercial-o'!M9</f>
        <v/>
      </c>
      <c r="N10" s="62">
        <f>'BDEQ-BDESC-commercial-o'!N9</f>
        <v/>
      </c>
      <c r="O10" s="62">
        <f>'BDEQ-BDESC-commercial-o'!O9</f>
        <v/>
      </c>
      <c r="P10" s="62">
        <f>'BDEQ-BDESC-commercial-o'!P9</f>
        <v/>
      </c>
      <c r="Q10" s="62">
        <f>'BDEQ-BDESC-commercial-o'!Q9</f>
        <v/>
      </c>
      <c r="R10" s="62">
        <f>'BDEQ-BDESC-commercial-o'!R9</f>
        <v/>
      </c>
      <c r="S10" s="62">
        <f>'BDEQ-BDESC-commercial-o'!S9</f>
        <v/>
      </c>
      <c r="T10" s="62">
        <f>'BDEQ-BDESC-commercial-o'!T9</f>
        <v/>
      </c>
      <c r="U10" s="62">
        <f>'BDEQ-BDESC-commercial-o'!U9</f>
        <v/>
      </c>
      <c r="V10" s="62">
        <f>'BDEQ-BDESC-commercial-o'!V9</f>
        <v/>
      </c>
      <c r="W10" s="62">
        <f>'BDEQ-BDESC-commercial-o'!W9</f>
        <v/>
      </c>
      <c r="X10" s="62">
        <f>'BDEQ-BDESC-commercial-o'!X9</f>
        <v/>
      </c>
      <c r="Y10" s="62">
        <f>'BDEQ-BDESC-commercial-o'!Y9</f>
        <v/>
      </c>
      <c r="Z10" s="62">
        <f>'BDEQ-BDESC-commercial-o'!Z9</f>
        <v/>
      </c>
      <c r="AA10" s="62">
        <f>'BDEQ-BDESC-commercial-o'!AA9</f>
        <v/>
      </c>
      <c r="AB10" s="62">
        <f>'BDEQ-BDESC-commercial-o'!AB9</f>
        <v/>
      </c>
      <c r="AC10" s="62">
        <f>'BDEQ-BDESC-commercial-o'!AC9</f>
        <v/>
      </c>
      <c r="AD10" s="62">
        <f>'BDEQ-BDESC-commercial-o'!AD9</f>
        <v/>
      </c>
      <c r="AE10" s="62">
        <f>'BDEQ-BDESC-commercial-o'!AE9</f>
        <v/>
      </c>
      <c r="AF10" s="62">
        <f>'BDEQ-BDESC-commercial-o'!AF9</f>
        <v/>
      </c>
    </row>
    <row r="11" ht="14.25" customHeight="1" s="74">
      <c r="A11" s="7" t="inlineStr">
        <is>
          <t>geothermal</t>
        </is>
      </c>
      <c r="B11" s="62">
        <f>'BDEQ-BDESC-commercial-o'!B10</f>
        <v/>
      </c>
      <c r="C11" s="62">
        <f>'BDEQ-BDESC-commercial-o'!C10</f>
        <v/>
      </c>
      <c r="D11" s="62">
        <f>'BDEQ-BDESC-commercial-o'!D10</f>
        <v/>
      </c>
      <c r="E11" s="62">
        <f>'BDEQ-BDESC-commercial-o'!E10</f>
        <v/>
      </c>
      <c r="F11" s="62">
        <f>'BDEQ-BDESC-commercial-o'!F10</f>
        <v/>
      </c>
      <c r="G11" s="62">
        <f>'BDEQ-BDESC-commercial-o'!G10</f>
        <v/>
      </c>
      <c r="H11" s="62">
        <f>'BDEQ-BDESC-commercial-o'!H10</f>
        <v/>
      </c>
      <c r="I11" s="62">
        <f>'BDEQ-BDESC-commercial-o'!I10</f>
        <v/>
      </c>
      <c r="J11" s="62">
        <f>'BDEQ-BDESC-commercial-o'!J10</f>
        <v/>
      </c>
      <c r="K11" s="62">
        <f>'BDEQ-BDESC-commercial-o'!K10</f>
        <v/>
      </c>
      <c r="L11" s="62">
        <f>'BDEQ-BDESC-commercial-o'!L10</f>
        <v/>
      </c>
      <c r="M11" s="62">
        <f>'BDEQ-BDESC-commercial-o'!M10</f>
        <v/>
      </c>
      <c r="N11" s="62">
        <f>'BDEQ-BDESC-commercial-o'!N10</f>
        <v/>
      </c>
      <c r="O11" s="62">
        <f>'BDEQ-BDESC-commercial-o'!O10</f>
        <v/>
      </c>
      <c r="P11" s="62">
        <f>'BDEQ-BDESC-commercial-o'!P10</f>
        <v/>
      </c>
      <c r="Q11" s="62">
        <f>'BDEQ-BDESC-commercial-o'!Q10</f>
        <v/>
      </c>
      <c r="R11" s="62">
        <f>'BDEQ-BDESC-commercial-o'!R10</f>
        <v/>
      </c>
      <c r="S11" s="62">
        <f>'BDEQ-BDESC-commercial-o'!S10</f>
        <v/>
      </c>
      <c r="T11" s="62">
        <f>'BDEQ-BDESC-commercial-o'!T10</f>
        <v/>
      </c>
      <c r="U11" s="62">
        <f>'BDEQ-BDESC-commercial-o'!U10</f>
        <v/>
      </c>
      <c r="V11" s="62">
        <f>'BDEQ-BDESC-commercial-o'!V10</f>
        <v/>
      </c>
      <c r="W11" s="62">
        <f>'BDEQ-BDESC-commercial-o'!W10</f>
        <v/>
      </c>
      <c r="X11" s="62">
        <f>'BDEQ-BDESC-commercial-o'!X10</f>
        <v/>
      </c>
      <c r="Y11" s="62">
        <f>'BDEQ-BDESC-commercial-o'!Y10</f>
        <v/>
      </c>
      <c r="Z11" s="62">
        <f>'BDEQ-BDESC-commercial-o'!Z10</f>
        <v/>
      </c>
      <c r="AA11" s="62">
        <f>'BDEQ-BDESC-commercial-o'!AA10</f>
        <v/>
      </c>
      <c r="AB11" s="62">
        <f>'BDEQ-BDESC-commercial-o'!AB10</f>
        <v/>
      </c>
      <c r="AC11" s="62">
        <f>'BDEQ-BDESC-commercial-o'!AC10</f>
        <v/>
      </c>
      <c r="AD11" s="62">
        <f>'BDEQ-BDESC-commercial-o'!AD10</f>
        <v/>
      </c>
      <c r="AE11" s="62">
        <f>'BDEQ-BDESC-commercial-o'!AE10</f>
        <v/>
      </c>
      <c r="AF11" s="62">
        <f>'BDEQ-BDESC-commercial-o'!AF10</f>
        <v/>
      </c>
    </row>
    <row r="12" ht="14.25" customHeight="1" s="74">
      <c r="A12" s="7" t="inlineStr">
        <is>
          <t>petroleum</t>
        </is>
      </c>
      <c r="B12" s="62">
        <f>'BDEQ-BDESC-commercial-o'!B11</f>
        <v/>
      </c>
      <c r="C12" s="62">
        <f>'BDEQ-BDESC-commercial-o'!C11</f>
        <v/>
      </c>
      <c r="D12" s="62">
        <f>'BDEQ-BDESC-commercial-o'!D11</f>
        <v/>
      </c>
      <c r="E12" s="62">
        <f>'BDEQ-BDESC-commercial-o'!E11</f>
        <v/>
      </c>
      <c r="F12" s="62">
        <f>'BDEQ-BDESC-commercial-o'!F11</f>
        <v/>
      </c>
      <c r="G12" s="62">
        <f>'BDEQ-BDESC-commercial-o'!G11</f>
        <v/>
      </c>
      <c r="H12" s="62">
        <f>'BDEQ-BDESC-commercial-o'!H11</f>
        <v/>
      </c>
      <c r="I12" s="62">
        <f>'BDEQ-BDESC-commercial-o'!I11</f>
        <v/>
      </c>
      <c r="J12" s="62">
        <f>'BDEQ-BDESC-commercial-o'!J11</f>
        <v/>
      </c>
      <c r="K12" s="62">
        <f>'BDEQ-BDESC-commercial-o'!K11</f>
        <v/>
      </c>
      <c r="L12" s="62">
        <f>'BDEQ-BDESC-commercial-o'!L11</f>
        <v/>
      </c>
      <c r="M12" s="62">
        <f>'BDEQ-BDESC-commercial-o'!M11</f>
        <v/>
      </c>
      <c r="N12" s="62">
        <f>'BDEQ-BDESC-commercial-o'!N11</f>
        <v/>
      </c>
      <c r="O12" s="62">
        <f>'BDEQ-BDESC-commercial-o'!O11</f>
        <v/>
      </c>
      <c r="P12" s="62">
        <f>'BDEQ-BDESC-commercial-o'!P11</f>
        <v/>
      </c>
      <c r="Q12" s="62">
        <f>'BDEQ-BDESC-commercial-o'!Q11</f>
        <v/>
      </c>
      <c r="R12" s="62">
        <f>'BDEQ-BDESC-commercial-o'!R11</f>
        <v/>
      </c>
      <c r="S12" s="62">
        <f>'BDEQ-BDESC-commercial-o'!S11</f>
        <v/>
      </c>
      <c r="T12" s="62">
        <f>'BDEQ-BDESC-commercial-o'!T11</f>
        <v/>
      </c>
      <c r="U12" s="62">
        <f>'BDEQ-BDESC-commercial-o'!U11</f>
        <v/>
      </c>
      <c r="V12" s="62">
        <f>'BDEQ-BDESC-commercial-o'!V11</f>
        <v/>
      </c>
      <c r="W12" s="62">
        <f>'BDEQ-BDESC-commercial-o'!W11</f>
        <v/>
      </c>
      <c r="X12" s="62">
        <f>'BDEQ-BDESC-commercial-o'!X11</f>
        <v/>
      </c>
      <c r="Y12" s="62">
        <f>'BDEQ-BDESC-commercial-o'!Y11</f>
        <v/>
      </c>
      <c r="Z12" s="62">
        <f>'BDEQ-BDESC-commercial-o'!Z11</f>
        <v/>
      </c>
      <c r="AA12" s="62">
        <f>'BDEQ-BDESC-commercial-o'!AA11</f>
        <v/>
      </c>
      <c r="AB12" s="62">
        <f>'BDEQ-BDESC-commercial-o'!AB11</f>
        <v/>
      </c>
      <c r="AC12" s="62">
        <f>'BDEQ-BDESC-commercial-o'!AC11</f>
        <v/>
      </c>
      <c r="AD12" s="62">
        <f>'BDEQ-BDESC-commercial-o'!AD11</f>
        <v/>
      </c>
      <c r="AE12" s="62">
        <f>'BDEQ-BDESC-commercial-o'!AE11</f>
        <v/>
      </c>
      <c r="AF12" s="62">
        <f>'BDEQ-BDESC-commercial-o'!AF11</f>
        <v/>
      </c>
    </row>
    <row r="13" ht="14.25" customHeight="1" s="74">
      <c r="A13" s="7" t="inlineStr">
        <is>
          <t>natural gas peaker</t>
        </is>
      </c>
      <c r="B13" s="62">
        <f>'BDEQ-BDESC-commercial-o'!B12</f>
        <v/>
      </c>
      <c r="C13" s="62">
        <f>'BDEQ-BDESC-commercial-o'!C12</f>
        <v/>
      </c>
      <c r="D13" s="62">
        <f>'BDEQ-BDESC-commercial-o'!D12</f>
        <v/>
      </c>
      <c r="E13" s="62">
        <f>'BDEQ-BDESC-commercial-o'!E12</f>
        <v/>
      </c>
      <c r="F13" s="62">
        <f>'BDEQ-BDESC-commercial-o'!F12</f>
        <v/>
      </c>
      <c r="G13" s="62">
        <f>'BDEQ-BDESC-commercial-o'!G12</f>
        <v/>
      </c>
      <c r="H13" s="62">
        <f>'BDEQ-BDESC-commercial-o'!H12</f>
        <v/>
      </c>
      <c r="I13" s="62">
        <f>'BDEQ-BDESC-commercial-o'!I12</f>
        <v/>
      </c>
      <c r="J13" s="62">
        <f>'BDEQ-BDESC-commercial-o'!J12</f>
        <v/>
      </c>
      <c r="K13" s="62">
        <f>'BDEQ-BDESC-commercial-o'!K12</f>
        <v/>
      </c>
      <c r="L13" s="62">
        <f>'BDEQ-BDESC-commercial-o'!L12</f>
        <v/>
      </c>
      <c r="M13" s="62">
        <f>'BDEQ-BDESC-commercial-o'!M12</f>
        <v/>
      </c>
      <c r="N13" s="62">
        <f>'BDEQ-BDESC-commercial-o'!N12</f>
        <v/>
      </c>
      <c r="O13" s="62">
        <f>'BDEQ-BDESC-commercial-o'!O12</f>
        <v/>
      </c>
      <c r="P13" s="62">
        <f>'BDEQ-BDESC-commercial-o'!P12</f>
        <v/>
      </c>
      <c r="Q13" s="62">
        <f>'BDEQ-BDESC-commercial-o'!Q12</f>
        <v/>
      </c>
      <c r="R13" s="62">
        <f>'BDEQ-BDESC-commercial-o'!R12</f>
        <v/>
      </c>
      <c r="S13" s="62">
        <f>'BDEQ-BDESC-commercial-o'!S12</f>
        <v/>
      </c>
      <c r="T13" s="62">
        <f>'BDEQ-BDESC-commercial-o'!T12</f>
        <v/>
      </c>
      <c r="U13" s="62">
        <f>'BDEQ-BDESC-commercial-o'!U12</f>
        <v/>
      </c>
      <c r="V13" s="62">
        <f>'BDEQ-BDESC-commercial-o'!V12</f>
        <v/>
      </c>
      <c r="W13" s="62">
        <f>'BDEQ-BDESC-commercial-o'!W12</f>
        <v/>
      </c>
      <c r="X13" s="62">
        <f>'BDEQ-BDESC-commercial-o'!X12</f>
        <v/>
      </c>
      <c r="Y13" s="62">
        <f>'BDEQ-BDESC-commercial-o'!Y12</f>
        <v/>
      </c>
      <c r="Z13" s="62">
        <f>'BDEQ-BDESC-commercial-o'!Z12</f>
        <v/>
      </c>
      <c r="AA13" s="62">
        <f>'BDEQ-BDESC-commercial-o'!AA12</f>
        <v/>
      </c>
      <c r="AB13" s="62">
        <f>'BDEQ-BDESC-commercial-o'!AB12</f>
        <v/>
      </c>
      <c r="AC13" s="62">
        <f>'BDEQ-BDESC-commercial-o'!AC12</f>
        <v/>
      </c>
      <c r="AD13" s="62">
        <f>'BDEQ-BDESC-commercial-o'!AD12</f>
        <v/>
      </c>
      <c r="AE13" s="62">
        <f>'BDEQ-BDESC-commercial-o'!AE12</f>
        <v/>
      </c>
      <c r="AF13" s="62">
        <f>'BDEQ-BDESC-commercial-o'!AF12</f>
        <v/>
      </c>
    </row>
    <row r="14" ht="14.25" customHeight="1" s="74">
      <c r="A14" s="7" t="inlineStr">
        <is>
          <t>lignite</t>
        </is>
      </c>
      <c r="B14" s="62">
        <f>'BDEQ-BDESC-commercial-o'!B13</f>
        <v/>
      </c>
      <c r="C14" s="62">
        <f>'BDEQ-BDESC-commercial-o'!C13</f>
        <v/>
      </c>
      <c r="D14" s="62">
        <f>'BDEQ-BDESC-commercial-o'!D13</f>
        <v/>
      </c>
      <c r="E14" s="62">
        <f>'BDEQ-BDESC-commercial-o'!E13</f>
        <v/>
      </c>
      <c r="F14" s="62">
        <f>'BDEQ-BDESC-commercial-o'!F13</f>
        <v/>
      </c>
      <c r="G14" s="62">
        <f>'BDEQ-BDESC-commercial-o'!G13</f>
        <v/>
      </c>
      <c r="H14" s="62">
        <f>'BDEQ-BDESC-commercial-o'!H13</f>
        <v/>
      </c>
      <c r="I14" s="62">
        <f>'BDEQ-BDESC-commercial-o'!I13</f>
        <v/>
      </c>
      <c r="J14" s="62">
        <f>'BDEQ-BDESC-commercial-o'!J13</f>
        <v/>
      </c>
      <c r="K14" s="62">
        <f>'BDEQ-BDESC-commercial-o'!K13</f>
        <v/>
      </c>
      <c r="L14" s="62">
        <f>'BDEQ-BDESC-commercial-o'!L13</f>
        <v/>
      </c>
      <c r="M14" s="62">
        <f>'BDEQ-BDESC-commercial-o'!M13</f>
        <v/>
      </c>
      <c r="N14" s="62">
        <f>'BDEQ-BDESC-commercial-o'!N13</f>
        <v/>
      </c>
      <c r="O14" s="62">
        <f>'BDEQ-BDESC-commercial-o'!O13</f>
        <v/>
      </c>
      <c r="P14" s="62">
        <f>'BDEQ-BDESC-commercial-o'!P13</f>
        <v/>
      </c>
      <c r="Q14" s="62">
        <f>'BDEQ-BDESC-commercial-o'!Q13</f>
        <v/>
      </c>
      <c r="R14" s="62">
        <f>'BDEQ-BDESC-commercial-o'!R13</f>
        <v/>
      </c>
      <c r="S14" s="62">
        <f>'BDEQ-BDESC-commercial-o'!S13</f>
        <v/>
      </c>
      <c r="T14" s="62">
        <f>'BDEQ-BDESC-commercial-o'!T13</f>
        <v/>
      </c>
      <c r="U14" s="62">
        <f>'BDEQ-BDESC-commercial-o'!U13</f>
        <v/>
      </c>
      <c r="V14" s="62">
        <f>'BDEQ-BDESC-commercial-o'!V13</f>
        <v/>
      </c>
      <c r="W14" s="62">
        <f>'BDEQ-BDESC-commercial-o'!W13</f>
        <v/>
      </c>
      <c r="X14" s="62">
        <f>'BDEQ-BDESC-commercial-o'!X13</f>
        <v/>
      </c>
      <c r="Y14" s="62">
        <f>'BDEQ-BDESC-commercial-o'!Y13</f>
        <v/>
      </c>
      <c r="Z14" s="62">
        <f>'BDEQ-BDESC-commercial-o'!Z13</f>
        <v/>
      </c>
      <c r="AA14" s="62">
        <f>'BDEQ-BDESC-commercial-o'!AA13</f>
        <v/>
      </c>
      <c r="AB14" s="62">
        <f>'BDEQ-BDESC-commercial-o'!AB13</f>
        <v/>
      </c>
      <c r="AC14" s="62">
        <f>'BDEQ-BDESC-commercial-o'!AC13</f>
        <v/>
      </c>
      <c r="AD14" s="62">
        <f>'BDEQ-BDESC-commercial-o'!AD13</f>
        <v/>
      </c>
      <c r="AE14" s="62">
        <f>'BDEQ-BDESC-commercial-o'!AE13</f>
        <v/>
      </c>
      <c r="AF14" s="62">
        <f>'BDEQ-BDESC-commercial-o'!AF13</f>
        <v/>
      </c>
    </row>
    <row r="15" ht="14.25" customHeight="1" s="74">
      <c r="A15" s="7" t="inlineStr">
        <is>
          <t>offshore wind</t>
        </is>
      </c>
      <c r="B15" s="62">
        <f>'BDEQ-BDESC-commercial-o'!B14</f>
        <v/>
      </c>
      <c r="C15" s="62">
        <f>'BDEQ-BDESC-commercial-o'!C14</f>
        <v/>
      </c>
      <c r="D15" s="62">
        <f>'BDEQ-BDESC-commercial-o'!D14</f>
        <v/>
      </c>
      <c r="E15" s="62">
        <f>'BDEQ-BDESC-commercial-o'!E14</f>
        <v/>
      </c>
      <c r="F15" s="62">
        <f>'BDEQ-BDESC-commercial-o'!F14</f>
        <v/>
      </c>
      <c r="G15" s="62">
        <f>'BDEQ-BDESC-commercial-o'!G14</f>
        <v/>
      </c>
      <c r="H15" s="62">
        <f>'BDEQ-BDESC-commercial-o'!H14</f>
        <v/>
      </c>
      <c r="I15" s="62">
        <f>'BDEQ-BDESC-commercial-o'!I14</f>
        <v/>
      </c>
      <c r="J15" s="62">
        <f>'BDEQ-BDESC-commercial-o'!J14</f>
        <v/>
      </c>
      <c r="K15" s="62">
        <f>'BDEQ-BDESC-commercial-o'!K14</f>
        <v/>
      </c>
      <c r="L15" s="62">
        <f>'BDEQ-BDESC-commercial-o'!L14</f>
        <v/>
      </c>
      <c r="M15" s="62">
        <f>'BDEQ-BDESC-commercial-o'!M14</f>
        <v/>
      </c>
      <c r="N15" s="62">
        <f>'BDEQ-BDESC-commercial-o'!N14</f>
        <v/>
      </c>
      <c r="O15" s="62">
        <f>'BDEQ-BDESC-commercial-o'!O14</f>
        <v/>
      </c>
      <c r="P15" s="62">
        <f>'BDEQ-BDESC-commercial-o'!P14</f>
        <v/>
      </c>
      <c r="Q15" s="62">
        <f>'BDEQ-BDESC-commercial-o'!Q14</f>
        <v/>
      </c>
      <c r="R15" s="62">
        <f>'BDEQ-BDESC-commercial-o'!R14</f>
        <v/>
      </c>
      <c r="S15" s="62">
        <f>'BDEQ-BDESC-commercial-o'!S14</f>
        <v/>
      </c>
      <c r="T15" s="62">
        <f>'BDEQ-BDESC-commercial-o'!T14</f>
        <v/>
      </c>
      <c r="U15" s="62">
        <f>'BDEQ-BDESC-commercial-o'!U14</f>
        <v/>
      </c>
      <c r="V15" s="62">
        <f>'BDEQ-BDESC-commercial-o'!V14</f>
        <v/>
      </c>
      <c r="W15" s="62">
        <f>'BDEQ-BDESC-commercial-o'!W14</f>
        <v/>
      </c>
      <c r="X15" s="62">
        <f>'BDEQ-BDESC-commercial-o'!X14</f>
        <v/>
      </c>
      <c r="Y15" s="62">
        <f>'BDEQ-BDESC-commercial-o'!Y14</f>
        <v/>
      </c>
      <c r="Z15" s="62">
        <f>'BDEQ-BDESC-commercial-o'!Z14</f>
        <v/>
      </c>
      <c r="AA15" s="62">
        <f>'BDEQ-BDESC-commercial-o'!AA14</f>
        <v/>
      </c>
      <c r="AB15" s="62">
        <f>'BDEQ-BDESC-commercial-o'!AB14</f>
        <v/>
      </c>
      <c r="AC15" s="62">
        <f>'BDEQ-BDESC-commercial-o'!AC14</f>
        <v/>
      </c>
      <c r="AD15" s="62">
        <f>'BDEQ-BDESC-commercial-o'!AD14</f>
        <v/>
      </c>
      <c r="AE15" s="62">
        <f>'BDEQ-BDESC-commercial-o'!AE14</f>
        <v/>
      </c>
      <c r="AF15" s="62">
        <f>'BDEQ-BDESC-commercial-o'!AF14</f>
        <v/>
      </c>
    </row>
    <row r="16" ht="14.25" customHeight="1" s="74">
      <c r="A16" s="7" t="inlineStr">
        <is>
          <t>crude oil</t>
        </is>
      </c>
      <c r="B16" s="62">
        <f>'BDEQ-BDESC-commercial-o'!B15</f>
        <v/>
      </c>
      <c r="C16" s="62">
        <f>'BDEQ-BDESC-commercial-o'!C15</f>
        <v/>
      </c>
      <c r="D16" s="62">
        <f>'BDEQ-BDESC-commercial-o'!D15</f>
        <v/>
      </c>
      <c r="E16" s="62">
        <f>'BDEQ-BDESC-commercial-o'!E15</f>
        <v/>
      </c>
      <c r="F16" s="62">
        <f>'BDEQ-BDESC-commercial-o'!F15</f>
        <v/>
      </c>
      <c r="G16" s="62">
        <f>'BDEQ-BDESC-commercial-o'!G15</f>
        <v/>
      </c>
      <c r="H16" s="62">
        <f>'BDEQ-BDESC-commercial-o'!H15</f>
        <v/>
      </c>
      <c r="I16" s="62">
        <f>'BDEQ-BDESC-commercial-o'!I15</f>
        <v/>
      </c>
      <c r="J16" s="62">
        <f>'BDEQ-BDESC-commercial-o'!J15</f>
        <v/>
      </c>
      <c r="K16" s="62">
        <f>'BDEQ-BDESC-commercial-o'!K15</f>
        <v/>
      </c>
      <c r="L16" s="62">
        <f>'BDEQ-BDESC-commercial-o'!L15</f>
        <v/>
      </c>
      <c r="M16" s="62">
        <f>'BDEQ-BDESC-commercial-o'!M15</f>
        <v/>
      </c>
      <c r="N16" s="62">
        <f>'BDEQ-BDESC-commercial-o'!N15</f>
        <v/>
      </c>
      <c r="O16" s="62">
        <f>'BDEQ-BDESC-commercial-o'!O15</f>
        <v/>
      </c>
      <c r="P16" s="62">
        <f>'BDEQ-BDESC-commercial-o'!P15</f>
        <v/>
      </c>
      <c r="Q16" s="62">
        <f>'BDEQ-BDESC-commercial-o'!Q15</f>
        <v/>
      </c>
      <c r="R16" s="62">
        <f>'BDEQ-BDESC-commercial-o'!R15</f>
        <v/>
      </c>
      <c r="S16" s="62">
        <f>'BDEQ-BDESC-commercial-o'!S15</f>
        <v/>
      </c>
      <c r="T16" s="62">
        <f>'BDEQ-BDESC-commercial-o'!T15</f>
        <v/>
      </c>
      <c r="U16" s="62">
        <f>'BDEQ-BDESC-commercial-o'!U15</f>
        <v/>
      </c>
      <c r="V16" s="62">
        <f>'BDEQ-BDESC-commercial-o'!V15</f>
        <v/>
      </c>
      <c r="W16" s="62">
        <f>'BDEQ-BDESC-commercial-o'!W15</f>
        <v/>
      </c>
      <c r="X16" s="62">
        <f>'BDEQ-BDESC-commercial-o'!X15</f>
        <v/>
      </c>
      <c r="Y16" s="62">
        <f>'BDEQ-BDESC-commercial-o'!Y15</f>
        <v/>
      </c>
      <c r="Z16" s="62">
        <f>'BDEQ-BDESC-commercial-o'!Z15</f>
        <v/>
      </c>
      <c r="AA16" s="62">
        <f>'BDEQ-BDESC-commercial-o'!AA15</f>
        <v/>
      </c>
      <c r="AB16" s="62">
        <f>'BDEQ-BDESC-commercial-o'!AB15</f>
        <v/>
      </c>
      <c r="AC16" s="62">
        <f>'BDEQ-BDESC-commercial-o'!AC15</f>
        <v/>
      </c>
      <c r="AD16" s="62">
        <f>'BDEQ-BDESC-commercial-o'!AD15</f>
        <v/>
      </c>
      <c r="AE16" s="62">
        <f>'BDEQ-BDESC-commercial-o'!AE15</f>
        <v/>
      </c>
      <c r="AF16" s="62">
        <f>'BDEQ-BDESC-commercial-o'!AF15</f>
        <v/>
      </c>
    </row>
    <row r="17" ht="14.25" customHeight="1" s="74">
      <c r="A17" s="7" t="inlineStr">
        <is>
          <t>heavy or residual fuel oil</t>
        </is>
      </c>
      <c r="B17" s="62">
        <f>'BDEQ-BDESC-commercial-o'!B16</f>
        <v/>
      </c>
      <c r="C17" s="62">
        <f>'BDEQ-BDESC-commercial-o'!C16</f>
        <v/>
      </c>
      <c r="D17" s="62">
        <f>'BDEQ-BDESC-commercial-o'!D16</f>
        <v/>
      </c>
      <c r="E17" s="62">
        <f>'BDEQ-BDESC-commercial-o'!E16</f>
        <v/>
      </c>
      <c r="F17" s="62">
        <f>'BDEQ-BDESC-commercial-o'!F16</f>
        <v/>
      </c>
      <c r="G17" s="62">
        <f>'BDEQ-BDESC-commercial-o'!G16</f>
        <v/>
      </c>
      <c r="H17" s="62">
        <f>'BDEQ-BDESC-commercial-o'!H16</f>
        <v/>
      </c>
      <c r="I17" s="62">
        <f>'BDEQ-BDESC-commercial-o'!I16</f>
        <v/>
      </c>
      <c r="J17" s="62">
        <f>'BDEQ-BDESC-commercial-o'!J16</f>
        <v/>
      </c>
      <c r="K17" s="62">
        <f>'BDEQ-BDESC-commercial-o'!K16</f>
        <v/>
      </c>
      <c r="L17" s="62">
        <f>'BDEQ-BDESC-commercial-o'!L16</f>
        <v/>
      </c>
      <c r="M17" s="62">
        <f>'BDEQ-BDESC-commercial-o'!M16</f>
        <v/>
      </c>
      <c r="N17" s="62">
        <f>'BDEQ-BDESC-commercial-o'!N16</f>
        <v/>
      </c>
      <c r="O17" s="62">
        <f>'BDEQ-BDESC-commercial-o'!O16</f>
        <v/>
      </c>
      <c r="P17" s="62">
        <f>'BDEQ-BDESC-commercial-o'!P16</f>
        <v/>
      </c>
      <c r="Q17" s="62">
        <f>'BDEQ-BDESC-commercial-o'!Q16</f>
        <v/>
      </c>
      <c r="R17" s="62">
        <f>'BDEQ-BDESC-commercial-o'!R16</f>
        <v/>
      </c>
      <c r="S17" s="62">
        <f>'BDEQ-BDESC-commercial-o'!S16</f>
        <v/>
      </c>
      <c r="T17" s="62">
        <f>'BDEQ-BDESC-commercial-o'!T16</f>
        <v/>
      </c>
      <c r="U17" s="62">
        <f>'BDEQ-BDESC-commercial-o'!U16</f>
        <v/>
      </c>
      <c r="V17" s="62">
        <f>'BDEQ-BDESC-commercial-o'!V16</f>
        <v/>
      </c>
      <c r="W17" s="62">
        <f>'BDEQ-BDESC-commercial-o'!W16</f>
        <v/>
      </c>
      <c r="X17" s="62">
        <f>'BDEQ-BDESC-commercial-o'!X16</f>
        <v/>
      </c>
      <c r="Y17" s="62">
        <f>'BDEQ-BDESC-commercial-o'!Y16</f>
        <v/>
      </c>
      <c r="Z17" s="62">
        <f>'BDEQ-BDESC-commercial-o'!Z16</f>
        <v/>
      </c>
      <c r="AA17" s="62">
        <f>'BDEQ-BDESC-commercial-o'!AA16</f>
        <v/>
      </c>
      <c r="AB17" s="62">
        <f>'BDEQ-BDESC-commercial-o'!AB16</f>
        <v/>
      </c>
      <c r="AC17" s="62">
        <f>'BDEQ-BDESC-commercial-o'!AC16</f>
        <v/>
      </c>
      <c r="AD17" s="62">
        <f>'BDEQ-BDESC-commercial-o'!AD16</f>
        <v/>
      </c>
      <c r="AE17" s="62">
        <f>'BDEQ-BDESC-commercial-o'!AE16</f>
        <v/>
      </c>
      <c r="AF17" s="62">
        <f>'BDEQ-BDESC-commercial-o'!AF16</f>
        <v/>
      </c>
    </row>
    <row r="18" ht="14.25" customHeight="1" s="74">
      <c r="A18" s="7" t="inlineStr">
        <is>
          <t>municipal solid waste</t>
        </is>
      </c>
      <c r="B18" s="62">
        <f>'BDEQ-BDESC-commercial-o'!B17</f>
        <v/>
      </c>
      <c r="C18" s="62">
        <f>'BDEQ-BDESC-commercial-o'!C17</f>
        <v/>
      </c>
      <c r="D18" s="62">
        <f>'BDEQ-BDESC-commercial-o'!D17</f>
        <v/>
      </c>
      <c r="E18" s="62">
        <f>'BDEQ-BDESC-commercial-o'!E17</f>
        <v/>
      </c>
      <c r="F18" s="62">
        <f>'BDEQ-BDESC-commercial-o'!F17</f>
        <v/>
      </c>
      <c r="G18" s="62">
        <f>'BDEQ-BDESC-commercial-o'!G17</f>
        <v/>
      </c>
      <c r="H18" s="62">
        <f>'BDEQ-BDESC-commercial-o'!H17</f>
        <v/>
      </c>
      <c r="I18" s="62">
        <f>'BDEQ-BDESC-commercial-o'!I17</f>
        <v/>
      </c>
      <c r="J18" s="62">
        <f>'BDEQ-BDESC-commercial-o'!J17</f>
        <v/>
      </c>
      <c r="K18" s="62">
        <f>'BDEQ-BDESC-commercial-o'!K17</f>
        <v/>
      </c>
      <c r="L18" s="62">
        <f>'BDEQ-BDESC-commercial-o'!L17</f>
        <v/>
      </c>
      <c r="M18" s="62">
        <f>'BDEQ-BDESC-commercial-o'!M17</f>
        <v/>
      </c>
      <c r="N18" s="62">
        <f>'BDEQ-BDESC-commercial-o'!N17</f>
        <v/>
      </c>
      <c r="O18" s="62">
        <f>'BDEQ-BDESC-commercial-o'!O17</f>
        <v/>
      </c>
      <c r="P18" s="62">
        <f>'BDEQ-BDESC-commercial-o'!P17</f>
        <v/>
      </c>
      <c r="Q18" s="62">
        <f>'BDEQ-BDESC-commercial-o'!Q17</f>
        <v/>
      </c>
      <c r="R18" s="62">
        <f>'BDEQ-BDESC-commercial-o'!R17</f>
        <v/>
      </c>
      <c r="S18" s="62">
        <f>'BDEQ-BDESC-commercial-o'!S17</f>
        <v/>
      </c>
      <c r="T18" s="62">
        <f>'BDEQ-BDESC-commercial-o'!T17</f>
        <v/>
      </c>
      <c r="U18" s="62">
        <f>'BDEQ-BDESC-commercial-o'!U17</f>
        <v/>
      </c>
      <c r="V18" s="62">
        <f>'BDEQ-BDESC-commercial-o'!V17</f>
        <v/>
      </c>
      <c r="W18" s="62">
        <f>'BDEQ-BDESC-commercial-o'!W17</f>
        <v/>
      </c>
      <c r="X18" s="62">
        <f>'BDEQ-BDESC-commercial-o'!X17</f>
        <v/>
      </c>
      <c r="Y18" s="62">
        <f>'BDEQ-BDESC-commercial-o'!Y17</f>
        <v/>
      </c>
      <c r="Z18" s="62">
        <f>'BDEQ-BDESC-commercial-o'!Z17</f>
        <v/>
      </c>
      <c r="AA18" s="62">
        <f>'BDEQ-BDESC-commercial-o'!AA17</f>
        <v/>
      </c>
      <c r="AB18" s="62">
        <f>'BDEQ-BDESC-commercial-o'!AB17</f>
        <v/>
      </c>
      <c r="AC18" s="62">
        <f>'BDEQ-BDESC-commercial-o'!AC17</f>
        <v/>
      </c>
      <c r="AD18" s="62">
        <f>'BDEQ-BDESC-commercial-o'!AD17</f>
        <v/>
      </c>
      <c r="AE18" s="62">
        <f>'BDEQ-BDESC-commercial-o'!AE17</f>
        <v/>
      </c>
      <c r="AF18" s="62">
        <f>'BDEQ-BDESC-commercial-o'!AF17</f>
        <v/>
      </c>
    </row>
    <row r="19" ht="14.25" customHeight="1" s="74">
      <c r="A19" s="64" t="inlineStr">
        <is>
          <t>hard coal w CCS</t>
        </is>
      </c>
      <c r="B19" s="62">
        <f>'BDEQ-BDESC-commercial-o'!B18</f>
        <v/>
      </c>
      <c r="C19" s="62">
        <f>'BDEQ-BDESC-commercial-o'!C18</f>
        <v/>
      </c>
      <c r="D19" s="62">
        <f>'BDEQ-BDESC-commercial-o'!D18</f>
        <v/>
      </c>
      <c r="E19" s="62">
        <f>'BDEQ-BDESC-commercial-o'!E18</f>
        <v/>
      </c>
      <c r="F19" s="62">
        <f>'BDEQ-BDESC-commercial-o'!F18</f>
        <v/>
      </c>
      <c r="G19" s="62">
        <f>'BDEQ-BDESC-commercial-o'!G18</f>
        <v/>
      </c>
      <c r="H19" s="62">
        <f>'BDEQ-BDESC-commercial-o'!H18</f>
        <v/>
      </c>
      <c r="I19" s="62">
        <f>'BDEQ-BDESC-commercial-o'!I18</f>
        <v/>
      </c>
      <c r="J19" s="62">
        <f>'BDEQ-BDESC-commercial-o'!J18</f>
        <v/>
      </c>
      <c r="K19" s="62">
        <f>'BDEQ-BDESC-commercial-o'!K18</f>
        <v/>
      </c>
      <c r="L19" s="62">
        <f>'BDEQ-BDESC-commercial-o'!L18</f>
        <v/>
      </c>
      <c r="M19" s="62">
        <f>'BDEQ-BDESC-commercial-o'!M18</f>
        <v/>
      </c>
      <c r="N19" s="62">
        <f>'BDEQ-BDESC-commercial-o'!N18</f>
        <v/>
      </c>
      <c r="O19" s="62">
        <f>'BDEQ-BDESC-commercial-o'!O18</f>
        <v/>
      </c>
      <c r="P19" s="62">
        <f>'BDEQ-BDESC-commercial-o'!P18</f>
        <v/>
      </c>
      <c r="Q19" s="62">
        <f>'BDEQ-BDESC-commercial-o'!Q18</f>
        <v/>
      </c>
      <c r="R19" s="62">
        <f>'BDEQ-BDESC-commercial-o'!R18</f>
        <v/>
      </c>
      <c r="S19" s="62">
        <f>'BDEQ-BDESC-commercial-o'!S18</f>
        <v/>
      </c>
      <c r="T19" s="62">
        <f>'BDEQ-BDESC-commercial-o'!T18</f>
        <v/>
      </c>
      <c r="U19" s="62">
        <f>'BDEQ-BDESC-commercial-o'!U18</f>
        <v/>
      </c>
      <c r="V19" s="62">
        <f>'BDEQ-BDESC-commercial-o'!V18</f>
        <v/>
      </c>
      <c r="W19" s="62">
        <f>'BDEQ-BDESC-commercial-o'!W18</f>
        <v/>
      </c>
      <c r="X19" s="62">
        <f>'BDEQ-BDESC-commercial-o'!X18</f>
        <v/>
      </c>
      <c r="Y19" s="62">
        <f>'BDEQ-BDESC-commercial-o'!Y18</f>
        <v/>
      </c>
      <c r="Z19" s="62">
        <f>'BDEQ-BDESC-commercial-o'!Z18</f>
        <v/>
      </c>
      <c r="AA19" s="62">
        <f>'BDEQ-BDESC-commercial-o'!AA18</f>
        <v/>
      </c>
      <c r="AB19" s="62">
        <f>'BDEQ-BDESC-commercial-o'!AB18</f>
        <v/>
      </c>
      <c r="AC19" s="62">
        <f>'BDEQ-BDESC-commercial-o'!AC18</f>
        <v/>
      </c>
      <c r="AD19" s="62">
        <f>'BDEQ-BDESC-commercial-o'!AD18</f>
        <v/>
      </c>
      <c r="AE19" s="62">
        <f>'BDEQ-BDESC-commercial-o'!AE18</f>
        <v/>
      </c>
      <c r="AF19" s="62">
        <f>'BDEQ-BDESC-commercial-o'!AF18</f>
        <v/>
      </c>
      <c r="AG19" s="65" t="n"/>
    </row>
    <row r="20" ht="14.25" customHeight="1" s="74">
      <c r="A20" s="64" t="inlineStr">
        <is>
          <t>natural gas combined cycle w CCS</t>
        </is>
      </c>
      <c r="B20" s="62">
        <f>'BDEQ-BDESC-commercial-o'!B19</f>
        <v/>
      </c>
      <c r="C20" s="62">
        <f>'BDEQ-BDESC-commercial-o'!C19</f>
        <v/>
      </c>
      <c r="D20" s="62">
        <f>'BDEQ-BDESC-commercial-o'!D19</f>
        <v/>
      </c>
      <c r="E20" s="62">
        <f>'BDEQ-BDESC-commercial-o'!E19</f>
        <v/>
      </c>
      <c r="F20" s="62">
        <f>'BDEQ-BDESC-commercial-o'!F19</f>
        <v/>
      </c>
      <c r="G20" s="62">
        <f>'BDEQ-BDESC-commercial-o'!G19</f>
        <v/>
      </c>
      <c r="H20" s="62">
        <f>'BDEQ-BDESC-commercial-o'!H19</f>
        <v/>
      </c>
      <c r="I20" s="62">
        <f>'BDEQ-BDESC-commercial-o'!I19</f>
        <v/>
      </c>
      <c r="J20" s="62">
        <f>'BDEQ-BDESC-commercial-o'!J19</f>
        <v/>
      </c>
      <c r="K20" s="62">
        <f>'BDEQ-BDESC-commercial-o'!K19</f>
        <v/>
      </c>
      <c r="L20" s="62">
        <f>'BDEQ-BDESC-commercial-o'!L19</f>
        <v/>
      </c>
      <c r="M20" s="62">
        <f>'BDEQ-BDESC-commercial-o'!M19</f>
        <v/>
      </c>
      <c r="N20" s="62">
        <f>'BDEQ-BDESC-commercial-o'!N19</f>
        <v/>
      </c>
      <c r="O20" s="62">
        <f>'BDEQ-BDESC-commercial-o'!O19</f>
        <v/>
      </c>
      <c r="P20" s="62">
        <f>'BDEQ-BDESC-commercial-o'!P19</f>
        <v/>
      </c>
      <c r="Q20" s="62">
        <f>'BDEQ-BDESC-commercial-o'!Q19</f>
        <v/>
      </c>
      <c r="R20" s="62">
        <f>'BDEQ-BDESC-commercial-o'!R19</f>
        <v/>
      </c>
      <c r="S20" s="62">
        <f>'BDEQ-BDESC-commercial-o'!S19</f>
        <v/>
      </c>
      <c r="T20" s="62">
        <f>'BDEQ-BDESC-commercial-o'!T19</f>
        <v/>
      </c>
      <c r="U20" s="62">
        <f>'BDEQ-BDESC-commercial-o'!U19</f>
        <v/>
      </c>
      <c r="V20" s="62">
        <f>'BDEQ-BDESC-commercial-o'!V19</f>
        <v/>
      </c>
      <c r="W20" s="62">
        <f>'BDEQ-BDESC-commercial-o'!W19</f>
        <v/>
      </c>
      <c r="X20" s="62">
        <f>'BDEQ-BDESC-commercial-o'!X19</f>
        <v/>
      </c>
      <c r="Y20" s="62">
        <f>'BDEQ-BDESC-commercial-o'!Y19</f>
        <v/>
      </c>
      <c r="Z20" s="62">
        <f>'BDEQ-BDESC-commercial-o'!Z19</f>
        <v/>
      </c>
      <c r="AA20" s="62">
        <f>'BDEQ-BDESC-commercial-o'!AA19</f>
        <v/>
      </c>
      <c r="AB20" s="62">
        <f>'BDEQ-BDESC-commercial-o'!AB19</f>
        <v/>
      </c>
      <c r="AC20" s="62">
        <f>'BDEQ-BDESC-commercial-o'!AC19</f>
        <v/>
      </c>
      <c r="AD20" s="62">
        <f>'BDEQ-BDESC-commercial-o'!AD19</f>
        <v/>
      </c>
      <c r="AE20" s="62">
        <f>'BDEQ-BDESC-commercial-o'!AE19</f>
        <v/>
      </c>
      <c r="AF20" s="62">
        <f>'BDEQ-BDESC-commercial-o'!AF19</f>
        <v/>
      </c>
      <c r="AG20" s="65" t="n"/>
    </row>
    <row r="21" ht="14.25" customHeight="1" s="74">
      <c r="A21" s="64" t="inlineStr">
        <is>
          <t>biomass w CCS</t>
        </is>
      </c>
      <c r="B21" s="62">
        <f>'BDEQ-BDESC-commercial-o'!B20</f>
        <v/>
      </c>
      <c r="C21" s="62">
        <f>'BDEQ-BDESC-commercial-o'!C20</f>
        <v/>
      </c>
      <c r="D21" s="62">
        <f>'BDEQ-BDESC-commercial-o'!D20</f>
        <v/>
      </c>
      <c r="E21" s="62">
        <f>'BDEQ-BDESC-commercial-o'!E20</f>
        <v/>
      </c>
      <c r="F21" s="62">
        <f>'BDEQ-BDESC-commercial-o'!F20</f>
        <v/>
      </c>
      <c r="G21" s="62">
        <f>'BDEQ-BDESC-commercial-o'!G20</f>
        <v/>
      </c>
      <c r="H21" s="62">
        <f>'BDEQ-BDESC-commercial-o'!H20</f>
        <v/>
      </c>
      <c r="I21" s="62">
        <f>'BDEQ-BDESC-commercial-o'!I20</f>
        <v/>
      </c>
      <c r="J21" s="62">
        <f>'BDEQ-BDESC-commercial-o'!J20</f>
        <v/>
      </c>
      <c r="K21" s="62">
        <f>'BDEQ-BDESC-commercial-o'!K20</f>
        <v/>
      </c>
      <c r="L21" s="62">
        <f>'BDEQ-BDESC-commercial-o'!L20</f>
        <v/>
      </c>
      <c r="M21" s="62">
        <f>'BDEQ-BDESC-commercial-o'!M20</f>
        <v/>
      </c>
      <c r="N21" s="62">
        <f>'BDEQ-BDESC-commercial-o'!N20</f>
        <v/>
      </c>
      <c r="O21" s="62">
        <f>'BDEQ-BDESC-commercial-o'!O20</f>
        <v/>
      </c>
      <c r="P21" s="62">
        <f>'BDEQ-BDESC-commercial-o'!P20</f>
        <v/>
      </c>
      <c r="Q21" s="62">
        <f>'BDEQ-BDESC-commercial-o'!Q20</f>
        <v/>
      </c>
      <c r="R21" s="62">
        <f>'BDEQ-BDESC-commercial-o'!R20</f>
        <v/>
      </c>
      <c r="S21" s="62">
        <f>'BDEQ-BDESC-commercial-o'!S20</f>
        <v/>
      </c>
      <c r="T21" s="62">
        <f>'BDEQ-BDESC-commercial-o'!T20</f>
        <v/>
      </c>
      <c r="U21" s="62">
        <f>'BDEQ-BDESC-commercial-o'!U20</f>
        <v/>
      </c>
      <c r="V21" s="62">
        <f>'BDEQ-BDESC-commercial-o'!V20</f>
        <v/>
      </c>
      <c r="W21" s="62">
        <f>'BDEQ-BDESC-commercial-o'!W20</f>
        <v/>
      </c>
      <c r="X21" s="62">
        <f>'BDEQ-BDESC-commercial-o'!X20</f>
        <v/>
      </c>
      <c r="Y21" s="62">
        <f>'BDEQ-BDESC-commercial-o'!Y20</f>
        <v/>
      </c>
      <c r="Z21" s="62">
        <f>'BDEQ-BDESC-commercial-o'!Z20</f>
        <v/>
      </c>
      <c r="AA21" s="62">
        <f>'BDEQ-BDESC-commercial-o'!AA20</f>
        <v/>
      </c>
      <c r="AB21" s="62">
        <f>'BDEQ-BDESC-commercial-o'!AB20</f>
        <v/>
      </c>
      <c r="AC21" s="62">
        <f>'BDEQ-BDESC-commercial-o'!AC20</f>
        <v/>
      </c>
      <c r="AD21" s="62">
        <f>'BDEQ-BDESC-commercial-o'!AD20</f>
        <v/>
      </c>
      <c r="AE21" s="62">
        <f>'BDEQ-BDESC-commercial-o'!AE20</f>
        <v/>
      </c>
      <c r="AF21" s="62">
        <f>'BDEQ-BDESC-commercial-o'!AF20</f>
        <v/>
      </c>
      <c r="AG21" s="65" t="n"/>
    </row>
    <row r="22" ht="14.25" customHeight="1" s="74">
      <c r="A22" s="64" t="inlineStr">
        <is>
          <t>lignite w CCS</t>
        </is>
      </c>
      <c r="B22" s="62">
        <f>'BDEQ-BDESC-commercial-o'!B21</f>
        <v/>
      </c>
      <c r="C22" s="62">
        <f>'BDEQ-BDESC-commercial-o'!C21</f>
        <v/>
      </c>
      <c r="D22" s="62">
        <f>'BDEQ-BDESC-commercial-o'!D21</f>
        <v/>
      </c>
      <c r="E22" s="62">
        <f>'BDEQ-BDESC-commercial-o'!E21</f>
        <v/>
      </c>
      <c r="F22" s="62">
        <f>'BDEQ-BDESC-commercial-o'!F21</f>
        <v/>
      </c>
      <c r="G22" s="62">
        <f>'BDEQ-BDESC-commercial-o'!G21</f>
        <v/>
      </c>
      <c r="H22" s="62">
        <f>'BDEQ-BDESC-commercial-o'!H21</f>
        <v/>
      </c>
      <c r="I22" s="62">
        <f>'BDEQ-BDESC-commercial-o'!I21</f>
        <v/>
      </c>
      <c r="J22" s="62">
        <f>'BDEQ-BDESC-commercial-o'!J21</f>
        <v/>
      </c>
      <c r="K22" s="62">
        <f>'BDEQ-BDESC-commercial-o'!K21</f>
        <v/>
      </c>
      <c r="L22" s="62">
        <f>'BDEQ-BDESC-commercial-o'!L21</f>
        <v/>
      </c>
      <c r="M22" s="62">
        <f>'BDEQ-BDESC-commercial-o'!M21</f>
        <v/>
      </c>
      <c r="N22" s="62">
        <f>'BDEQ-BDESC-commercial-o'!N21</f>
        <v/>
      </c>
      <c r="O22" s="62">
        <f>'BDEQ-BDESC-commercial-o'!O21</f>
        <v/>
      </c>
      <c r="P22" s="62">
        <f>'BDEQ-BDESC-commercial-o'!P21</f>
        <v/>
      </c>
      <c r="Q22" s="62">
        <f>'BDEQ-BDESC-commercial-o'!Q21</f>
        <v/>
      </c>
      <c r="R22" s="62">
        <f>'BDEQ-BDESC-commercial-o'!R21</f>
        <v/>
      </c>
      <c r="S22" s="62">
        <f>'BDEQ-BDESC-commercial-o'!S21</f>
        <v/>
      </c>
      <c r="T22" s="62">
        <f>'BDEQ-BDESC-commercial-o'!T21</f>
        <v/>
      </c>
      <c r="U22" s="62">
        <f>'BDEQ-BDESC-commercial-o'!U21</f>
        <v/>
      </c>
      <c r="V22" s="62">
        <f>'BDEQ-BDESC-commercial-o'!V21</f>
        <v/>
      </c>
      <c r="W22" s="62">
        <f>'BDEQ-BDESC-commercial-o'!W21</f>
        <v/>
      </c>
      <c r="X22" s="62">
        <f>'BDEQ-BDESC-commercial-o'!X21</f>
        <v/>
      </c>
      <c r="Y22" s="62">
        <f>'BDEQ-BDESC-commercial-o'!Y21</f>
        <v/>
      </c>
      <c r="Z22" s="62">
        <f>'BDEQ-BDESC-commercial-o'!Z21</f>
        <v/>
      </c>
      <c r="AA22" s="62">
        <f>'BDEQ-BDESC-commercial-o'!AA21</f>
        <v/>
      </c>
      <c r="AB22" s="62">
        <f>'BDEQ-BDESC-commercial-o'!AB21</f>
        <v/>
      </c>
      <c r="AC22" s="62">
        <f>'BDEQ-BDESC-commercial-o'!AC21</f>
        <v/>
      </c>
      <c r="AD22" s="62">
        <f>'BDEQ-BDESC-commercial-o'!AD21</f>
        <v/>
      </c>
      <c r="AE22" s="62">
        <f>'BDEQ-BDESC-commercial-o'!AE21</f>
        <v/>
      </c>
      <c r="AF22" s="62">
        <f>'BDEQ-BDESC-commercial-o'!AF21</f>
        <v/>
      </c>
      <c r="AG22" s="65" t="n"/>
    </row>
    <row r="23" ht="14.25" customHeight="1" s="74">
      <c r="A23" s="64" t="inlineStr">
        <is>
          <t>small modular reactor</t>
        </is>
      </c>
      <c r="B23" s="62">
        <f>'BDEQ-BDESC-commercial-o'!B22</f>
        <v/>
      </c>
      <c r="C23" s="62">
        <f>'BDEQ-BDESC-commercial-o'!C22</f>
        <v/>
      </c>
      <c r="D23" s="62">
        <f>'BDEQ-BDESC-commercial-o'!D22</f>
        <v/>
      </c>
      <c r="E23" s="62">
        <f>'BDEQ-BDESC-commercial-o'!E22</f>
        <v/>
      </c>
      <c r="F23" s="62">
        <f>'BDEQ-BDESC-commercial-o'!F22</f>
        <v/>
      </c>
      <c r="G23" s="62">
        <f>'BDEQ-BDESC-commercial-o'!G22</f>
        <v/>
      </c>
      <c r="H23" s="62">
        <f>'BDEQ-BDESC-commercial-o'!H22</f>
        <v/>
      </c>
      <c r="I23" s="62">
        <f>'BDEQ-BDESC-commercial-o'!I22</f>
        <v/>
      </c>
      <c r="J23" s="62">
        <f>'BDEQ-BDESC-commercial-o'!J22</f>
        <v/>
      </c>
      <c r="K23" s="62">
        <f>'BDEQ-BDESC-commercial-o'!K22</f>
        <v/>
      </c>
      <c r="L23" s="62">
        <f>'BDEQ-BDESC-commercial-o'!L22</f>
        <v/>
      </c>
      <c r="M23" s="62">
        <f>'BDEQ-BDESC-commercial-o'!M22</f>
        <v/>
      </c>
      <c r="N23" s="62">
        <f>'BDEQ-BDESC-commercial-o'!N22</f>
        <v/>
      </c>
      <c r="O23" s="62">
        <f>'BDEQ-BDESC-commercial-o'!O22</f>
        <v/>
      </c>
      <c r="P23" s="62">
        <f>'BDEQ-BDESC-commercial-o'!P22</f>
        <v/>
      </c>
      <c r="Q23" s="62">
        <f>'BDEQ-BDESC-commercial-o'!Q22</f>
        <v/>
      </c>
      <c r="R23" s="62">
        <f>'BDEQ-BDESC-commercial-o'!R22</f>
        <v/>
      </c>
      <c r="S23" s="62">
        <f>'BDEQ-BDESC-commercial-o'!S22</f>
        <v/>
      </c>
      <c r="T23" s="62">
        <f>'BDEQ-BDESC-commercial-o'!T22</f>
        <v/>
      </c>
      <c r="U23" s="62">
        <f>'BDEQ-BDESC-commercial-o'!U22</f>
        <v/>
      </c>
      <c r="V23" s="62">
        <f>'BDEQ-BDESC-commercial-o'!V22</f>
        <v/>
      </c>
      <c r="W23" s="62">
        <f>'BDEQ-BDESC-commercial-o'!W22</f>
        <v/>
      </c>
      <c r="X23" s="62">
        <f>'BDEQ-BDESC-commercial-o'!X22</f>
        <v/>
      </c>
      <c r="Y23" s="62">
        <f>'BDEQ-BDESC-commercial-o'!Y22</f>
        <v/>
      </c>
      <c r="Z23" s="62">
        <f>'BDEQ-BDESC-commercial-o'!Z22</f>
        <v/>
      </c>
      <c r="AA23" s="62">
        <f>'BDEQ-BDESC-commercial-o'!AA22</f>
        <v/>
      </c>
      <c r="AB23" s="62">
        <f>'BDEQ-BDESC-commercial-o'!AB22</f>
        <v/>
      </c>
      <c r="AC23" s="62">
        <f>'BDEQ-BDESC-commercial-o'!AC22</f>
        <v/>
      </c>
      <c r="AD23" s="62">
        <f>'BDEQ-BDESC-commercial-o'!AD22</f>
        <v/>
      </c>
      <c r="AE23" s="62">
        <f>'BDEQ-BDESC-commercial-o'!AE22</f>
        <v/>
      </c>
      <c r="AF23" s="62">
        <f>'BDEQ-BDESC-commercial-o'!AF22</f>
        <v/>
      </c>
      <c r="AG23" s="65" t="n"/>
    </row>
    <row r="24" ht="14.25" customHeight="1" s="74">
      <c r="A24" s="66" t="inlineStr">
        <is>
          <t>hydrogen combustion turbine</t>
        </is>
      </c>
      <c r="B24" s="62">
        <f>'BDEQ-BDESC-commercial-o'!B23</f>
        <v/>
      </c>
      <c r="C24" s="62">
        <f>'BDEQ-BDESC-commercial-o'!C23</f>
        <v/>
      </c>
      <c r="D24" s="62">
        <f>'BDEQ-BDESC-commercial-o'!D23</f>
        <v/>
      </c>
      <c r="E24" s="62">
        <f>'BDEQ-BDESC-commercial-o'!E23</f>
        <v/>
      </c>
      <c r="F24" s="62">
        <f>'BDEQ-BDESC-commercial-o'!F23</f>
        <v/>
      </c>
      <c r="G24" s="62">
        <f>'BDEQ-BDESC-commercial-o'!G23</f>
        <v/>
      </c>
      <c r="H24" s="62">
        <f>'BDEQ-BDESC-commercial-o'!H23</f>
        <v/>
      </c>
      <c r="I24" s="62">
        <f>'BDEQ-BDESC-commercial-o'!I23</f>
        <v/>
      </c>
      <c r="J24" s="62">
        <f>'BDEQ-BDESC-commercial-o'!J23</f>
        <v/>
      </c>
      <c r="K24" s="62">
        <f>'BDEQ-BDESC-commercial-o'!K23</f>
        <v/>
      </c>
      <c r="L24" s="62">
        <f>'BDEQ-BDESC-commercial-o'!L23</f>
        <v/>
      </c>
      <c r="M24" s="62">
        <f>'BDEQ-BDESC-commercial-o'!M23</f>
        <v/>
      </c>
      <c r="N24" s="62">
        <f>'BDEQ-BDESC-commercial-o'!N23</f>
        <v/>
      </c>
      <c r="O24" s="62">
        <f>'BDEQ-BDESC-commercial-o'!O23</f>
        <v/>
      </c>
      <c r="P24" s="62">
        <f>'BDEQ-BDESC-commercial-o'!P23</f>
        <v/>
      </c>
      <c r="Q24" s="62">
        <f>'BDEQ-BDESC-commercial-o'!Q23</f>
        <v/>
      </c>
      <c r="R24" s="62">
        <f>'BDEQ-BDESC-commercial-o'!R23</f>
        <v/>
      </c>
      <c r="S24" s="62">
        <f>'BDEQ-BDESC-commercial-o'!S23</f>
        <v/>
      </c>
      <c r="T24" s="62">
        <f>'BDEQ-BDESC-commercial-o'!T23</f>
        <v/>
      </c>
      <c r="U24" s="62">
        <f>'BDEQ-BDESC-commercial-o'!U23</f>
        <v/>
      </c>
      <c r="V24" s="62">
        <f>'BDEQ-BDESC-commercial-o'!V23</f>
        <v/>
      </c>
      <c r="W24" s="62">
        <f>'BDEQ-BDESC-commercial-o'!W23</f>
        <v/>
      </c>
      <c r="X24" s="62">
        <f>'BDEQ-BDESC-commercial-o'!X23</f>
        <v/>
      </c>
      <c r="Y24" s="62">
        <f>'BDEQ-BDESC-commercial-o'!Y23</f>
        <v/>
      </c>
      <c r="Z24" s="62">
        <f>'BDEQ-BDESC-commercial-o'!Z23</f>
        <v/>
      </c>
      <c r="AA24" s="62">
        <f>'BDEQ-BDESC-commercial-o'!AA23</f>
        <v/>
      </c>
      <c r="AB24" s="62">
        <f>'BDEQ-BDESC-commercial-o'!AB23</f>
        <v/>
      </c>
      <c r="AC24" s="62">
        <f>'BDEQ-BDESC-commercial-o'!AC23</f>
        <v/>
      </c>
      <c r="AD24" s="62">
        <f>'BDEQ-BDESC-commercial-o'!AD23</f>
        <v/>
      </c>
      <c r="AE24" s="62">
        <f>'BDEQ-BDESC-commercial-o'!AE23</f>
        <v/>
      </c>
      <c r="AF24" s="62">
        <f>'BDEQ-BDESC-commercial-o'!AF23</f>
        <v/>
      </c>
      <c r="AG24" s="65" t="n"/>
    </row>
    <row r="25" ht="14.25" customHeight="1" s="74">
      <c r="A25" s="66" t="inlineStr">
        <is>
          <t>hydrogen combined cycle</t>
        </is>
      </c>
      <c r="B25" s="62">
        <f>'BDEQ-BDESC-commercial-o'!B24</f>
        <v/>
      </c>
      <c r="C25" s="62">
        <f>'BDEQ-BDESC-commercial-o'!C24</f>
        <v/>
      </c>
      <c r="D25" s="62">
        <f>'BDEQ-BDESC-commercial-o'!D24</f>
        <v/>
      </c>
      <c r="E25" s="62">
        <f>'BDEQ-BDESC-commercial-o'!E24</f>
        <v/>
      </c>
      <c r="F25" s="62">
        <f>'BDEQ-BDESC-commercial-o'!F24</f>
        <v/>
      </c>
      <c r="G25" s="62">
        <f>'BDEQ-BDESC-commercial-o'!G24</f>
        <v/>
      </c>
      <c r="H25" s="62">
        <f>'BDEQ-BDESC-commercial-o'!H24</f>
        <v/>
      </c>
      <c r="I25" s="62">
        <f>'BDEQ-BDESC-commercial-o'!I24</f>
        <v/>
      </c>
      <c r="J25" s="62">
        <f>'BDEQ-BDESC-commercial-o'!J24</f>
        <v/>
      </c>
      <c r="K25" s="62">
        <f>'BDEQ-BDESC-commercial-o'!K24</f>
        <v/>
      </c>
      <c r="L25" s="62">
        <f>'BDEQ-BDESC-commercial-o'!L24</f>
        <v/>
      </c>
      <c r="M25" s="62">
        <f>'BDEQ-BDESC-commercial-o'!M24</f>
        <v/>
      </c>
      <c r="N25" s="62">
        <f>'BDEQ-BDESC-commercial-o'!N24</f>
        <v/>
      </c>
      <c r="O25" s="62">
        <f>'BDEQ-BDESC-commercial-o'!O24</f>
        <v/>
      </c>
      <c r="P25" s="62">
        <f>'BDEQ-BDESC-commercial-o'!P24</f>
        <v/>
      </c>
      <c r="Q25" s="62">
        <f>'BDEQ-BDESC-commercial-o'!Q24</f>
        <v/>
      </c>
      <c r="R25" s="62">
        <f>'BDEQ-BDESC-commercial-o'!R24</f>
        <v/>
      </c>
      <c r="S25" s="62">
        <f>'BDEQ-BDESC-commercial-o'!S24</f>
        <v/>
      </c>
      <c r="T25" s="62">
        <f>'BDEQ-BDESC-commercial-o'!T24</f>
        <v/>
      </c>
      <c r="U25" s="62">
        <f>'BDEQ-BDESC-commercial-o'!U24</f>
        <v/>
      </c>
      <c r="V25" s="62">
        <f>'BDEQ-BDESC-commercial-o'!V24</f>
        <v/>
      </c>
      <c r="W25" s="62">
        <f>'BDEQ-BDESC-commercial-o'!W24</f>
        <v/>
      </c>
      <c r="X25" s="62">
        <f>'BDEQ-BDESC-commercial-o'!X24</f>
        <v/>
      </c>
      <c r="Y25" s="62">
        <f>'BDEQ-BDESC-commercial-o'!Y24</f>
        <v/>
      </c>
      <c r="Z25" s="62">
        <f>'BDEQ-BDESC-commercial-o'!Z24</f>
        <v/>
      </c>
      <c r="AA25" s="62">
        <f>'BDEQ-BDESC-commercial-o'!AA24</f>
        <v/>
      </c>
      <c r="AB25" s="62">
        <f>'BDEQ-BDESC-commercial-o'!AB24</f>
        <v/>
      </c>
      <c r="AC25" s="62">
        <f>'BDEQ-BDESC-commercial-o'!AC24</f>
        <v/>
      </c>
      <c r="AD25" s="62">
        <f>'BDEQ-BDESC-commercial-o'!AD24</f>
        <v/>
      </c>
      <c r="AE25" s="62">
        <f>'BDEQ-BDESC-commercial-o'!AE24</f>
        <v/>
      </c>
      <c r="AF25" s="62">
        <f>'BDEQ-BDESC-commercial-o'!AF24</f>
        <v/>
      </c>
      <c r="AG25" s="65"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row r="1001" ht="14.25" customHeight="1" s="74">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c r="AA1001" s="2" t="n"/>
      <c r="AB1001" s="2" t="n"/>
      <c r="AC1001" s="2" t="n"/>
      <c r="AD1001" s="2" t="n"/>
      <c r="AE1001" s="2" t="n"/>
      <c r="AF1001" s="2" t="n"/>
    </row>
  </sheetData>
  <pageMargins left="0.7" right="0.7" top="0.75" bottom="0.75" header="0" footer="0"/>
  <pageSetup orientation="landscape"/>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Jeffrey Rissman</dc:creator>
  <dcterms:created xmlns:dcterms="http://purl.org/dc/terms/" xmlns:xsi="http://www.w3.org/2001/XMLSchema-instance" xsi:type="dcterms:W3CDTF">2016-01-26T19:10:58Z</dcterms:created>
  <dcterms:modified xmlns:dcterms="http://purl.org/dc/terms/" xmlns:xsi="http://www.w3.org/2001/XMLSchema-instance" xsi:type="dcterms:W3CDTF">2024-01-08T07:36:15Z</dcterms:modified>
  <cp:lastModifiedBy>Nathan Iyer</cp:lastModifiedBy>
</cp:coreProperties>
</file>