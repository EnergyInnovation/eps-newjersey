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J\bldgs\BDCL\"/>
    </mc:Choice>
  </mc:AlternateContent>
  <xr:revisionPtr revIDLastSave="0" documentId="8_{573A5E86-4D25-41A1-8009-50AEF54E7322}"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B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AC165" i="10"/>
  <c r="B165" i="10"/>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J158" i="10"/>
  <c r="K158" i="10" s="1"/>
  <c r="L158" i="10" s="1"/>
  <c r="M158" i="10" s="1"/>
  <c r="N158" i="10" s="1"/>
  <c r="O158" i="10" s="1"/>
  <c r="P158" i="10" s="1"/>
  <c r="Q158" i="10" s="1"/>
  <c r="R158" i="10" s="1"/>
  <c r="S158" i="10" s="1"/>
  <c r="T158" i="10" s="1"/>
  <c r="U158" i="10" s="1"/>
  <c r="V158" i="10" s="1"/>
  <c r="W158" i="10" s="1"/>
  <c r="X158" i="10" s="1"/>
  <c r="Y158" i="10" s="1"/>
  <c r="Z158" i="10" s="1"/>
  <c r="AA158" i="10" s="1"/>
  <c r="AB158" i="10" s="1"/>
  <c r="I158" i="10"/>
  <c r="D158" i="10"/>
  <c r="E158" i="10" s="1"/>
  <c r="F158" i="10" s="1"/>
  <c r="G158" i="10" s="1"/>
  <c r="H158" i="10" s="1"/>
  <c r="C158" i="10"/>
  <c r="AC157" i="10"/>
  <c r="D157" i="10"/>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C157" i="10" s="1"/>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H155" i="10"/>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G155" i="10"/>
  <c r="F155" i="10"/>
  <c r="C155" i="10"/>
  <c r="D155" i="10" s="1"/>
  <c r="E155" i="10" s="1"/>
  <c r="B155" i="10"/>
  <c r="AC154" i="10"/>
  <c r="C154" i="10" s="1"/>
  <c r="D154" i="10" s="1"/>
  <c r="E154" i="10" s="1"/>
  <c r="F154" i="10" s="1"/>
  <c r="G154" i="10" s="1"/>
  <c r="H154" i="10" s="1"/>
  <c r="I154" i="10" s="1"/>
  <c r="J154" i="10"/>
  <c r="K154" i="10" s="1"/>
  <c r="L154" i="10" s="1"/>
  <c r="M154" i="10" s="1"/>
  <c r="N154" i="10" s="1"/>
  <c r="O154" i="10" s="1"/>
  <c r="P154" i="10" s="1"/>
  <c r="Q154" i="10" s="1"/>
  <c r="R154" i="10" s="1"/>
  <c r="S154" i="10" s="1"/>
  <c r="T154" i="10" s="1"/>
  <c r="U154" i="10" s="1"/>
  <c r="V154" i="10" s="1"/>
  <c r="W154" i="10" s="1"/>
  <c r="X154" i="10" s="1"/>
  <c r="Y154" i="10" s="1"/>
  <c r="Z154" i="10" s="1"/>
  <c r="AA154" i="10" s="1"/>
  <c r="AB154" i="10" s="1"/>
  <c r="B154" i="10"/>
  <c r="AC153" i="10"/>
  <c r="D153" i="10"/>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C153" i="10"/>
  <c r="B153" i="10"/>
  <c r="AC152" i="10"/>
  <c r="C152" i="10"/>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AC149" i="10"/>
  <c r="B149" i="10"/>
  <c r="AC148" i="10"/>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AC147" i="10"/>
  <c r="C147" i="10"/>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AC146" i="10"/>
  <c r="S146" i="10"/>
  <c r="T146" i="10" s="1"/>
  <c r="U146" i="10" s="1"/>
  <c r="V146" i="10" s="1"/>
  <c r="W146" i="10" s="1"/>
  <c r="X146" i="10" s="1"/>
  <c r="Y146" i="10" s="1"/>
  <c r="Z146" i="10" s="1"/>
  <c r="AA146" i="10" s="1"/>
  <c r="AB146" i="10" s="1"/>
  <c r="R146" i="10"/>
  <c r="O146" i="10"/>
  <c r="P146" i="10" s="1"/>
  <c r="Q146" i="10" s="1"/>
  <c r="C146" i="10"/>
  <c r="D146" i="10" s="1"/>
  <c r="E146" i="10" s="1"/>
  <c r="F146" i="10" s="1"/>
  <c r="G146" i="10" s="1"/>
  <c r="H146" i="10" s="1"/>
  <c r="I146" i="10" s="1"/>
  <c r="J146" i="10" s="1"/>
  <c r="K146" i="10" s="1"/>
  <c r="L146" i="10" s="1"/>
  <c r="M146" i="10" s="1"/>
  <c r="N146" i="10" s="1"/>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H143" i="10"/>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G143" i="10"/>
  <c r="E143" i="10"/>
  <c r="F143" i="10" s="1"/>
  <c r="C143" i="10"/>
  <c r="D143" i="10" s="1"/>
  <c r="B143" i="10"/>
  <c r="AC142" i="10"/>
  <c r="K142" i="10"/>
  <c r="L142" i="10" s="1"/>
  <c r="M142" i="10" s="1"/>
  <c r="N142" i="10" s="1"/>
  <c r="O142" i="10" s="1"/>
  <c r="P142" i="10" s="1"/>
  <c r="Q142" i="10" s="1"/>
  <c r="R142" i="10" s="1"/>
  <c r="S142" i="10" s="1"/>
  <c r="T142" i="10" s="1"/>
  <c r="U142" i="10" s="1"/>
  <c r="V142" i="10" s="1"/>
  <c r="W142" i="10" s="1"/>
  <c r="X142" i="10" s="1"/>
  <c r="Y142" i="10" s="1"/>
  <c r="Z142" i="10" s="1"/>
  <c r="AA142" i="10" s="1"/>
  <c r="AB142" i="10" s="1"/>
  <c r="C142" i="10"/>
  <c r="D142" i="10" s="1"/>
  <c r="E142" i="10" s="1"/>
  <c r="F142" i="10" s="1"/>
  <c r="G142" i="10" s="1"/>
  <c r="H142" i="10" s="1"/>
  <c r="I142" i="10" s="1"/>
  <c r="J142" i="10" s="1"/>
  <c r="B142" i="10"/>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C140" i="10" s="1"/>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c r="AA140" i="10" s="1"/>
  <c r="AB140" i="10" s="1"/>
  <c r="B140" i="10"/>
  <c r="AC139" i="10"/>
  <c r="E139" i="10"/>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C139" i="10" s="1"/>
  <c r="D139" i="10" s="1"/>
  <c r="AC138" i="10"/>
  <c r="F138" i="10"/>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C138" i="10" s="1"/>
  <c r="D138" i="10" s="1"/>
  <c r="E138" i="10" s="1"/>
  <c r="AC137" i="10"/>
  <c r="B137" i="10"/>
  <c r="AC136" i="10"/>
  <c r="C136" i="10" s="1"/>
  <c r="D136" i="10" s="1"/>
  <c r="E136" i="10" s="1"/>
  <c r="V136" i="10"/>
  <c r="W136" i="10" s="1"/>
  <c r="X136" i="10" s="1"/>
  <c r="Y136" i="10" s="1"/>
  <c r="Z136" i="10" s="1"/>
  <c r="AA136" i="10" s="1"/>
  <c r="AB136" i="10" s="1"/>
  <c r="K136" i="10"/>
  <c r="L136" i="10" s="1"/>
  <c r="M136" i="10" s="1"/>
  <c r="N136" i="10" s="1"/>
  <c r="O136" i="10" s="1"/>
  <c r="P136" i="10" s="1"/>
  <c r="Q136" i="10" s="1"/>
  <c r="R136" i="10" s="1"/>
  <c r="S136" i="10" s="1"/>
  <c r="T136" i="10" s="1"/>
  <c r="U136" i="10" s="1"/>
  <c r="I136" i="10"/>
  <c r="J136" i="10" s="1"/>
  <c r="F136" i="10"/>
  <c r="G136" i="10" s="1"/>
  <c r="H136" i="10" s="1"/>
  <c r="B136" i="10"/>
  <c r="AC135" i="10"/>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AC134" i="10"/>
  <c r="K134" i="10"/>
  <c r="L134" i="10" s="1"/>
  <c r="M134" i="10" s="1"/>
  <c r="N134" i="10" s="1"/>
  <c r="O134" i="10" s="1"/>
  <c r="P134" i="10" s="1"/>
  <c r="Q134" i="10" s="1"/>
  <c r="R134" i="10" s="1"/>
  <c r="S134" i="10" s="1"/>
  <c r="T134" i="10" s="1"/>
  <c r="U134" i="10" s="1"/>
  <c r="V134" i="10" s="1"/>
  <c r="W134" i="10" s="1"/>
  <c r="X134" i="10" s="1"/>
  <c r="Y134" i="10" s="1"/>
  <c r="Z134" i="10" s="1"/>
  <c r="AA134" i="10" s="1"/>
  <c r="AB134" i="10" s="1"/>
  <c r="G134" i="10"/>
  <c r="H134" i="10" s="1"/>
  <c r="I134" i="10" s="1"/>
  <c r="J134" i="10" s="1"/>
  <c r="C134" i="10"/>
  <c r="D134" i="10" s="1"/>
  <c r="E134" i="10" s="1"/>
  <c r="F134" i="10" s="1"/>
  <c r="B134" i="10"/>
  <c r="AC133" i="10"/>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B133" i="10"/>
  <c r="AC132" i="10"/>
  <c r="B132" i="10"/>
  <c r="C132" i="10" s="1"/>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AC131" i="10"/>
  <c r="C131" i="10" s="1"/>
  <c r="D131" i="10"/>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AC130" i="10"/>
  <c r="C130" i="10" s="1"/>
  <c r="D130" i="10"/>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AC129" i="10"/>
  <c r="C129" i="10" s="1"/>
  <c r="D129" i="10"/>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C126" i="10"/>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AC125" i="10"/>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E124" i="10"/>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D124" i="10"/>
  <c r="C124" i="10"/>
  <c r="B124" i="10"/>
  <c r="AC123" i="10"/>
  <c r="B123" i="10"/>
  <c r="AC122" i="10"/>
  <c r="J122" i="10"/>
  <c r="K122" i="10" s="1"/>
  <c r="L122" i="10" s="1"/>
  <c r="M122" i="10" s="1"/>
  <c r="N122" i="10" s="1"/>
  <c r="O122" i="10" s="1"/>
  <c r="P122" i="10" s="1"/>
  <c r="Q122" i="10" s="1"/>
  <c r="R122" i="10" s="1"/>
  <c r="S122" i="10" s="1"/>
  <c r="T122" i="10" s="1"/>
  <c r="U122" i="10" s="1"/>
  <c r="V122" i="10" s="1"/>
  <c r="W122" i="10" s="1"/>
  <c r="X122" i="10" s="1"/>
  <c r="Y122" i="10" s="1"/>
  <c r="Z122" i="10" s="1"/>
  <c r="AA122" i="10" s="1"/>
  <c r="AB122" i="10" s="1"/>
  <c r="G122" i="10"/>
  <c r="H122" i="10" s="1"/>
  <c r="I122" i="10" s="1"/>
  <c r="C122" i="10"/>
  <c r="D122" i="10" s="1"/>
  <c r="E122" i="10" s="1"/>
  <c r="F122" i="10" s="1"/>
  <c r="B122" i="10"/>
  <c r="AC121" i="10"/>
  <c r="B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C119" i="10" s="1"/>
  <c r="D119" i="10" s="1"/>
  <c r="E119" i="10" s="1"/>
  <c r="F119" i="10" s="1"/>
  <c r="G119" i="10"/>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AC118" i="10"/>
  <c r="C118" i="10" s="1"/>
  <c r="D118" i="10" s="1"/>
  <c r="E118" i="10" s="1"/>
  <c r="F118" i="10" s="1"/>
  <c r="G118" i="10"/>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B117" i="10"/>
  <c r="AC116" i="10"/>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B115" i="10"/>
  <c r="AC114" i="10"/>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C113" i="10" s="1"/>
  <c r="D113" i="10"/>
  <c r="E113" i="10" s="1"/>
  <c r="B113" i="10"/>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B107" i="10"/>
  <c r="F106" i="10"/>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D106" i="10"/>
  <c r="E106" i="10" s="1"/>
  <c r="C106" i="10"/>
  <c r="AC105" i="10"/>
  <c r="B105" i="10"/>
  <c r="AC104" i="10"/>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AC103" i="10"/>
  <c r="P103" i="10"/>
  <c r="Q103" i="10" s="1"/>
  <c r="R103" i="10" s="1"/>
  <c r="S103" i="10" s="1"/>
  <c r="T103" i="10" s="1"/>
  <c r="U103" i="10" s="1"/>
  <c r="V103" i="10" s="1"/>
  <c r="W103" i="10" s="1"/>
  <c r="X103" i="10" s="1"/>
  <c r="Y103" i="10" s="1"/>
  <c r="Z103" i="10" s="1"/>
  <c r="AA103" i="10" s="1"/>
  <c r="AB103" i="10" s="1"/>
  <c r="D103" i="10"/>
  <c r="E103" i="10" s="1"/>
  <c r="F103" i="10" s="1"/>
  <c r="G103" i="10" s="1"/>
  <c r="H103" i="10" s="1"/>
  <c r="I103" i="10" s="1"/>
  <c r="J103" i="10" s="1"/>
  <c r="K103" i="10" s="1"/>
  <c r="L103" i="10" s="1"/>
  <c r="M103" i="10" s="1"/>
  <c r="N103" i="10" s="1"/>
  <c r="O103" i="10" s="1"/>
  <c r="B103" i="10"/>
  <c r="C103" i="10" s="1"/>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C101" i="10"/>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C99" i="10" s="1"/>
  <c r="D99" i="10" s="1"/>
  <c r="E99" i="10" s="1"/>
  <c r="F99" i="10" s="1"/>
  <c r="G99" i="10" s="1"/>
  <c r="H99" i="10"/>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AC98" i="10"/>
  <c r="D98" i="10"/>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C98" i="10" s="1"/>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AC94" i="10"/>
  <c r="E94" i="10"/>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D94" i="10"/>
  <c r="C94" i="10"/>
  <c r="B94" i="10"/>
  <c r="AC93" i="10"/>
  <c r="B93" i="10"/>
  <c r="AC92" i="10"/>
  <c r="C92" i="10"/>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M90" i="10"/>
  <c r="N90" i="10" s="1"/>
  <c r="O90" i="10" s="1"/>
  <c r="P90" i="10" s="1"/>
  <c r="Q90" i="10" s="1"/>
  <c r="R90" i="10" s="1"/>
  <c r="S90" i="10" s="1"/>
  <c r="T90" i="10" s="1"/>
  <c r="U90" i="10" s="1"/>
  <c r="V90" i="10" s="1"/>
  <c r="W90" i="10" s="1"/>
  <c r="X90" i="10" s="1"/>
  <c r="Y90" i="10" s="1"/>
  <c r="Z90" i="10" s="1"/>
  <c r="AA90" i="10" s="1"/>
  <c r="AB90" i="10" s="1"/>
  <c r="C90" i="10"/>
  <c r="D90" i="10" s="1"/>
  <c r="E90" i="10" s="1"/>
  <c r="F90" i="10" s="1"/>
  <c r="G90" i="10" s="1"/>
  <c r="H90" i="10" s="1"/>
  <c r="I90" i="10" s="1"/>
  <c r="J90" i="10" s="1"/>
  <c r="K90" i="10" s="1"/>
  <c r="L90" i="10" s="1"/>
  <c r="B90" i="10"/>
  <c r="AC89" i="10"/>
  <c r="B89" i="10"/>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C87" i="10"/>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AC86" i="10"/>
  <c r="D86" i="10"/>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B86" i="10"/>
  <c r="C86" i="10" s="1"/>
  <c r="AC85" i="10"/>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E84" i="10"/>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B84" i="10"/>
  <c r="C84" i="10" s="1"/>
  <c r="D84" i="10" s="1"/>
  <c r="AC83" i="10"/>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B83" i="10"/>
  <c r="AC82" i="10"/>
  <c r="E82" i="10"/>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D82" i="10"/>
  <c r="C82" i="10"/>
  <c r="B82" i="10"/>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D80" i="10"/>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C80" i="10"/>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C78" i="10" s="1"/>
  <c r="D78" i="10" s="1"/>
  <c r="E78" i="10" s="1"/>
  <c r="F78" i="10" s="1"/>
  <c r="G78" i="10" s="1"/>
  <c r="H78" i="10" s="1"/>
  <c r="I78" i="10" s="1"/>
  <c r="J78" i="10" s="1"/>
  <c r="K78" i="10" s="1"/>
  <c r="L78" i="10" s="1"/>
  <c r="M78" i="10" s="1"/>
  <c r="N78" i="10" s="1"/>
  <c r="O78" i="10"/>
  <c r="P78" i="10" s="1"/>
  <c r="Q78" i="10" s="1"/>
  <c r="R78" i="10" s="1"/>
  <c r="S78" i="10" s="1"/>
  <c r="T78" i="10" s="1"/>
  <c r="U78" i="10" s="1"/>
  <c r="V78" i="10" s="1"/>
  <c r="W78" i="10" s="1"/>
  <c r="X78" i="10" s="1"/>
  <c r="Y78" i="10" s="1"/>
  <c r="Z78" i="10" s="1"/>
  <c r="AA78" i="10" s="1"/>
  <c r="AB78" i="10" s="1"/>
  <c r="B78" i="10"/>
  <c r="AC77" i="10"/>
  <c r="C77" i="10" s="1"/>
  <c r="D77" i="10" s="1"/>
  <c r="E77" i="10"/>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K76" i="10"/>
  <c r="L76" i="10" s="1"/>
  <c r="M76" i="10" s="1"/>
  <c r="N76" i="10" s="1"/>
  <c r="O76" i="10" s="1"/>
  <c r="P76" i="10" s="1"/>
  <c r="Q76" i="10" s="1"/>
  <c r="R76" i="10" s="1"/>
  <c r="S76" i="10" s="1"/>
  <c r="T76" i="10" s="1"/>
  <c r="U76" i="10" s="1"/>
  <c r="V76" i="10" s="1"/>
  <c r="W76" i="10" s="1"/>
  <c r="X76" i="10" s="1"/>
  <c r="Y76" i="10" s="1"/>
  <c r="Z76" i="10" s="1"/>
  <c r="AA76" i="10" s="1"/>
  <c r="AB76" i="10" s="1"/>
  <c r="B76" i="10"/>
  <c r="C76" i="10" s="1"/>
  <c r="D76" i="10" s="1"/>
  <c r="E76" i="10" s="1"/>
  <c r="F76" i="10" s="1"/>
  <c r="G76" i="10" s="1"/>
  <c r="H76" i="10" s="1"/>
  <c r="I76" i="10" s="1"/>
  <c r="J76" i="10" s="1"/>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C74" i="10" s="1"/>
  <c r="D74" i="10" s="1"/>
  <c r="E74" i="10" s="1"/>
  <c r="F74" i="10" s="1"/>
  <c r="G74" i="10" s="1"/>
  <c r="H74" i="10" s="1"/>
  <c r="L74" i="10"/>
  <c r="M74" i="10" s="1"/>
  <c r="N74" i="10" s="1"/>
  <c r="O74" i="10" s="1"/>
  <c r="P74" i="10" s="1"/>
  <c r="Q74" i="10" s="1"/>
  <c r="R74" i="10" s="1"/>
  <c r="S74" i="10" s="1"/>
  <c r="T74" i="10" s="1"/>
  <c r="U74" i="10" s="1"/>
  <c r="V74" i="10" s="1"/>
  <c r="W74" i="10" s="1"/>
  <c r="X74" i="10" s="1"/>
  <c r="Y74" i="10" s="1"/>
  <c r="Z74" i="10" s="1"/>
  <c r="AA74" i="10" s="1"/>
  <c r="AB74" i="10" s="1"/>
  <c r="I74" i="10"/>
  <c r="J74" i="10" s="1"/>
  <c r="K74" i="10" s="1"/>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C71" i="10"/>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C69" i="10" s="1"/>
  <c r="D69" i="10" s="1"/>
  <c r="E69" i="10" s="1"/>
  <c r="F69" i="10"/>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AC68" i="10"/>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B66" i="10"/>
  <c r="AC65" i="10"/>
  <c r="C65" i="10" s="1"/>
  <c r="D65" i="10"/>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B62" i="10"/>
  <c r="AC61" i="10"/>
  <c r="D61" i="10"/>
  <c r="C61" i="10"/>
  <c r="B61" i="10"/>
  <c r="AC56" i="10"/>
  <c r="C56" i="10" s="1"/>
  <c r="D56"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V54" i="10"/>
  <c r="W54" i="10" s="1"/>
  <c r="X54" i="10" s="1"/>
  <c r="Y54" i="10" s="1"/>
  <c r="Z54" i="10" s="1"/>
  <c r="AA54" i="10" s="1"/>
  <c r="AB54" i="10" s="1"/>
  <c r="C54" i="10"/>
  <c r="D54" i="10" s="1"/>
  <c r="E54" i="10" s="1"/>
  <c r="F54" i="10" s="1"/>
  <c r="G54" i="10" s="1"/>
  <c r="H54" i="10" s="1"/>
  <c r="I54" i="10" s="1"/>
  <c r="J54" i="10" s="1"/>
  <c r="K54" i="10" s="1"/>
  <c r="L54" i="10" s="1"/>
  <c r="M54" i="10" s="1"/>
  <c r="N54" i="10" s="1"/>
  <c r="O54" i="10" s="1"/>
  <c r="P54" i="10" s="1"/>
  <c r="Q54" i="10" s="1"/>
  <c r="R54" i="10" s="1"/>
  <c r="S54" i="10" s="1"/>
  <c r="T54" i="10" s="1"/>
  <c r="U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D52" i="10"/>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C52" i="10"/>
  <c r="B52" i="10"/>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C50" i="10" s="1"/>
  <c r="D50" i="10" s="1"/>
  <c r="E50" i="10"/>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C48" i="10"/>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AC45" i="10"/>
  <c r="B45" i="10"/>
  <c r="AC44" i="10"/>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B40" i="10"/>
  <c r="C40" i="10" s="1"/>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B32" i="10"/>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D29" i="10"/>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C29" i="10"/>
  <c r="B29" i="10"/>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K24" i="10"/>
  <c r="L24" i="10" s="1"/>
  <c r="M24" i="10" s="1"/>
  <c r="N24" i="10" s="1"/>
  <c r="O24" i="10" s="1"/>
  <c r="P24" i="10" s="1"/>
  <c r="Q24" i="10" s="1"/>
  <c r="R24" i="10" s="1"/>
  <c r="S24" i="10" s="1"/>
  <c r="T24" i="10" s="1"/>
  <c r="U24" i="10" s="1"/>
  <c r="V24" i="10" s="1"/>
  <c r="W24" i="10" s="1"/>
  <c r="X24" i="10" s="1"/>
  <c r="Y24" i="10" s="1"/>
  <c r="Z24" i="10" s="1"/>
  <c r="AA24" i="10" s="1"/>
  <c r="AB24" i="10" s="1"/>
  <c r="B24" i="10"/>
  <c r="C24" i="10" s="1"/>
  <c r="D24" i="10" s="1"/>
  <c r="E24" i="10" s="1"/>
  <c r="F24" i="10" s="1"/>
  <c r="G24" i="10" s="1"/>
  <c r="H24" i="10" s="1"/>
  <c r="I24" i="10" s="1"/>
  <c r="J24" i="10" s="1"/>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B22" i="10"/>
  <c r="AC21" i="10"/>
  <c r="C21" i="10" s="1"/>
  <c r="D21" i="10" s="1"/>
  <c r="E21" i="10" s="1"/>
  <c r="F21" i="10" s="1"/>
  <c r="G21" i="10" s="1"/>
  <c r="H21" i="10" s="1"/>
  <c r="I21" i="10" s="1"/>
  <c r="J21" i="10" s="1"/>
  <c r="K21" i="10" s="1"/>
  <c r="L21" i="10" s="1"/>
  <c r="M21" i="10" s="1"/>
  <c r="N21" i="10" s="1"/>
  <c r="O21" i="10" s="1"/>
  <c r="P21" i="10" s="1"/>
  <c r="Q21" i="10" s="1"/>
  <c r="R21" i="10" s="1"/>
  <c r="S21" i="10" s="1"/>
  <c r="T21" i="10"/>
  <c r="U21" i="10" s="1"/>
  <c r="V21" i="10" s="1"/>
  <c r="W21" i="10" s="1"/>
  <c r="X21" i="10" s="1"/>
  <c r="Y21" i="10" s="1"/>
  <c r="Z21" i="10" s="1"/>
  <c r="AA21" i="10" s="1"/>
  <c r="AB21" i="10" s="1"/>
  <c r="B21" i="10"/>
  <c r="AC20" i="10"/>
  <c r="C20" i="10" s="1"/>
  <c r="D20" i="10" s="1"/>
  <c r="E20" i="10" s="1"/>
  <c r="F20" i="10" s="1"/>
  <c r="G20" i="10" s="1"/>
  <c r="H20" i="10" s="1"/>
  <c r="I20" i="10" s="1"/>
  <c r="J20" i="10"/>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C19" i="10" s="1"/>
  <c r="D19" i="10" s="1"/>
  <c r="E19" i="10" s="1"/>
  <c r="F19" i="10"/>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C17" i="10" s="1"/>
  <c r="D17" i="10"/>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G15" i="10"/>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D15" i="10"/>
  <c r="E15" i="10" s="1"/>
  <c r="F15" i="10" s="1"/>
  <c r="C15" i="10"/>
  <c r="B15" i="10"/>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B9" i="10"/>
  <c r="C9" i="10" s="1"/>
  <c r="B4" i="10"/>
  <c r="C9" i="9"/>
  <c r="B9" i="9"/>
  <c r="D9" i="9" s="1"/>
  <c r="F9" i="9" s="1"/>
  <c r="A9" i="9"/>
  <c r="H5" i="9"/>
  <c r="B1" i="9"/>
  <c r="F54" i="7"/>
  <c r="E54" i="7"/>
  <c r="D54" i="7"/>
  <c r="G54" i="7" s="1"/>
  <c r="C54" i="7"/>
  <c r="H53" i="7"/>
  <c r="F53" i="7"/>
  <c r="G53" i="7" s="1"/>
  <c r="E53" i="7"/>
  <c r="D53" i="7"/>
  <c r="C53" i="7"/>
  <c r="H52" i="7"/>
  <c r="F52" i="7"/>
  <c r="E52" i="7"/>
  <c r="D52" i="7"/>
  <c r="G52" i="7" s="1"/>
  <c r="C52" i="7"/>
  <c r="F51" i="7"/>
  <c r="E51" i="7"/>
  <c r="D51" i="7"/>
  <c r="C51" i="7"/>
  <c r="G51" i="7" s="1"/>
  <c r="F50" i="7"/>
  <c r="E50" i="7"/>
  <c r="D50" i="7"/>
  <c r="H50" i="7" s="1"/>
  <c r="C50" i="7"/>
  <c r="H49" i="7"/>
  <c r="G49" i="7"/>
  <c r="F49" i="7"/>
  <c r="E49" i="7"/>
  <c r="D49" i="7"/>
  <c r="C49" i="7"/>
  <c r="F48" i="7"/>
  <c r="G48" i="7" s="1"/>
  <c r="E48" i="7"/>
  <c r="H48" i="7" s="1"/>
  <c r="D48" i="7"/>
  <c r="C48" i="7"/>
  <c r="F47" i="7"/>
  <c r="E47" i="7"/>
  <c r="D47" i="7"/>
  <c r="C47" i="7"/>
  <c r="F46" i="7"/>
  <c r="E46" i="7"/>
  <c r="D46" i="7"/>
  <c r="H46" i="7" s="1"/>
  <c r="C46" i="7"/>
  <c r="H45" i="7"/>
  <c r="F45" i="7"/>
  <c r="E45" i="7"/>
  <c r="D45" i="7"/>
  <c r="C45" i="7"/>
  <c r="F44" i="7"/>
  <c r="G44" i="7" s="1"/>
  <c r="E44" i="7"/>
  <c r="H44" i="7" s="1"/>
  <c r="D44" i="7"/>
  <c r="C44" i="7"/>
  <c r="F43" i="7"/>
  <c r="E43" i="7"/>
  <c r="D43" i="7"/>
  <c r="C43" i="7"/>
  <c r="F42" i="7"/>
  <c r="G42" i="7" s="1"/>
  <c r="E42" i="7"/>
  <c r="D42" i="7"/>
  <c r="C42" i="7"/>
  <c r="F41" i="7"/>
  <c r="E41" i="7"/>
  <c r="D41" i="7"/>
  <c r="H41" i="7" s="1"/>
  <c r="C41" i="7"/>
  <c r="H40" i="7"/>
  <c r="G40" i="7"/>
  <c r="F40" i="7"/>
  <c r="E40" i="7"/>
  <c r="D40" i="7"/>
  <c r="C40" i="7"/>
  <c r="F39" i="7"/>
  <c r="E39" i="7"/>
  <c r="D39" i="7"/>
  <c r="C39" i="7"/>
  <c r="F38" i="7"/>
  <c r="E38" i="7"/>
  <c r="D38" i="7"/>
  <c r="H38" i="7" s="1"/>
  <c r="C38" i="7"/>
  <c r="F37" i="7"/>
  <c r="E37" i="7"/>
  <c r="D37" i="7"/>
  <c r="H37" i="7" s="1"/>
  <c r="C37" i="7"/>
  <c r="F36" i="7"/>
  <c r="E36" i="7"/>
  <c r="D36" i="7"/>
  <c r="C36" i="7"/>
  <c r="F35" i="7"/>
  <c r="E35" i="7"/>
  <c r="D35" i="7"/>
  <c r="C35" i="7"/>
  <c r="F34" i="7"/>
  <c r="E34" i="7"/>
  <c r="D34" i="7"/>
  <c r="C34" i="7"/>
  <c r="H33" i="7"/>
  <c r="F33" i="7"/>
  <c r="G33" i="7" s="1"/>
  <c r="E33" i="7"/>
  <c r="D33" i="7"/>
  <c r="C33" i="7"/>
  <c r="F32" i="7"/>
  <c r="E32" i="7"/>
  <c r="D32" i="7"/>
  <c r="C32" i="7"/>
  <c r="F31" i="7"/>
  <c r="E31" i="7"/>
  <c r="D31" i="7"/>
  <c r="C31" i="7"/>
  <c r="F30" i="7"/>
  <c r="E30" i="7"/>
  <c r="D30" i="7"/>
  <c r="C30" i="7"/>
  <c r="H29" i="7"/>
  <c r="G29" i="7"/>
  <c r="F29" i="7"/>
  <c r="E29" i="7"/>
  <c r="D29" i="7"/>
  <c r="C29" i="7"/>
  <c r="H28" i="7"/>
  <c r="F28" i="7"/>
  <c r="G28" i="7" s="1"/>
  <c r="E28" i="7"/>
  <c r="D28" i="7"/>
  <c r="C28" i="7"/>
  <c r="F27" i="7"/>
  <c r="E27" i="7"/>
  <c r="D27" i="7"/>
  <c r="C27" i="7"/>
  <c r="F26" i="7"/>
  <c r="E26" i="7"/>
  <c r="D26" i="7"/>
  <c r="C26" i="7"/>
  <c r="F25" i="7"/>
  <c r="E25" i="7"/>
  <c r="D25" i="7"/>
  <c r="C25" i="7"/>
  <c r="H24" i="7"/>
  <c r="F24" i="7"/>
  <c r="G24" i="7" s="1"/>
  <c r="E24" i="7"/>
  <c r="D24" i="7"/>
  <c r="C24" i="7"/>
  <c r="F23" i="7"/>
  <c r="E23" i="7"/>
  <c r="D23" i="7"/>
  <c r="C23" i="7"/>
  <c r="H22" i="7"/>
  <c r="F22" i="7"/>
  <c r="G22" i="7" s="1"/>
  <c r="E22" i="7"/>
  <c r="D22" i="7"/>
  <c r="C22" i="7"/>
  <c r="F21" i="7"/>
  <c r="E21" i="7"/>
  <c r="D21" i="7"/>
  <c r="C21" i="7"/>
  <c r="H20" i="7"/>
  <c r="F20" i="7"/>
  <c r="G20" i="7" s="1"/>
  <c r="E20" i="7"/>
  <c r="D20" i="7"/>
  <c r="C20" i="7"/>
  <c r="F19" i="7"/>
  <c r="E19" i="7"/>
  <c r="D19" i="7"/>
  <c r="C19" i="7"/>
  <c r="H18" i="7"/>
  <c r="G18" i="7"/>
  <c r="F18" i="7"/>
  <c r="E18" i="7"/>
  <c r="D18" i="7"/>
  <c r="C18" i="7"/>
  <c r="F17" i="7"/>
  <c r="E17" i="7"/>
  <c r="D17" i="7"/>
  <c r="C17" i="7"/>
  <c r="H16" i="7"/>
  <c r="F16" i="7"/>
  <c r="E16" i="7"/>
  <c r="D16" i="7"/>
  <c r="G16" i="7" s="1"/>
  <c r="C16" i="7"/>
  <c r="F15" i="7"/>
  <c r="G15" i="7" s="1"/>
  <c r="E15" i="7"/>
  <c r="D15" i="7"/>
  <c r="C15" i="7"/>
  <c r="F14" i="7"/>
  <c r="E14" i="7"/>
  <c r="D14" i="7"/>
  <c r="C14" i="7"/>
  <c r="H13" i="7"/>
  <c r="F13" i="7"/>
  <c r="E13" i="7"/>
  <c r="D13" i="7"/>
  <c r="C13" i="7"/>
  <c r="H12" i="7"/>
  <c r="F12" i="7"/>
  <c r="E12" i="7"/>
  <c r="D12" i="7"/>
  <c r="G12" i="7" s="1"/>
  <c r="C12" i="7"/>
  <c r="F11" i="7"/>
  <c r="G11" i="7" s="1"/>
  <c r="E11" i="7"/>
  <c r="H11" i="7" s="1"/>
  <c r="D11" i="7"/>
  <c r="C11" i="7"/>
  <c r="F10" i="7"/>
  <c r="E10" i="7"/>
  <c r="D10" i="7"/>
  <c r="C10" i="7"/>
  <c r="H9" i="7"/>
  <c r="F9" i="7"/>
  <c r="E9" i="7"/>
  <c r="D9" i="7"/>
  <c r="G9" i="7" s="1"/>
  <c r="C9" i="7"/>
  <c r="H8" i="7"/>
  <c r="F8" i="7"/>
  <c r="E8" i="7"/>
  <c r="D8" i="7"/>
  <c r="G8" i="7" s="1"/>
  <c r="C8" i="7"/>
  <c r="H7" i="7"/>
  <c r="G7" i="7"/>
  <c r="F7" i="7"/>
  <c r="E7" i="7"/>
  <c r="D7" i="7"/>
  <c r="C7" i="7"/>
  <c r="B2" i="1"/>
  <c r="B2" i="9" s="1"/>
  <c r="U5" i="9" s="1"/>
  <c r="L5" i="9" l="1"/>
  <c r="O5" i="9"/>
  <c r="AA5" i="9"/>
  <c r="B5" i="10"/>
  <c r="M5" i="9"/>
  <c r="K5" i="9"/>
  <c r="N5" i="9"/>
  <c r="P5" i="9"/>
  <c r="Q5" i="9"/>
  <c r="R5" i="9"/>
  <c r="AB5" i="9"/>
  <c r="D9" i="10"/>
  <c r="H25" i="7"/>
  <c r="G25" i="7"/>
  <c r="G17" i="7"/>
  <c r="H17" i="7"/>
  <c r="H30" i="7"/>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H34" i="7"/>
  <c r="G34" i="7"/>
  <c r="G38" i="7"/>
  <c r="G26" i="7"/>
  <c r="G13" i="7"/>
  <c r="H21" i="7"/>
  <c r="G21" i="7"/>
  <c r="G41" i="7"/>
  <c r="G50" i="7"/>
  <c r="G37" i="7"/>
  <c r="H54" i="7"/>
  <c r="B57" i="10"/>
  <c r="G46" i="7"/>
  <c r="H42" i="7"/>
  <c r="E61" i="10"/>
  <c r="H26" i="7"/>
  <c r="F113" i="10"/>
  <c r="G30" i="7"/>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H14" i="7"/>
  <c r="G14" i="7"/>
  <c r="G27" i="7"/>
  <c r="H27" i="7"/>
  <c r="H31" i="7"/>
  <c r="H10" i="7"/>
  <c r="G10" i="7"/>
  <c r="G23" i="7"/>
  <c r="H23" i="7"/>
  <c r="H36" i="7"/>
  <c r="G36" i="7"/>
  <c r="S5" i="9"/>
  <c r="B161" i="10"/>
  <c r="C117" i="10"/>
  <c r="T5" i="9"/>
  <c r="H15" i="7"/>
  <c r="H19" i="7"/>
  <c r="G19" i="7"/>
  <c r="H32" i="7"/>
  <c r="G32" i="7"/>
  <c r="H39" i="7"/>
  <c r="H35" i="7"/>
  <c r="J5" i="9"/>
  <c r="I5" i="9"/>
  <c r="Z5" i="9"/>
  <c r="B5" i="9"/>
  <c r="Y5" i="9"/>
  <c r="X5" i="9"/>
  <c r="W5" i="9"/>
  <c r="G5" i="9"/>
  <c r="C5" i="9"/>
  <c r="F5" i="9"/>
  <c r="E5" i="9"/>
  <c r="D5" i="9"/>
  <c r="G45" i="7"/>
  <c r="V5" i="9"/>
  <c r="B109" i="10"/>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H47" i="7"/>
  <c r="G47" i="7"/>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H43" i="7"/>
  <c r="G43" i="7"/>
  <c r="E9" i="9"/>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G31" i="7"/>
  <c r="G35" i="7"/>
  <c r="G39" i="7"/>
  <c r="H51" i="7"/>
  <c r="G9" i="9"/>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C149" i="10"/>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09" i="10" l="1"/>
  <c r="E109" i="10"/>
  <c r="E172" i="10" s="1"/>
  <c r="E2" i="12" s="1"/>
  <c r="F61" i="10"/>
  <c r="D109" i="10"/>
  <c r="D172" i="10" s="1"/>
  <c r="D2" i="12" s="1"/>
  <c r="D117" i="10"/>
  <c r="C161" i="10"/>
  <c r="D57" i="10"/>
  <c r="D171" i="10" s="1"/>
  <c r="D2" i="11" s="1"/>
  <c r="E9" i="10"/>
  <c r="C173" i="10"/>
  <c r="C2" i="13" s="1"/>
  <c r="C172" i="10"/>
  <c r="C2" i="12" s="1"/>
  <c r="H9" i="9"/>
  <c r="I9" i="9"/>
  <c r="G113" i="10"/>
  <c r="B172" i="10"/>
  <c r="B2" i="12" s="1"/>
  <c r="B171" i="10"/>
  <c r="B2" i="11" s="1"/>
  <c r="B173" i="10"/>
  <c r="B2" i="13" s="1"/>
  <c r="C57" i="10"/>
  <c r="C171" i="10" s="1"/>
  <c r="C2" i="11" s="1"/>
  <c r="F109" i="10" l="1"/>
  <c r="F172" i="10" s="1"/>
  <c r="F2" i="12" s="1"/>
  <c r="G61" i="10"/>
  <c r="F9" i="10"/>
  <c r="E57" i="10"/>
  <c r="E171" i="10" s="1"/>
  <c r="E2" i="11" s="1"/>
  <c r="E117" i="10"/>
  <c r="D161" i="10"/>
  <c r="D173" i="10" s="1"/>
  <c r="D2" i="13" s="1"/>
  <c r="H113" i="10"/>
  <c r="I113" i="10" l="1"/>
  <c r="F117" i="10"/>
  <c r="E161" i="10"/>
  <c r="E173" i="10" s="1"/>
  <c r="E2" i="13" s="1"/>
  <c r="F57" i="10"/>
  <c r="F171" i="10" s="1"/>
  <c r="F2" i="11" s="1"/>
  <c r="G9" i="10"/>
  <c r="G109" i="10"/>
  <c r="G172" i="10" s="1"/>
  <c r="G2" i="12" s="1"/>
  <c r="H61" i="10"/>
  <c r="H9" i="10" l="1"/>
  <c r="G57" i="10"/>
  <c r="G171" i="10" s="1"/>
  <c r="G2" i="11" s="1"/>
  <c r="H109" i="10"/>
  <c r="H172" i="10" s="1"/>
  <c r="H2" i="12" s="1"/>
  <c r="I61" i="10"/>
  <c r="G117" i="10"/>
  <c r="F161" i="10"/>
  <c r="F173" i="10" s="1"/>
  <c r="F2" i="13" s="1"/>
  <c r="J113" i="10"/>
  <c r="I9" i="10" l="1"/>
  <c r="H57" i="10"/>
  <c r="H171" i="10" s="1"/>
  <c r="H2" i="11" s="1"/>
  <c r="K113" i="10"/>
  <c r="H117" i="10"/>
  <c r="G161" i="10"/>
  <c r="G173" i="10" s="1"/>
  <c r="G2" i="13" s="1"/>
  <c r="I109" i="10"/>
  <c r="I172" i="10" s="1"/>
  <c r="I2" i="12" s="1"/>
  <c r="J61" i="10"/>
  <c r="J109" i="10" l="1"/>
  <c r="J172" i="10" s="1"/>
  <c r="J2" i="12" s="1"/>
  <c r="K61" i="10"/>
  <c r="I117" i="10"/>
  <c r="H161" i="10"/>
  <c r="H173" i="10" s="1"/>
  <c r="H2" i="13" s="1"/>
  <c r="J9" i="10"/>
  <c r="I57" i="10"/>
  <c r="I171" i="10" s="1"/>
  <c r="I2" i="11" s="1"/>
  <c r="L113" i="10"/>
  <c r="M113" i="10" l="1"/>
  <c r="K9" i="10"/>
  <c r="J57" i="10"/>
  <c r="J171" i="10" s="1"/>
  <c r="J2" i="11" s="1"/>
  <c r="J117" i="10"/>
  <c r="I161" i="10"/>
  <c r="I173" i="10" s="1"/>
  <c r="I2" i="13" s="1"/>
  <c r="K109" i="10"/>
  <c r="K172" i="10" s="1"/>
  <c r="K2" i="12" s="1"/>
  <c r="L61" i="10"/>
  <c r="K117" i="10" l="1"/>
  <c r="J161" i="10"/>
  <c r="J173" i="10" s="1"/>
  <c r="J2" i="13" s="1"/>
  <c r="M61" i="10"/>
  <c r="L109" i="10"/>
  <c r="L172" i="10" s="1"/>
  <c r="L2" i="12" s="1"/>
  <c r="K57" i="10"/>
  <c r="K171" i="10" s="1"/>
  <c r="K2" i="11" s="1"/>
  <c r="L9" i="10"/>
  <c r="N113" i="10"/>
  <c r="L57" i="10" l="1"/>
  <c r="L171" i="10" s="1"/>
  <c r="L2" i="11" s="1"/>
  <c r="M9" i="10"/>
  <c r="L117" i="10"/>
  <c r="K161" i="10"/>
  <c r="K173" i="10" s="1"/>
  <c r="K2" i="13" s="1"/>
  <c r="O113" i="10"/>
  <c r="M109" i="10"/>
  <c r="M172" i="10" s="1"/>
  <c r="M2" i="12" s="1"/>
  <c r="N61" i="10"/>
  <c r="P113" i="10" l="1"/>
  <c r="N109" i="10"/>
  <c r="N172" i="10" s="1"/>
  <c r="N2" i="12" s="1"/>
  <c r="O61" i="10"/>
  <c r="M117" i="10"/>
  <c r="L161" i="10"/>
  <c r="L173" i="10" s="1"/>
  <c r="L2" i="13" s="1"/>
  <c r="M57" i="10"/>
  <c r="M171" i="10" s="1"/>
  <c r="M2" i="11" s="1"/>
  <c r="N9" i="10"/>
  <c r="O9" i="10" l="1"/>
  <c r="N57" i="10"/>
  <c r="N171" i="10" s="1"/>
  <c r="N2" i="11" s="1"/>
  <c r="O109" i="10"/>
  <c r="O172" i="10" s="1"/>
  <c r="O2" i="12" s="1"/>
  <c r="P61" i="10"/>
  <c r="N117" i="10"/>
  <c r="M161" i="10"/>
  <c r="M173" i="10" s="1"/>
  <c r="M2" i="13" s="1"/>
  <c r="Q113" i="10"/>
  <c r="O117" i="10" l="1"/>
  <c r="N161" i="10"/>
  <c r="N173" i="10" s="1"/>
  <c r="N2" i="13" s="1"/>
  <c r="R113" i="10"/>
  <c r="P109" i="10"/>
  <c r="P172" i="10" s="1"/>
  <c r="P2" i="12" s="1"/>
  <c r="Q61" i="10"/>
  <c r="P9" i="10"/>
  <c r="O57" i="10"/>
  <c r="O171" i="10" s="1"/>
  <c r="O2" i="11" s="1"/>
  <c r="P117" i="10" l="1"/>
  <c r="O161" i="10"/>
  <c r="O173" i="10" s="1"/>
  <c r="O2" i="13" s="1"/>
  <c r="R61" i="10"/>
  <c r="Q109" i="10"/>
  <c r="Q172" i="10" s="1"/>
  <c r="Q2" i="12" s="1"/>
  <c r="P57" i="10"/>
  <c r="P171" i="10" s="1"/>
  <c r="P2" i="11" s="1"/>
  <c r="Q9" i="10"/>
  <c r="S113" i="10"/>
  <c r="Q57" i="10" l="1"/>
  <c r="Q171" i="10" s="1"/>
  <c r="Q2" i="11" s="1"/>
  <c r="R9" i="10"/>
  <c r="T113" i="10"/>
  <c r="R109" i="10"/>
  <c r="R172" i="10" s="1"/>
  <c r="R2" i="12" s="1"/>
  <c r="S61" i="10"/>
  <c r="Q117" i="10"/>
  <c r="P161" i="10"/>
  <c r="P173" i="10" s="1"/>
  <c r="P2" i="13" s="1"/>
  <c r="R117" i="10" l="1"/>
  <c r="Q161" i="10"/>
  <c r="Q173" i="10" s="1"/>
  <c r="Q2" i="13" s="1"/>
  <c r="S109" i="10"/>
  <c r="S172" i="10" s="1"/>
  <c r="S2" i="12" s="1"/>
  <c r="T61" i="10"/>
  <c r="U113" i="10"/>
  <c r="R57" i="10"/>
  <c r="R171" i="10" s="1"/>
  <c r="R2" i="11" s="1"/>
  <c r="S9" i="10"/>
  <c r="V113" i="10" l="1"/>
  <c r="S57" i="10"/>
  <c r="S171" i="10" s="1"/>
  <c r="S2" i="11" s="1"/>
  <c r="T9" i="10"/>
  <c r="T109" i="10"/>
  <c r="T172" i="10" s="1"/>
  <c r="T2" i="12" s="1"/>
  <c r="U61" i="10"/>
  <c r="S117" i="10"/>
  <c r="R161" i="10"/>
  <c r="R173" i="10" s="1"/>
  <c r="R2" i="13" s="1"/>
  <c r="T117" i="10" l="1"/>
  <c r="S161" i="10"/>
  <c r="S173" i="10" s="1"/>
  <c r="S2" i="13" s="1"/>
  <c r="U109" i="10"/>
  <c r="U172" i="10" s="1"/>
  <c r="U2" i="12" s="1"/>
  <c r="V61" i="10"/>
  <c r="W113" i="10"/>
  <c r="T57" i="10"/>
  <c r="T171" i="10" s="1"/>
  <c r="T2" i="11" s="1"/>
  <c r="U9" i="10"/>
  <c r="U57" i="10" l="1"/>
  <c r="U171" i="10" s="1"/>
  <c r="U2" i="11" s="1"/>
  <c r="V9" i="10"/>
  <c r="V109" i="10"/>
  <c r="V172" i="10" s="1"/>
  <c r="V2" i="12" s="1"/>
  <c r="W61" i="10"/>
  <c r="X113" i="10"/>
  <c r="U117" i="10"/>
  <c r="T161" i="10"/>
  <c r="T173" i="10" s="1"/>
  <c r="T2" i="13" s="1"/>
  <c r="V117" i="10" l="1"/>
  <c r="U161" i="10"/>
  <c r="U173" i="10" s="1"/>
  <c r="U2" i="13" s="1"/>
  <c r="W9" i="10"/>
  <c r="V57" i="10"/>
  <c r="V171" i="10" s="1"/>
  <c r="V2" i="11" s="1"/>
  <c r="Y113" i="10"/>
  <c r="W109" i="10"/>
  <c r="W172" i="10" s="1"/>
  <c r="W2" i="12" s="1"/>
  <c r="X61" i="10"/>
  <c r="X9" i="10" l="1"/>
  <c r="W57" i="10"/>
  <c r="W171" i="10" s="1"/>
  <c r="W2" i="11" s="1"/>
  <c r="X109" i="10"/>
  <c r="X172" i="10" s="1"/>
  <c r="X2" i="12" s="1"/>
  <c r="Y61" i="10"/>
  <c r="Z113" i="10"/>
  <c r="W117" i="10"/>
  <c r="V161" i="10"/>
  <c r="V173" i="10" s="1"/>
  <c r="V2" i="13" s="1"/>
  <c r="AA113" i="10" l="1"/>
  <c r="X117" i="10"/>
  <c r="W161" i="10"/>
  <c r="W173" i="10" s="1"/>
  <c r="W2" i="13" s="1"/>
  <c r="Y109" i="10"/>
  <c r="Y172" i="10" s="1"/>
  <c r="Y2" i="12" s="1"/>
  <c r="Z61" i="10"/>
  <c r="X57" i="10"/>
  <c r="X171" i="10" s="1"/>
  <c r="X2" i="11" s="1"/>
  <c r="Y9" i="10"/>
  <c r="Z109" i="10" l="1"/>
  <c r="Z172" i="10" s="1"/>
  <c r="Z2" i="12" s="1"/>
  <c r="AA61" i="10"/>
  <c r="Z9" i="10"/>
  <c r="Y57" i="10"/>
  <c r="Y171" i="10" s="1"/>
  <c r="Y2" i="11" s="1"/>
  <c r="AB113" i="10"/>
  <c r="Y117" i="10"/>
  <c r="X161" i="10"/>
  <c r="X173" i="10" s="1"/>
  <c r="X2" i="13" s="1"/>
  <c r="Z117" i="10" l="1"/>
  <c r="Y161" i="10"/>
  <c r="Y173" i="10" s="1"/>
  <c r="Y2" i="13" s="1"/>
  <c r="Z57" i="10"/>
  <c r="Z171" i="10" s="1"/>
  <c r="Z2" i="11" s="1"/>
  <c r="AA9" i="10"/>
  <c r="AA109" i="10"/>
  <c r="AA172" i="10" s="1"/>
  <c r="AA2" i="12" s="1"/>
  <c r="AB61" i="10"/>
  <c r="AB109" i="10" s="1"/>
  <c r="AB172" i="10" s="1"/>
  <c r="AB2" i="12" s="1"/>
  <c r="AA57" i="10" l="1"/>
  <c r="AA171" i="10" s="1"/>
  <c r="AA2" i="11" s="1"/>
  <c r="AB9" i="10"/>
  <c r="AB57" i="10" s="1"/>
  <c r="AB171" i="10" s="1"/>
  <c r="AB2" i="11" s="1"/>
  <c r="AA117" i="10"/>
  <c r="Z161" i="10"/>
  <c r="Z173" i="10" s="1"/>
  <c r="Z2" i="13" s="1"/>
  <c r="AB117" i="10" l="1"/>
  <c r="AB161" i="10" s="1"/>
  <c r="AB173" i="10" s="1"/>
  <c r="AB2" i="13" s="1"/>
  <c r="AA161" i="10"/>
  <c r="AA173" i="10" s="1"/>
  <c r="AA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<sst xmlns="http://schemas.openxmlformats.org/spreadsheetml/2006/main" count="725" uniqueCount="267">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</sst>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78</v>
      </c>
      <c r="C1" s="11">
        <v>46266</v>
      </c>
      <c r="F1" s="1" t="s">
        <v>2</v>
      </c>
      <c r="G1" s="1" t="s">
        <v>3</v>
      </c>
    </row>
    <row r="2" spans="1:7" x14ac:dyDescent="0.45">
      <c r="A2" s="1" t="s">
        <v>4</v>
      </c>
      <c r="B2" t="str">
        <f>INDEX($G$2:$G$49,MATCH($B$1,$F$2:$F$49,0))</f>
        <v>NJ</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New Jersey</v>
      </c>
    </row>
    <row r="2" spans="1:28" x14ac:dyDescent="0.45">
      <c r="B2" t="str">
        <f>About!B2</f>
        <v>NJ</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New Jersey</v>
      </c>
    </row>
    <row r="5" spans="1:29" x14ac:dyDescent="0.45">
      <c r="A5" t="s">
        <v>246</v>
      </c>
      <c r="B5" t="str">
        <f>About!$B$2</f>
        <v>NJ</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2531006.3873660914</v>
      </c>
      <c r="C171">
        <f>IF('State Calculations'!C$5&lt;&gt;"",B171*(1+'State Calculations'!C$5),IFERROR(INDEX(C9:C56,MATCH($B$5,$A9:$A56,0))/C57*C165,0))</f>
        <v>2848982.4779365109</v>
      </c>
      <c r="D171">
        <f>IF('State Calculations'!D$5&lt;&gt;"",C171*(1+'State Calculations'!D$5),IFERROR(INDEX(D9:D56,MATCH($B$5,$A9:$A56,0))/D57*D165,0))</f>
        <v>3195893.9944881457</v>
      </c>
      <c r="E171">
        <f>IF('State Calculations'!E$5&lt;&gt;"",D171*(1+'State Calculations'!E$5),IFERROR(INDEX(E9:E56,MATCH($B$5,$A9:$A56,0))/E57*E165,0))</f>
        <v>3570294.9487127089</v>
      </c>
      <c r="F171">
        <f>IF('State Calculations'!F$5&lt;&gt;"",E171*(1+'State Calculations'!F$5),IFERROR(INDEX(F9:F56,MATCH($B$5,$A9:$A56,0))/F57*F165,0))</f>
        <v>3968035.5948644378</v>
      </c>
      <c r="G171">
        <f>IF('State Calculations'!G$5&lt;&gt;"",F171*(1+'State Calculations'!G$5),IFERROR(INDEX(G9:G56,MATCH($B$5,$A9:$A56,0))/G57*G165,0))</f>
        <v>4380264.3332522772</v>
      </c>
      <c r="H171">
        <f>IF('State Calculations'!H$5&lt;&gt;"",G171*(1+'State Calculations'!H$5),IFERROR(INDEX(H9:H56,MATCH($B$5,$A9:$A56,0))/H57*H165,0))</f>
        <v>4789976.9852455799</v>
      </c>
      <c r="I171">
        <f>IF('State Calculations'!I$5&lt;&gt;"",H171*(1+'State Calculations'!I$5),IFERROR(INDEX(I9:I56,MATCH($B$5,$A9:$A56,0))/I57*I165,0))</f>
        <v>4885599.7145343777</v>
      </c>
      <c r="J171">
        <f>IF('State Calculations'!J$5&lt;&gt;"",I171*(1+'State Calculations'!J$5),IFERROR(INDEX(J9:J56,MATCH($B$5,$A9:$A56,0))/J57*J165,0))</f>
        <v>4975642.995386471</v>
      </c>
      <c r="K171">
        <f>IF('State Calculations'!K$5&lt;&gt;"",J171*(1+'State Calculations'!K$5),IFERROR(INDEX(K9:K56,MATCH($B$5,$A9:$A56,0))/K57*K165,0))</f>
        <v>5058472.7096643737</v>
      </c>
      <c r="L171">
        <f>IF('State Calculations'!L$5&lt;&gt;"",K171*(1+'State Calculations'!L$5),IFERROR(INDEX(L9:L56,MATCH($B$5,$A9:$A56,0))/L57*L165,0))</f>
        <v>5132155.3545609051</v>
      </c>
      <c r="M171">
        <f>IF('State Calculations'!M$5&lt;&gt;"",L171*(1+'State Calculations'!M$5),IFERROR(INDEX(M9:M56,MATCH($B$5,$A9:$A56,0))/M57*M165,0))</f>
        <v>5194427.5429814886</v>
      </c>
      <c r="N171">
        <f>IF('State Calculations'!N$5&lt;&gt;"",M171*(1+'State Calculations'!N$5),IFERROR(INDEX(N9:N56,MATCH($B$5,$A9:$A56,0))/N57*N165,0))</f>
        <v>5206461.6991222044</v>
      </c>
      <c r="O171">
        <f>IF('State Calculations'!O$5&lt;&gt;"",N171*(1+'State Calculations'!O$5),IFERROR(INDEX(O9:O56,MATCH($B$5,$A9:$A56,0))/O57*O165,0))</f>
        <v>5217390.9766188068</v>
      </c>
      <c r="P171">
        <f>IF('State Calculations'!P$5&lt;&gt;"",O171*(1+'State Calculations'!P$5),IFERROR(INDEX(P9:P56,MATCH($B$5,$A9:$A56,0))/P57*P165,0))</f>
        <v>5227156.2347365683</v>
      </c>
      <c r="Q171">
        <f>IF('State Calculations'!Q$5&lt;&gt;"",P171*(1+'State Calculations'!Q$5),IFERROR(INDEX(Q9:Q56,MATCH($B$5,$A9:$A56,0))/Q57*Q165,0))</f>
        <v>5235696.4093932519</v>
      </c>
      <c r="R171">
        <f>IF('State Calculations'!R$5&lt;&gt;"",Q171*(1+'State Calculations'!R$5),IFERROR(INDEX(R9:R56,MATCH($B$5,$A9:$A56,0))/R57*R165,0))</f>
        <v>5242948.5676750867</v>
      </c>
      <c r="S171">
        <f>IF('State Calculations'!S$5&lt;&gt;"",R171*(1+'State Calculations'!S$5),IFERROR(INDEX(S9:S56,MATCH($B$5,$A9:$A56,0))/S57*S165,0))</f>
        <v>5244413.0507677365</v>
      </c>
      <c r="T171">
        <f>IF('State Calculations'!T$5&lt;&gt;"",S171*(1+'State Calculations'!T$5),IFERROR(INDEX(T9:T56,MATCH($B$5,$A9:$A56,0))/T57*T165,0))</f>
        <v>5245787.668340533</v>
      </c>
      <c r="U171">
        <f>IF('State Calculations'!U$5&lt;&gt;"",T171*(1+'State Calculations'!U$5),IFERROR(INDEX(U9:U56,MATCH($B$5,$A9:$A56,0))/U57*U165,0))</f>
        <v>5247071.3089004559</v>
      </c>
      <c r="V171">
        <f>IF('State Calculations'!V$5&lt;&gt;"",U171*(1+'State Calculations'!V$5),IFERROR(INDEX(V9:V56,MATCH($B$5,$A9:$A56,0))/V57*V165,0))</f>
        <v>5248262.8538203361</v>
      </c>
      <c r="W171">
        <f>IF('State Calculations'!W$5&lt;&gt;"",V171*(1+'State Calculations'!W$5),IFERROR(INDEX(W9:W56,MATCH($B$5,$A9:$A56,0))/W57*W165,0))</f>
        <v>5249361.1774695003</v>
      </c>
      <c r="X171">
        <f>IF('State Calculations'!X$5&lt;&gt;"",W171*(1+'State Calculations'!X$5),IFERROR(INDEX(X9:X56,MATCH($B$5,$A9:$A56,0))/X57*X165,0))</f>
        <v>5249611.3228613427</v>
      </c>
      <c r="Y171">
        <f>IF('State Calculations'!Y$5&lt;&gt;"",X171*(1+'State Calculations'!Y$5),IFERROR(INDEX(Y9:Y56,MATCH($B$5,$A9:$A56,0))/Y57*Y165,0))</f>
        <v>5249855.4790506484</v>
      </c>
      <c r="Z171">
        <f>IF('State Calculations'!Z$5&lt;&gt;"",Y171*(1+'State Calculations'!Z$5),IFERROR(INDEX(Z9:Z56,MATCH($B$5,$A9:$A56,0))/Z57*Z165,0))</f>
        <v>5250093.6279208297</v>
      </c>
      <c r="AA171">
        <f>IF('State Calculations'!AA$5&lt;&gt;"",Z171*(1+'State Calculations'!AA$5),IFERROR(INDEX(AA9:AA56,MATCH($B$5,$A9:$A56,0))/AA57*AA165,0))</f>
        <v>5250325.7513286397</v>
      </c>
      <c r="AB171">
        <f>IF('State Calculations'!AB$5&lt;&gt;"",AA171*(1+'State Calculations'!AB$5),IFERROR(INDEX(AB9:AB56,MATCH($B$5,$A9:$A56,0))/AB57*AB165,0))</f>
        <v>5250551.8311043438</v>
      </c>
    </row>
    <row r="172" spans="1:29" x14ac:dyDescent="0.45">
      <c r="A172" s="1" t="s">
        <v>262</v>
      </c>
      <c r="B172">
        <f>IF('State Calculations'!B$5&lt;&gt;"",A172*(1+'State Calculations'!B$5),IFERROR(INDEX(B61:B108,MATCH($B$5,$A61:$A108,0))/B109*B166,0))</f>
        <v>2531006.3873660914</v>
      </c>
      <c r="C172">
        <f>IF('State Calculations'!C$5&lt;&gt;"",B172*(1+'State Calculations'!C$5),IFERROR(INDEX(C61:C108,MATCH($B$5,$A61:$A108,0))/C109*C166,0))</f>
        <v>2981809.5706764874</v>
      </c>
      <c r="D172">
        <f>IF('State Calculations'!D$5&lt;&gt;"",C172*(1+'State Calculations'!D$5),IFERROR(INDEX(D61:D108,MATCH($B$5,$A61:$A108,0))/D109*D166,0))</f>
        <v>3490470.6535315262</v>
      </c>
      <c r="E172">
        <f>IF('State Calculations'!E$5&lt;&gt;"",D172*(1+'State Calculations'!E$5),IFERROR(INDEX(E61:E108,MATCH($B$5,$A61:$A108,0))/E109*E166,0))</f>
        <v>4055483.6279813866</v>
      </c>
      <c r="F172">
        <f>IF('State Calculations'!F$5&lt;&gt;"",E172*(1+'State Calculations'!F$5),IFERROR(INDEX(F61:F108,MATCH($B$5,$A61:$A108,0))/F109*F166,0))</f>
        <v>4669782.63300246</v>
      </c>
      <c r="G172">
        <f>IF('State Calculations'!G$5&lt;&gt;"",F172*(1+'State Calculations'!G$5),IFERROR(INDEX(G61:G108,MATCH($B$5,$A61:$A108,0))/G109*G166,0))</f>
        <v>5317390.3553900411</v>
      </c>
      <c r="H172">
        <f>IF('State Calculations'!H$5&lt;&gt;"",G172*(1+'State Calculations'!H$5),IFERROR(INDEX(H61:H108,MATCH($B$5,$A61:$A108,0))/H109*H166,0))</f>
        <v>5968766.6259819129</v>
      </c>
      <c r="I172">
        <f>IF('State Calculations'!I$5&lt;&gt;"",H172*(1+'State Calculations'!I$5),IFERROR(INDEX(I61:I108,MATCH($B$5,$A61:$A108,0))/I109*I166,0))</f>
        <v>6120744.1391485212</v>
      </c>
      <c r="J172">
        <f>IF('State Calculations'!J$5&lt;&gt;"",I172*(1+'State Calculations'!J$5),IFERROR(INDEX(J61:J108,MATCH($B$5,$A61:$A108,0))/J109*J166,0))</f>
        <v>6263434.0977144735</v>
      </c>
      <c r="K172">
        <f>IF('State Calculations'!K$5&lt;&gt;"",J172*(1+'State Calculations'!K$5),IFERROR(INDEX(K61:K108,MATCH($B$5,$A61:$A108,0))/K109*K166,0))</f>
        <v>6394441.9173716409</v>
      </c>
      <c r="L172">
        <f>IF('State Calculations'!L$5&lt;&gt;"",K172*(1+'State Calculations'!L$5),IFERROR(INDEX(L61:L108,MATCH($B$5,$A61:$A108,0))/L109*L166,0))</f>
        <v>6511087.730950946</v>
      </c>
      <c r="M172">
        <f>IF('State Calculations'!M$5&lt;&gt;"",L172*(1+'State Calculations'!M$5),IFERROR(INDEX(M61:M108,MATCH($B$5,$A61:$A108,0))/M109*M166,0))</f>
        <v>6610412.4836181067</v>
      </c>
      <c r="N172">
        <f>IF('State Calculations'!N$5&lt;&gt;"",M172*(1+'State Calculations'!N$5),IFERROR(INDEX(N61:N108,MATCH($B$5,$A61:$A108,0))/N109*N166,0))</f>
        <v>6629467.2182133403</v>
      </c>
      <c r="O172">
        <f>IF('State Calculations'!O$5&lt;&gt;"",N172*(1+'State Calculations'!O$5),IFERROR(INDEX(O61:O108,MATCH($B$5,$A61:$A108,0))/O109*O166,0))</f>
        <v>6646887.5719886553</v>
      </c>
      <c r="P172">
        <f>IF('State Calculations'!P$5&lt;&gt;"",O172*(1+'State Calculations'!P$5),IFERROR(INDEX(P61:P108,MATCH($B$5,$A61:$A108,0))/P109*P166,0))</f>
        <v>6662603.9460100587</v>
      </c>
      <c r="Q172">
        <f>IF('State Calculations'!Q$5&lt;&gt;"",P172*(1+'State Calculations'!Q$5),IFERROR(INDEX(Q61:Q108,MATCH($B$5,$A61:$A108,0))/Q109*Q166,0))</f>
        <v>6676545.7062038435</v>
      </c>
      <c r="R172">
        <f>IF('State Calculations'!R$5&lt;&gt;"",Q172*(1+'State Calculations'!R$5),IFERROR(INDEX(R61:R108,MATCH($B$5,$A61:$A108,0))/R109*R166,0))</f>
        <v>6688641.3162171757</v>
      </c>
      <c r="S172">
        <f>IF('State Calculations'!S$5&lt;&gt;"",R172*(1+'State Calculations'!S$5),IFERROR(INDEX(S61:S108,MATCH($B$5,$A61:$A108,0))/S109*S166,0))</f>
        <v>6691116.4697573828</v>
      </c>
      <c r="T172">
        <f>IF('State Calculations'!T$5&lt;&gt;"",S172*(1+'State Calculations'!T$5),IFERROR(INDEX(T61:T108,MATCH($B$5,$A61:$A108,0))/T109*T166,0))</f>
        <v>6693463.9427891886</v>
      </c>
      <c r="U172">
        <f>IF('State Calculations'!U$5&lt;&gt;"",T172*(1+'State Calculations'!U$5),IFERROR(INDEX(U61:U108,MATCH($B$5,$A61:$A108,0))/U109*U166,0))</f>
        <v>6695682.5075493632</v>
      </c>
      <c r="V172">
        <f>IF('State Calculations'!V$5&lt;&gt;"",U172*(1+'State Calculations'!V$5),IFERROR(INDEX(V61:V108,MATCH($B$5,$A61:$A108,0))/V109*V166,0))</f>
        <v>6697770.9340119474</v>
      </c>
      <c r="W172">
        <f>IF('State Calculations'!W$5&lt;&gt;"",V172*(1+'State Calculations'!W$5),IFERROR(INDEX(W61:W108,MATCH($B$5,$A61:$A108,0))/W109*W166,0))</f>
        <v>6699727.9900993556</v>
      </c>
      <c r="X172">
        <f>IF('State Calculations'!X$5&lt;&gt;"",W172*(1+'State Calculations'!X$5),IFERROR(INDEX(X61:X108,MATCH($B$5,$A61:$A108,0))/X109*X166,0))</f>
        <v>6700179.176554611</v>
      </c>
      <c r="Y172">
        <f>IF('State Calculations'!Y$5&lt;&gt;"",X172*(1+'State Calculations'!Y$5),IFERROR(INDEX(Y61:Y108,MATCH($B$5,$A61:$A108,0))/Y109*Y166,0))</f>
        <v>6700621.9420855697</v>
      </c>
      <c r="Z172">
        <f>IF('State Calculations'!Z$5&lt;&gt;"",Y172*(1+'State Calculations'!Z$5),IFERROR(INDEX(Z61:Z108,MATCH($B$5,$A61:$A108,0))/Z109*Z166,0))</f>
        <v>6701056.2670061123</v>
      </c>
      <c r="AA172">
        <f>IF('State Calculations'!AA$5&lt;&gt;"",Z172*(1+'State Calculations'!AA$5),IFERROR(INDEX(AA61:AA108,MATCH($B$5,$A61:$A108,0))/AA109*AA166,0))</f>
        <v>6701482.131623975</v>
      </c>
      <c r="AB172">
        <f>IF('State Calculations'!AB$5&lt;&gt;"",AA172*(1+'State Calculations'!AB$5),IFERROR(INDEX(AB61:AB108,MATCH($B$5,$A61:$A108,0))/AB109*AB166,0))</f>
        <v>6701899.516240973</v>
      </c>
    </row>
    <row r="173" spans="1:29" x14ac:dyDescent="0.45">
      <c r="A173" s="1" t="s">
        <v>263</v>
      </c>
      <c r="B173">
        <f>IF('State Calculations'!B$5&lt;&gt;"",A173*(1+'State Calculations'!B$5),IFERROR(INDEX(B113:B160,MATCH($B$5,$A113:$A160,0))/B161*B167,0))</f>
        <v>2531006.3873660914</v>
      </c>
      <c r="C173">
        <f>IF('State Calculations'!C$5&lt;&gt;"",B173*(1+'State Calculations'!C$5),IFERROR(INDEX(C113:C160,MATCH($B$5,$A113:$A160,0))/C161*C167,0))</f>
        <v>3079258.1252691271</v>
      </c>
      <c r="D173">
        <f>IF('State Calculations'!D$5&lt;&gt;"",C173*(1+'State Calculations'!D$5),IFERROR(INDEX(D113:D160,MATCH($B$5,$A113:$A160,0))/D161*D167,0))</f>
        <v>3718280.9262289261</v>
      </c>
      <c r="E173">
        <f>IF('State Calculations'!E$5&lt;&gt;"",D173*(1+'State Calculations'!E$5),IFERROR(INDEX(E113:E160,MATCH($B$5,$A113:$A160,0))/E161*E167,0))</f>
        <v>4451750.5591085767</v>
      </c>
      <c r="F173">
        <f>IF('State Calculations'!F$5&lt;&gt;"",E173*(1+'State Calculations'!F$5),IFERROR(INDEX(F113:F160,MATCH($B$5,$A113:$A160,0))/F161*F167,0))</f>
        <v>5276599.0023567323</v>
      </c>
      <c r="G173">
        <f>IF('State Calculations'!G$5&lt;&gt;"",F173*(1+'State Calculations'!G$5),IFERROR(INDEX(G113:G160,MATCH($B$5,$A113:$A160,0))/G161*G167,0))</f>
        <v>6178081.0524033718</v>
      </c>
      <c r="H173">
        <f>IF('State Calculations'!H$5&lt;&gt;"",G173*(1+'State Calculations'!H$5),IFERROR(INDEX(H113:H160,MATCH($B$5,$A113:$A160,0))/H161*H167,0))</f>
        <v>7122682.8090091199</v>
      </c>
      <c r="I173">
        <f>IF('State Calculations'!I$5&lt;&gt;"",H173*(1+'State Calculations'!I$5),IFERROR(INDEX(I113:I160,MATCH($B$5,$A113:$A160,0))/I161*I167,0))</f>
        <v>7352986.9613485085</v>
      </c>
      <c r="J173">
        <f>IF('State Calculations'!J$5&lt;&gt;"",I173*(1+'State Calculations'!J$5),IFERROR(INDEX(J113:J160,MATCH($B$5,$A113:$A160,0))/J161*J167,0))</f>
        <v>7572614.721340443</v>
      </c>
      <c r="K173">
        <f>IF('State Calculations'!K$5&lt;&gt;"",J173*(1+'State Calculations'!K$5),IFERROR(INDEX(K113:K160,MATCH($B$5,$A113:$A160,0))/K161*K167,0))</f>
        <v>7778004.5139154224</v>
      </c>
      <c r="L173">
        <f>IF('State Calculations'!L$5&lt;&gt;"",K173*(1+'State Calculations'!L$5),IFERROR(INDEX(L113:L160,MATCH($B$5,$A113:$A160,0))/L161*L167,0))</f>
        <v>7965130.5185632315</v>
      </c>
      <c r="M173">
        <f>IF('State Calculations'!M$5&lt;&gt;"",L173*(1+'State Calculations'!M$5),IFERROR(INDEX(M113:M160,MATCH($B$5,$A113:$A160,0))/M161*M167,0))</f>
        <v>8129511.4932693373</v>
      </c>
      <c r="N173">
        <f>IF('State Calculations'!N$5&lt;&gt;"",M173*(1+'State Calculations'!N$5),IFERROR(INDEX(N113:N160,MATCH($B$5,$A113:$A160,0))/N161*N167,0))</f>
        <v>8162339.2893604031</v>
      </c>
      <c r="O173">
        <f>IF('State Calculations'!O$5&lt;&gt;"",N173*(1+'State Calculations'!O$5),IFERROR(INDEX(O113:O160,MATCH($B$5,$A113:$A160,0))/O161*O167,0))</f>
        <v>8192862.6378256427</v>
      </c>
      <c r="P173">
        <f>IF('State Calculations'!P$5&lt;&gt;"",O173*(1+'State Calculations'!P$5),IFERROR(INDEX(P113:P160,MATCH($B$5,$A113:$A160,0))/P161*P167,0))</f>
        <v>8220971.9481128333</v>
      </c>
      <c r="Q173">
        <f>IF('State Calculations'!Q$5&lt;&gt;"",P173*(1+'State Calculations'!Q$5),IFERROR(INDEX(Q113:Q160,MATCH($B$5,$A113:$A160,0))/Q161*Q167,0))</f>
        <v>8246555.9820182072</v>
      </c>
      <c r="R173">
        <f>IF('State Calculations'!R$5&lt;&gt;"",Q173*(1+'State Calculations'!R$5),IFERROR(INDEX(R113:R160,MATCH($B$5,$A113:$A160,0))/R161*R167,0))</f>
        <v>8269502.0976207154</v>
      </c>
      <c r="S173">
        <f>IF('State Calculations'!S$5&lt;&gt;"",R173*(1+'State Calculations'!S$5),IFERROR(INDEX(S113:S160,MATCH($B$5,$A113:$A160,0))/S161*S167,0))</f>
        <v>8274409.6665487858</v>
      </c>
      <c r="T173">
        <f>IF('State Calculations'!T$5&lt;&gt;"",S173*(1+'State Calculations'!T$5),IFERROR(INDEX(T113:T160,MATCH($B$5,$A113:$A160,0))/T161*T167,0))</f>
        <v>8279132.1084870705</v>
      </c>
      <c r="U173">
        <f>IF('State Calculations'!U$5&lt;&gt;"",T173*(1+'State Calculations'!U$5),IFERROR(INDEX(U113:U160,MATCH($B$5,$A113:$A160,0))/U161*U167,0))</f>
        <v>8283667.4761661775</v>
      </c>
      <c r="V173">
        <f>IF('State Calculations'!V$5&lt;&gt;"",U173*(1+'State Calculations'!V$5),IFERROR(INDEX(V113:V160,MATCH($B$5,$A113:$A160,0))/V161*V167,0))</f>
        <v>8288013.8193367198</v>
      </c>
      <c r="W173">
        <f>IF('State Calculations'!W$5&lt;&gt;"",V173*(1+'State Calculations'!W$5),IFERROR(INDEX(W113:W160,MATCH($B$5,$A113:$A160,0))/W161*W167,0))</f>
        <v>8292169.1851650849</v>
      </c>
      <c r="X173">
        <f>IF('State Calculations'!X$5&lt;&gt;"",W173*(1+'State Calculations'!X$5),IFERROR(INDEX(X113:X160,MATCH($B$5,$A113:$A160,0))/X161*X167,0))</f>
        <v>8293149.7909028176</v>
      </c>
      <c r="Y173">
        <f>IF('State Calculations'!Y$5&lt;&gt;"",X173*(1+'State Calculations'!Y$5),IFERROR(INDEX(Y113:Y160,MATCH($B$5,$A113:$A160,0))/Y161*Y167,0))</f>
        <v>8294118.1116150515</v>
      </c>
      <c r="Z173">
        <f>IF('State Calculations'!Z$5&lt;&gt;"",Y173*(1+'State Calculations'!Z$5),IFERROR(INDEX(Z113:Z160,MATCH($B$5,$A113:$A160,0))/Z161*Z167,0))</f>
        <v>8295074.1160529517</v>
      </c>
      <c r="AA173">
        <f>IF('State Calculations'!AA$5&lt;&gt;"",Z173*(1+'State Calculations'!AA$5),IFERROR(INDEX(AA113:AA160,MATCH($B$5,$A113:$A160,0))/AA161*AA167,0))</f>
        <v>8296017.7729613036</v>
      </c>
      <c r="AB173">
        <f>IF('State Calculations'!AB$5&lt;&gt;"",AA173*(1+'State Calculations'!AB$5),IFERROR(INDEX(AB113:AB160,MATCH($B$5,$A113:$A160,0))/AB161*AB167,0))</f>
        <v>8296949.0510789482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2531006.3873660914</v>
      </c>
      <c r="C2">
        <f>Calcs!C171</f>
        <v>2848982.4779365109</v>
      </c>
      <c r="D2">
        <f>Calcs!D171</f>
        <v>3195893.9944881457</v>
      </c>
      <c r="E2">
        <f>Calcs!E171</f>
        <v>3570294.9487127089</v>
      </c>
      <c r="F2">
        <f>Calcs!F171</f>
        <v>3968035.5948644378</v>
      </c>
      <c r="G2">
        <f>Calcs!G171</f>
        <v>4380264.3332522772</v>
      </c>
      <c r="H2">
        <f>Calcs!H171</f>
        <v>4789976.9852455799</v>
      </c>
      <c r="I2">
        <f>Calcs!I171</f>
        <v>4885599.7145343777</v>
      </c>
      <c r="J2">
        <f>Calcs!J171</f>
        <v>4975642.995386471</v>
      </c>
      <c r="K2">
        <f>Calcs!K171</f>
        <v>5058472.7096643737</v>
      </c>
      <c r="L2">
        <f>Calcs!L171</f>
        <v>5132155.3545609051</v>
      </c>
      <c r="M2">
        <f>Calcs!M171</f>
        <v>5194427.5429814886</v>
      </c>
      <c r="N2">
        <f>Calcs!N171</f>
        <v>5206461.6991222044</v>
      </c>
      <c r="O2">
        <f>Calcs!O171</f>
        <v>5217390.9766188068</v>
      </c>
      <c r="P2">
        <f>Calcs!P171</f>
        <v>5227156.2347365683</v>
      </c>
      <c r="Q2">
        <f>Calcs!Q171</f>
        <v>5235696.4093932519</v>
      </c>
      <c r="R2">
        <f>Calcs!R171</f>
        <v>5242948.5676750867</v>
      </c>
      <c r="S2">
        <f>Calcs!S171</f>
        <v>5244413.0507677365</v>
      </c>
      <c r="T2">
        <f>Calcs!T171</f>
        <v>5245787.668340533</v>
      </c>
      <c r="U2">
        <f>Calcs!U171</f>
        <v>5247071.3089004559</v>
      </c>
      <c r="V2">
        <f>Calcs!V171</f>
        <v>5248262.8538203361</v>
      </c>
      <c r="W2">
        <f>Calcs!W171</f>
        <v>5249361.1774695003</v>
      </c>
      <c r="X2">
        <f>Calcs!X171</f>
        <v>5249611.3228613427</v>
      </c>
      <c r="Y2">
        <f>Calcs!Y171</f>
        <v>5249855.4790506484</v>
      </c>
      <c r="Z2">
        <f>Calcs!Z171</f>
        <v>5250093.6279208297</v>
      </c>
      <c r="AA2">
        <f>Calcs!AA171</f>
        <v>5250325.7513286397</v>
      </c>
      <c r="AB2">
        <f>Calcs!AB171</f>
        <v>5250551.8311043438</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2531006.3873660914</v>
      </c>
      <c r="C2">
        <f>Calcs!C172</f>
        <v>2981809.5706764874</v>
      </c>
      <c r="D2">
        <f>Calcs!D172</f>
        <v>3490470.6535315262</v>
      </c>
      <c r="E2">
        <f>Calcs!E172</f>
        <v>4055483.6279813866</v>
      </c>
      <c r="F2">
        <f>Calcs!F172</f>
        <v>4669782.63300246</v>
      </c>
      <c r="G2">
        <f>Calcs!G172</f>
        <v>5317390.3553900411</v>
      </c>
      <c r="H2">
        <f>Calcs!H172</f>
        <v>5968766.6259819129</v>
      </c>
      <c r="I2">
        <f>Calcs!I172</f>
        <v>6120744.1391485212</v>
      </c>
      <c r="J2">
        <f>Calcs!J172</f>
        <v>6263434.0977144735</v>
      </c>
      <c r="K2">
        <f>Calcs!K172</f>
        <v>6394441.9173716409</v>
      </c>
      <c r="L2">
        <f>Calcs!L172</f>
        <v>6511087.730950946</v>
      </c>
      <c r="M2">
        <f>Calcs!M172</f>
        <v>6610412.4836181067</v>
      </c>
      <c r="N2">
        <f>Calcs!N172</f>
        <v>6629467.2182133403</v>
      </c>
      <c r="O2">
        <f>Calcs!O172</f>
        <v>6646887.5719886553</v>
      </c>
      <c r="P2">
        <f>Calcs!P172</f>
        <v>6662603.9460100587</v>
      </c>
      <c r="Q2">
        <f>Calcs!Q172</f>
        <v>6676545.7062038435</v>
      </c>
      <c r="R2">
        <f>Calcs!R172</f>
        <v>6688641.3162171757</v>
      </c>
      <c r="S2">
        <f>Calcs!S172</f>
        <v>6691116.4697573828</v>
      </c>
      <c r="T2">
        <f>Calcs!T172</f>
        <v>6693463.9427891886</v>
      </c>
      <c r="U2">
        <f>Calcs!U172</f>
        <v>6695682.5075493632</v>
      </c>
      <c r="V2">
        <f>Calcs!V172</f>
        <v>6697770.9340119474</v>
      </c>
      <c r="W2">
        <f>Calcs!W172</f>
        <v>6699727.9900993556</v>
      </c>
      <c r="X2">
        <f>Calcs!X172</f>
        <v>6700179.176554611</v>
      </c>
      <c r="Y2">
        <f>Calcs!Y172</f>
        <v>6700621.9420855697</v>
      </c>
      <c r="Z2">
        <f>Calcs!Z172</f>
        <v>6701056.2670061123</v>
      </c>
      <c r="AA2">
        <f>Calcs!AA172</f>
        <v>6701482.131623975</v>
      </c>
      <c r="AB2">
        <f>Calcs!AB172</f>
        <v>6701899.516240973</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2531006.3873660914</v>
      </c>
      <c r="C2">
        <f>Calcs!C173</f>
        <v>3079258.1252691271</v>
      </c>
      <c r="D2">
        <f>Calcs!D173</f>
        <v>3718280.9262289261</v>
      </c>
      <c r="E2">
        <f>Calcs!E173</f>
        <v>4451750.5591085767</v>
      </c>
      <c r="F2">
        <f>Calcs!F173</f>
        <v>5276599.0023567323</v>
      </c>
      <c r="G2">
        <f>Calcs!G173</f>
        <v>6178081.0524033718</v>
      </c>
      <c r="H2">
        <f>Calcs!H173</f>
        <v>7122682.8090091199</v>
      </c>
      <c r="I2">
        <f>Calcs!I173</f>
        <v>7352986.9613485085</v>
      </c>
      <c r="J2">
        <f>Calcs!J173</f>
        <v>7572614.721340443</v>
      </c>
      <c r="K2">
        <f>Calcs!K173</f>
        <v>7778004.5139154224</v>
      </c>
      <c r="L2">
        <f>Calcs!L173</f>
        <v>7965130.5185632315</v>
      </c>
      <c r="M2">
        <f>Calcs!M173</f>
        <v>8129511.4932693373</v>
      </c>
      <c r="N2">
        <f>Calcs!N173</f>
        <v>8162339.2893604031</v>
      </c>
      <c r="O2">
        <f>Calcs!O173</f>
        <v>8192862.6378256427</v>
      </c>
      <c r="P2">
        <f>Calcs!P173</f>
        <v>8220971.9481128333</v>
      </c>
      <c r="Q2">
        <f>Calcs!Q173</f>
        <v>8246555.9820182072</v>
      </c>
      <c r="R2">
        <f>Calcs!R173</f>
        <v>8269502.0976207154</v>
      </c>
      <c r="S2">
        <f>Calcs!S173</f>
        <v>8274409.6665487858</v>
      </c>
      <c r="T2">
        <f>Calcs!T173</f>
        <v>8279132.1084870705</v>
      </c>
      <c r="U2">
        <f>Calcs!U173</f>
        <v>8283667.4761661775</v>
      </c>
      <c r="V2">
        <f>Calcs!V173</f>
        <v>8288013.8193367198</v>
      </c>
      <c r="W2">
        <f>Calcs!W173</f>
        <v>8292169.1851650849</v>
      </c>
      <c r="X2">
        <f>Calcs!X173</f>
        <v>8293149.7909028176</v>
      </c>
      <c r="Y2">
        <f>Calcs!Y173</f>
        <v>8294118.1116150515</v>
      </c>
      <c r="Z2">
        <f>Calcs!Z173</f>
        <v>8295074.1160529517</v>
      </c>
      <c r="AA2">
        <f>Calcs!AA173</f>
        <v>8296017.7729613036</v>
      </c>
      <c r="AB2">
        <f>Calcs!AB173</f>
        <v>8296949.0510789482</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2026-09-01T22:21:46Z</dcterms:modified>
</cp:coreProperties>
</file>