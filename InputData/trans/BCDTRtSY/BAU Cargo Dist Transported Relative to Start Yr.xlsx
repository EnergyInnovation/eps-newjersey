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NJ\trans\BCDTRtSY\"/>
    </mc:Choice>
  </mc:AlternateContent>
  <xr:revisionPtr revIDLastSave="0" documentId="8_{8D725231-2B20-4E47-BCAB-458A8999B6EE}"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<sst xmlns="http://schemas.openxmlformats.org/spreadsheetml/2006/main" count="6428" uniqueCount="3038">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</sst>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2915</v>
      </c>
      <c r="C1" s="77">
        <v>46248</v>
      </c>
      <c r="H1" t="s">
        <v>2981</v>
      </c>
      <c r="I1" t="s">
        <v>2982</v>
      </c>
    </row>
    <row r="2" spans="1:9">
      <c r="B2" t="str">
        <f>VLOOKUP(B1,H2:I52,2)</f>
        <v>NJ</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New Jersey</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1.0052629874348626</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1.0119502288463675</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1.0155622062156369</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1.0187700870571514</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1.0212427844240257</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1.0230685111258357</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1.0250595952302892</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1.0256655569560225</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1.026870534353975</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1.0272373158980264</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1.0283002452926864</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1.0297951959793714</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1.0313479408830188</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1.0323067558345185</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1.0334673867827455</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1.033485503702777</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1.0333832808359185</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1.032949190521897</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1.0327408047918101</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1.0323172758967982</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1.0316322787901426</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1.0301757580445026</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1.0288476012006784</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1.0272949780877796</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1.0261353062065388</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1.0170616382595301</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1.0283156526758042</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1.0361013536824695</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1.0426717287730718</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1.0478375641354516</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1.0513041173173934</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1.054354546038359</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1.057887134408438</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1.0609581839177444</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1.0643527610072663</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1.0669780035677519</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1.0697357151040303</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1.0720031998283008</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1.0742531678400562</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1.0764548470739705</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1.0775842627121062</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1.0786686452293357</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1.0794270402138211</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1.0800698298183007</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1.0806045730929579</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1.0807641240633654</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1.0808155343804193</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1.0804991523302212</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1.0800143517763237</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1.0794634885673082</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1.0304679159945924</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1.0483317796474523</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1.0554223912963627</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1.0673204714870046</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1.0833318903132787</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1.0983100751141972</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1.1176288686899165</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1.1388167338033737</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1.162330140585401</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1.1883604865835706</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1.2074906113914421</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1.2266873591330505</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1.2456310656062073</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1.2635883458427641</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1.2819849380711021</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1.2986246946403077</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1.316320106007508</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1.3353075678768238</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1.3541939661901208</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1.3731907121920632</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1.3911679013069163</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1.4071923097522043</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1.4233789510706396</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1.4385057786383049</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1.4541002521394819</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1.0628008993127687</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1.1091706385606648</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1.1439892316017581</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1.1739742369754167</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1.1993227581147063</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1.2202665015812331</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1.2390170441095605</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1.2586127630964625</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1.2731849083553433</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1.2877182852735849</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1.2985618080427324</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1.3102626959904859</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1.3206752533451198</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1.3284131350853583</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1.3365036575902729</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1.3426982587531502</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1.3489145524871649</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1.3535934477574021</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1.3590718478213388</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1.3651929357796042</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1.3697048046417748</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1.3749270725359128</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1.3778768466623732</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1.3804198362559075</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1.3826630967596749</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1.0010867343126448</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0.99510810443448194</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0.9831998253506451</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0.97374627050002061</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0.96659127568545933</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0.95890693001430627</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0.95355192224526863</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0.94939130467826394</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0.94646658447936227</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0.9448311305840511</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0.94026250960041591</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0.93573913119432406</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0.93106166001183976</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0.92632261212907541</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0.92168302623455411</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0.91604450120736958</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0.91083413609764818</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0.90592393568581642</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0.90102386685152813</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0.8961017964098752</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0.89073071266400805</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0.8847352683333396</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0.87861369692976488</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0.87213770734342988</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0.86593934237325676</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1.005027552200257</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1.0122465015097577</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1.0165325755581422</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1.0206135365893196</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1.0236697487048869</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1.0267375612605927</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1.0298579578708906</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1.0314554527789039</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1.0334114973094828</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1.0344686454944767</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1.0363294670789556</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1.0386411929100596</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1.0409275782041527</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1.042499509412498</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1.0443033440138565</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1.0452424651781302</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1.0459195312191967</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1.0463686956053821</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1.0471544971012277</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1.0478122165521904</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1.0480137148832762</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1.0474930119869277</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1.0469251243210351</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1.0462070411127129</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1.0458885433277858</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0.99523363229825856</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0.99593415024527465</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0.99627086829835954</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0.99778003608574639</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1.0040642732684995</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1.008863953906719</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1.0154717758769296</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1.0207999497197564</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1.028076842209144</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1.0360807602867896</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1.0444449902039308</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1.0540979606101006</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1.0650121943058721</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1.0763196426009705</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1.088170031238469</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1.098726069349742</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1.1086808448487515</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1.1160662611408572</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1.1231939647549292</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1.13170850316761</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1.1407109035713761</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1.1504205643284808</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1.1588576263679724</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1.1680979340398001</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1.1765884212439954</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1.0098652518056259</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1.0239553013437632</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1.0371702047413691</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1.0477843726763807</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1.0607602941843508</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1.0692014112535637</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1.0785671557009622</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1.0857551677703983</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1.0942119187454589</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1.1025450409578197</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1.110086135613513</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1.1169375924296787</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1.1227831979463632</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1.1280651245732725</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1.1335344089718016</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1.1384161295657429</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1.142768719607421</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1.1461008350083974</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1.1497557669191687</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1.1553064320267081</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1.1610756611060791</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1.1667551430123126</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1.1702937975215573</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1.1737594707323602</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1.1766587189427005</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1.0259211843245017</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1.0440567165919226</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1.0557251888725743</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1.0710734977810579</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1.0893810392998711</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1.1071882499286629</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1.1281100734020617</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1.1505066563126873</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1.1746861866715517</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1.2007662189668264</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1.2223682867153174</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1.2441721381579374</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1.265953218949871</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1.2871969905316467</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1.3088946906519143</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1.3293724507991909</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1.3506975836673705</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1.3730405534310339</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1.3954449564267759</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1.4180540905020689</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1.4400866869313615</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1.4608828352381782</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1.481925017999687</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1.5023586736765258</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1.5232742447272867</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0.97640572672058534</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1.0069869808234992</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0.98546070993442325</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0.97682036390270532</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0.98246420630922626</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0.95636232666406173</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0.95947431936746275</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0.96273549976899586</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0.95911591075403269</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0.96136582185484021</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0.96276582036035296</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0.96553631423807573</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0.9650609498602829</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0.9661444134577053</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0.96624832332565491</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0.96424124872911676</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0.96014131514563117</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0.95668191320413043</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0.95567484676159409</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0.9540841964382335</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0.95498398625649994</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0.95951266793856471</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0.96145784854506711</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0.95763307371665951</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0.954473705726815</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0.99126390419057431</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1.0094991445559907</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1.0297268561665531</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1.0465676720464367</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1.0643044310440795</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1.080484275487027</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1.0986862911158528</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1.1171596737954952</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1.1363283534794792</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1.1564791534363417</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1.1726127044072194</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1.1853990480652199</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1.1981615932667231</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1.2097333156459928</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1.2213730675568482</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1.2322491518607219</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1.2441658813369403</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1.2556447551531653</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1.2669569387209587</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1.2795930852165178</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1.2923639688543309</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1.305304248737899</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1.3174611930984794</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1.3292937811837742</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1.3425316654626205</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1.0052629874348626</v>
      </c>
      <c r="E2">
        <f>'BCDTRtSY-state-adjusted'!E5</f>
        <v>1.0119502288463675</v>
      </c>
      <c r="F2">
        <f>'BCDTRtSY-state-adjusted'!F5</f>
        <v>1.0155622062156369</v>
      </c>
      <c r="G2">
        <f>'BCDTRtSY-state-adjusted'!G5</f>
        <v>1.0187700870571514</v>
      </c>
      <c r="H2">
        <f>'BCDTRtSY-state-adjusted'!H5</f>
        <v>1.0212427844240257</v>
      </c>
      <c r="I2">
        <f>'BCDTRtSY-state-adjusted'!I5</f>
        <v>1.0230685111258357</v>
      </c>
      <c r="J2">
        <f>'BCDTRtSY-state-adjusted'!J5</f>
        <v>1.0250595952302892</v>
      </c>
      <c r="K2">
        <f>'BCDTRtSY-state-adjusted'!K5</f>
        <v>1.0256655569560225</v>
      </c>
      <c r="L2">
        <f>'BCDTRtSY-state-adjusted'!L5</f>
        <v>1.026870534353975</v>
      </c>
      <c r="M2">
        <f>'BCDTRtSY-state-adjusted'!M5</f>
        <v>1.0272373158980264</v>
      </c>
      <c r="N2">
        <f>'BCDTRtSY-state-adjusted'!N5</f>
        <v>1.0283002452926864</v>
      </c>
      <c r="O2">
        <f>'BCDTRtSY-state-adjusted'!O5</f>
        <v>1.0297951959793714</v>
      </c>
      <c r="P2">
        <f>'BCDTRtSY-state-adjusted'!P5</f>
        <v>1.0313479408830188</v>
      </c>
      <c r="Q2">
        <f>'BCDTRtSY-state-adjusted'!Q5</f>
        <v>1.0323067558345185</v>
      </c>
      <c r="R2">
        <f>'BCDTRtSY-state-adjusted'!R5</f>
        <v>1.0334673867827455</v>
      </c>
      <c r="S2">
        <f>'BCDTRtSY-state-adjusted'!S5</f>
        <v>1.033485503702777</v>
      </c>
      <c r="T2">
        <f>'BCDTRtSY-state-adjusted'!T5</f>
        <v>1.0333832808359185</v>
      </c>
      <c r="U2">
        <f>'BCDTRtSY-state-adjusted'!U5</f>
        <v>1.032949190521897</v>
      </c>
      <c r="V2">
        <f>'BCDTRtSY-state-adjusted'!V5</f>
        <v>1.0327408047918101</v>
      </c>
      <c r="W2">
        <f>'BCDTRtSY-state-adjusted'!W5</f>
        <v>1.0323172758967982</v>
      </c>
      <c r="X2">
        <f>'BCDTRtSY-state-adjusted'!X5</f>
        <v>1.0316322787901426</v>
      </c>
      <c r="Y2">
        <f>'BCDTRtSY-state-adjusted'!Y5</f>
        <v>1.0301757580445026</v>
      </c>
      <c r="Z2">
        <f>'BCDTRtSY-state-adjusted'!Z5</f>
        <v>1.0288476012006784</v>
      </c>
      <c r="AA2">
        <f>'BCDTRtSY-state-adjusted'!AA5</f>
        <v>1.0272949780877796</v>
      </c>
      <c r="AB2">
        <f>'BCDTRtSY-state-adjusted'!AB5</f>
        <v>1.0261353062065388</v>
      </c>
    </row>
    <row r="3" spans="1:28">
      <c r="A3" t="s">
        <v>118</v>
      </c>
      <c r="B3">
        <f>'BCDTRtSY-state-adjusted'!B6</f>
        <v>1</v>
      </c>
      <c r="C3">
        <f>'BCDTRtSY-state-adjusted'!C6</f>
        <v>1</v>
      </c>
      <c r="D3">
        <f>'BCDTRtSY-state-adjusted'!D6</f>
        <v>1.0170616382595301</v>
      </c>
      <c r="E3">
        <f>'BCDTRtSY-state-adjusted'!E6</f>
        <v>1.0283156526758042</v>
      </c>
      <c r="F3">
        <f>'BCDTRtSY-state-adjusted'!F6</f>
        <v>1.0361013536824695</v>
      </c>
      <c r="G3">
        <f>'BCDTRtSY-state-adjusted'!G6</f>
        <v>1.0426717287730718</v>
      </c>
      <c r="H3">
        <f>'BCDTRtSY-state-adjusted'!H6</f>
        <v>1.0478375641354516</v>
      </c>
      <c r="I3">
        <f>'BCDTRtSY-state-adjusted'!I6</f>
        <v>1.0513041173173934</v>
      </c>
      <c r="J3">
        <f>'BCDTRtSY-state-adjusted'!J6</f>
        <v>1.054354546038359</v>
      </c>
      <c r="K3">
        <f>'BCDTRtSY-state-adjusted'!K6</f>
        <v>1.057887134408438</v>
      </c>
      <c r="L3">
        <f>'BCDTRtSY-state-adjusted'!L6</f>
        <v>1.0609581839177444</v>
      </c>
      <c r="M3">
        <f>'BCDTRtSY-state-adjusted'!M6</f>
        <v>1.0643527610072663</v>
      </c>
      <c r="N3">
        <f>'BCDTRtSY-state-adjusted'!N6</f>
        <v>1.0669780035677519</v>
      </c>
      <c r="O3">
        <f>'BCDTRtSY-state-adjusted'!O6</f>
        <v>1.0697357151040303</v>
      </c>
      <c r="P3">
        <f>'BCDTRtSY-state-adjusted'!P6</f>
        <v>1.0720031998283008</v>
      </c>
      <c r="Q3">
        <f>'BCDTRtSY-state-adjusted'!Q6</f>
        <v>1.0742531678400562</v>
      </c>
      <c r="R3">
        <f>'BCDTRtSY-state-adjusted'!R6</f>
        <v>1.0764548470739705</v>
      </c>
      <c r="S3">
        <f>'BCDTRtSY-state-adjusted'!S6</f>
        <v>1.0775842627121062</v>
      </c>
      <c r="T3">
        <f>'BCDTRtSY-state-adjusted'!T6</f>
        <v>1.0786686452293357</v>
      </c>
      <c r="U3">
        <f>'BCDTRtSY-state-adjusted'!U6</f>
        <v>1.0794270402138211</v>
      </c>
      <c r="V3">
        <f>'BCDTRtSY-state-adjusted'!V6</f>
        <v>1.0800698298183007</v>
      </c>
      <c r="W3">
        <f>'BCDTRtSY-state-adjusted'!W6</f>
        <v>1.0806045730929579</v>
      </c>
      <c r="X3">
        <f>'BCDTRtSY-state-adjusted'!X6</f>
        <v>1.0807641240633654</v>
      </c>
      <c r="Y3">
        <f>'BCDTRtSY-state-adjusted'!Y6</f>
        <v>1.0808155343804193</v>
      </c>
      <c r="Z3">
        <f>'BCDTRtSY-state-adjusted'!Z6</f>
        <v>1.0804991523302212</v>
      </c>
      <c r="AA3">
        <f>'BCDTRtSY-state-adjusted'!AA6</f>
        <v>1.0800143517763237</v>
      </c>
      <c r="AB3">
        <f>'BCDTRtSY-state-adjusted'!AB6</f>
        <v>1.0794634885673082</v>
      </c>
    </row>
    <row r="4" spans="1:28">
      <c r="A4" t="s">
        <v>116</v>
      </c>
      <c r="B4">
        <f>'BCDTRtSY-state-adjusted'!B7</f>
        <v>1</v>
      </c>
      <c r="C4">
        <f>'BCDTRtSY-state-adjusted'!C7</f>
        <v>1</v>
      </c>
      <c r="D4">
        <f>'BCDTRtSY-state-adjusted'!D7</f>
        <v>1.0304679159945924</v>
      </c>
      <c r="E4">
        <f>'BCDTRtSY-state-adjusted'!E7</f>
        <v>1.0483317796474523</v>
      </c>
      <c r="F4">
        <f>'BCDTRtSY-state-adjusted'!F7</f>
        <v>1.0554223912963627</v>
      </c>
      <c r="G4">
        <f>'BCDTRtSY-state-adjusted'!G7</f>
        <v>1.0673204714870046</v>
      </c>
      <c r="H4">
        <f>'BCDTRtSY-state-adjusted'!H7</f>
        <v>1.0833318903132787</v>
      </c>
      <c r="I4">
        <f>'BCDTRtSY-state-adjusted'!I7</f>
        <v>1.0983100751141972</v>
      </c>
      <c r="J4">
        <f>'BCDTRtSY-state-adjusted'!J7</f>
        <v>1.1176288686899165</v>
      </c>
      <c r="K4">
        <f>'BCDTRtSY-state-adjusted'!K7</f>
        <v>1.1388167338033737</v>
      </c>
      <c r="L4">
        <f>'BCDTRtSY-state-adjusted'!L7</f>
        <v>1.162330140585401</v>
      </c>
      <c r="M4">
        <f>'BCDTRtSY-state-adjusted'!M7</f>
        <v>1.1883604865835706</v>
      </c>
      <c r="N4">
        <f>'BCDTRtSY-state-adjusted'!N7</f>
        <v>1.2074906113914421</v>
      </c>
      <c r="O4">
        <f>'BCDTRtSY-state-adjusted'!O7</f>
        <v>1.2266873591330505</v>
      </c>
      <c r="P4">
        <f>'BCDTRtSY-state-adjusted'!P7</f>
        <v>1.2456310656062073</v>
      </c>
      <c r="Q4">
        <f>'BCDTRtSY-state-adjusted'!Q7</f>
        <v>1.2635883458427641</v>
      </c>
      <c r="R4">
        <f>'BCDTRtSY-state-adjusted'!R7</f>
        <v>1.2819849380711021</v>
      </c>
      <c r="S4">
        <f>'BCDTRtSY-state-adjusted'!S7</f>
        <v>1.2986246946403077</v>
      </c>
      <c r="T4">
        <f>'BCDTRtSY-state-adjusted'!T7</f>
        <v>1.316320106007508</v>
      </c>
      <c r="U4">
        <f>'BCDTRtSY-state-adjusted'!U7</f>
        <v>1.3353075678768238</v>
      </c>
      <c r="V4">
        <f>'BCDTRtSY-state-adjusted'!V7</f>
        <v>1.3541939661901208</v>
      </c>
      <c r="W4">
        <f>'BCDTRtSY-state-adjusted'!W7</f>
        <v>1.3731907121920632</v>
      </c>
      <c r="X4">
        <f>'BCDTRtSY-state-adjusted'!X7</f>
        <v>1.3911679013069163</v>
      </c>
      <c r="Y4">
        <f>'BCDTRtSY-state-adjusted'!Y7</f>
        <v>1.4071923097522043</v>
      </c>
      <c r="Z4">
        <f>'BCDTRtSY-state-adjusted'!Z7</f>
        <v>1.4233789510706396</v>
      </c>
      <c r="AA4">
        <f>'BCDTRtSY-state-adjusted'!AA7</f>
        <v>1.4385057786383049</v>
      </c>
      <c r="AB4">
        <f>'BCDTRtSY-state-adjusted'!AB7</f>
        <v>1.4541002521394819</v>
      </c>
    </row>
    <row r="5" spans="1:28">
      <c r="A5" t="s">
        <v>121</v>
      </c>
      <c r="B5">
        <f>'BCDTRtSY-state-adjusted'!B8</f>
        <v>1</v>
      </c>
      <c r="C5">
        <f>'BCDTRtSY-state-adjusted'!C8</f>
        <v>1</v>
      </c>
      <c r="D5">
        <f>'BCDTRtSY-state-adjusted'!D8</f>
        <v>1.0628008993127687</v>
      </c>
      <c r="E5">
        <f>'BCDTRtSY-state-adjusted'!E8</f>
        <v>1.1091706385606648</v>
      </c>
      <c r="F5">
        <f>'BCDTRtSY-state-adjusted'!F8</f>
        <v>1.1439892316017581</v>
      </c>
      <c r="G5">
        <f>'BCDTRtSY-state-adjusted'!G8</f>
        <v>1.1739742369754167</v>
      </c>
      <c r="H5">
        <f>'BCDTRtSY-state-adjusted'!H8</f>
        <v>1.1993227581147063</v>
      </c>
      <c r="I5">
        <f>'BCDTRtSY-state-adjusted'!I8</f>
        <v>1.2202665015812331</v>
      </c>
      <c r="J5">
        <f>'BCDTRtSY-state-adjusted'!J8</f>
        <v>1.2390170441095605</v>
      </c>
      <c r="K5">
        <f>'BCDTRtSY-state-adjusted'!K8</f>
        <v>1.2586127630964625</v>
      </c>
      <c r="L5">
        <f>'BCDTRtSY-state-adjusted'!L8</f>
        <v>1.2731849083553433</v>
      </c>
      <c r="M5">
        <f>'BCDTRtSY-state-adjusted'!M8</f>
        <v>1.2877182852735849</v>
      </c>
      <c r="N5">
        <f>'BCDTRtSY-state-adjusted'!N8</f>
        <v>1.2985618080427324</v>
      </c>
      <c r="O5">
        <f>'BCDTRtSY-state-adjusted'!O8</f>
        <v>1.3102626959904859</v>
      </c>
      <c r="P5">
        <f>'BCDTRtSY-state-adjusted'!P8</f>
        <v>1.3206752533451198</v>
      </c>
      <c r="Q5">
        <f>'BCDTRtSY-state-adjusted'!Q8</f>
        <v>1.3284131350853583</v>
      </c>
      <c r="R5">
        <f>'BCDTRtSY-state-adjusted'!R8</f>
        <v>1.3365036575902729</v>
      </c>
      <c r="S5">
        <f>'BCDTRtSY-state-adjusted'!S8</f>
        <v>1.3426982587531502</v>
      </c>
      <c r="T5">
        <f>'BCDTRtSY-state-adjusted'!T8</f>
        <v>1.3489145524871649</v>
      </c>
      <c r="U5">
        <f>'BCDTRtSY-state-adjusted'!U8</f>
        <v>1.3535934477574021</v>
      </c>
      <c r="V5">
        <f>'BCDTRtSY-state-adjusted'!V8</f>
        <v>1.3590718478213388</v>
      </c>
      <c r="W5">
        <f>'BCDTRtSY-state-adjusted'!W8</f>
        <v>1.3651929357796042</v>
      </c>
      <c r="X5">
        <f>'BCDTRtSY-state-adjusted'!X8</f>
        <v>1.3697048046417748</v>
      </c>
      <c r="Y5">
        <f>'BCDTRtSY-state-adjusted'!Y8</f>
        <v>1.3749270725359128</v>
      </c>
      <c r="Z5">
        <f>'BCDTRtSY-state-adjusted'!Z8</f>
        <v>1.3778768466623732</v>
      </c>
      <c r="AA5">
        <f>'BCDTRtSY-state-adjusted'!AA8</f>
        <v>1.3804198362559075</v>
      </c>
      <c r="AB5">
        <f>'BCDTRtSY-state-adjusted'!AB8</f>
        <v>1.3826630967596749</v>
      </c>
    </row>
    <row r="6" spans="1:28">
      <c r="A6" t="s">
        <v>122</v>
      </c>
      <c r="B6">
        <f>'BCDTRtSY-state-adjusted'!B9</f>
        <v>1</v>
      </c>
      <c r="C6">
        <f>'BCDTRtSY-state-adjusted'!C9</f>
        <v>1</v>
      </c>
      <c r="D6">
        <f>'BCDTRtSY-state-adjusted'!D9</f>
        <v>1.0010867343126448</v>
      </c>
      <c r="E6">
        <f>'BCDTRtSY-state-adjusted'!E9</f>
        <v>0.99510810443448194</v>
      </c>
      <c r="F6">
        <f>'BCDTRtSY-state-adjusted'!F9</f>
        <v>0.9831998253506451</v>
      </c>
      <c r="G6">
        <f>'BCDTRtSY-state-adjusted'!G9</f>
        <v>0.97374627050002061</v>
      </c>
      <c r="H6">
        <f>'BCDTRtSY-state-adjusted'!H9</f>
        <v>0.96659127568545933</v>
      </c>
      <c r="I6">
        <f>'BCDTRtSY-state-adjusted'!I9</f>
        <v>0.95890693001430627</v>
      </c>
      <c r="J6">
        <f>'BCDTRtSY-state-adjusted'!J9</f>
        <v>0.95355192224526863</v>
      </c>
      <c r="K6">
        <f>'BCDTRtSY-state-adjusted'!K9</f>
        <v>0.94939130467826394</v>
      </c>
      <c r="L6">
        <f>'BCDTRtSY-state-adjusted'!L9</f>
        <v>0.94646658447936227</v>
      </c>
      <c r="M6">
        <f>'BCDTRtSY-state-adjusted'!M9</f>
        <v>0.9448311305840511</v>
      </c>
      <c r="N6">
        <f>'BCDTRtSY-state-adjusted'!N9</f>
        <v>0.94026250960041591</v>
      </c>
      <c r="O6">
        <f>'BCDTRtSY-state-adjusted'!O9</f>
        <v>0.93573913119432406</v>
      </c>
      <c r="P6">
        <f>'BCDTRtSY-state-adjusted'!P9</f>
        <v>0.93106166001183976</v>
      </c>
      <c r="Q6">
        <f>'BCDTRtSY-state-adjusted'!Q9</f>
        <v>0.92632261212907541</v>
      </c>
      <c r="R6">
        <f>'BCDTRtSY-state-adjusted'!R9</f>
        <v>0.92168302623455411</v>
      </c>
      <c r="S6">
        <f>'BCDTRtSY-state-adjusted'!S9</f>
        <v>0.91604450120736958</v>
      </c>
      <c r="T6">
        <f>'BCDTRtSY-state-adjusted'!T9</f>
        <v>0.91083413609764818</v>
      </c>
      <c r="U6">
        <f>'BCDTRtSY-state-adjusted'!U9</f>
        <v>0.90592393568581642</v>
      </c>
      <c r="V6">
        <f>'BCDTRtSY-state-adjusted'!V9</f>
        <v>0.90102386685152813</v>
      </c>
      <c r="W6">
        <f>'BCDTRtSY-state-adjusted'!W9</f>
        <v>0.8961017964098752</v>
      </c>
      <c r="X6">
        <f>'BCDTRtSY-state-adjusted'!X9</f>
        <v>0.89073071266400805</v>
      </c>
      <c r="Y6">
        <f>'BCDTRtSY-state-adjusted'!Y9</f>
        <v>0.8847352683333396</v>
      </c>
      <c r="Z6">
        <f>'BCDTRtSY-state-adjusted'!Z9</f>
        <v>0.87861369692976488</v>
      </c>
      <c r="AA6">
        <f>'BCDTRtSY-state-adjusted'!AA9</f>
        <v>0.87213770734342988</v>
      </c>
      <c r="AB6">
        <f>'BCDTRtSY-state-adjusted'!AB9</f>
        <v>0.86593934237325676</v>
      </c>
    </row>
    <row r="7" spans="1:28">
      <c r="A7" t="s">
        <v>123</v>
      </c>
      <c r="B7">
        <f>'BCDTRtSY-state-adjusted'!B10</f>
        <v>1</v>
      </c>
      <c r="C7">
        <f>'BCDTRtSY-state-adjusted'!C10</f>
        <v>1</v>
      </c>
      <c r="D7">
        <f>'BCDTRtSY-state-adjusted'!D10</f>
        <v>1.005027552200257</v>
      </c>
      <c r="E7">
        <f>'BCDTRtSY-state-adjusted'!E10</f>
        <v>1.0122465015097577</v>
      </c>
      <c r="F7">
        <f>'BCDTRtSY-state-adjusted'!F10</f>
        <v>1.0165325755581422</v>
      </c>
      <c r="G7">
        <f>'BCDTRtSY-state-adjusted'!G10</f>
        <v>1.0206135365893196</v>
      </c>
      <c r="H7">
        <f>'BCDTRtSY-state-adjusted'!H10</f>
        <v>1.0236697487048869</v>
      </c>
      <c r="I7">
        <f>'BCDTRtSY-state-adjusted'!I10</f>
        <v>1.0267375612605927</v>
      </c>
      <c r="J7">
        <f>'BCDTRtSY-state-adjusted'!J10</f>
        <v>1.0298579578708906</v>
      </c>
      <c r="K7">
        <f>'BCDTRtSY-state-adjusted'!K10</f>
        <v>1.0314554527789039</v>
      </c>
      <c r="L7">
        <f>'BCDTRtSY-state-adjusted'!L10</f>
        <v>1.0334114973094828</v>
      </c>
      <c r="M7">
        <f>'BCDTRtSY-state-adjusted'!M10</f>
        <v>1.0344686454944767</v>
      </c>
      <c r="N7">
        <f>'BCDTRtSY-state-adjusted'!N10</f>
        <v>1.0363294670789556</v>
      </c>
      <c r="O7">
        <f>'BCDTRtSY-state-adjusted'!O10</f>
        <v>1.0386411929100596</v>
      </c>
      <c r="P7">
        <f>'BCDTRtSY-state-adjusted'!P10</f>
        <v>1.0409275782041527</v>
      </c>
      <c r="Q7">
        <f>'BCDTRtSY-state-adjusted'!Q10</f>
        <v>1.042499509412498</v>
      </c>
      <c r="R7">
        <f>'BCDTRtSY-state-adjusted'!R10</f>
        <v>1.0443033440138565</v>
      </c>
      <c r="S7">
        <f>'BCDTRtSY-state-adjusted'!S10</f>
        <v>1.0452424651781302</v>
      </c>
      <c r="T7">
        <f>'BCDTRtSY-state-adjusted'!T10</f>
        <v>1.0459195312191967</v>
      </c>
      <c r="U7">
        <f>'BCDTRtSY-state-adjusted'!U10</f>
        <v>1.0463686956053821</v>
      </c>
      <c r="V7">
        <f>'BCDTRtSY-state-adjusted'!V10</f>
        <v>1.0471544971012277</v>
      </c>
      <c r="W7">
        <f>'BCDTRtSY-state-adjusted'!W10</f>
        <v>1.0478122165521904</v>
      </c>
      <c r="X7">
        <f>'BCDTRtSY-state-adjusted'!X10</f>
        <v>1.0480137148832762</v>
      </c>
      <c r="Y7">
        <f>'BCDTRtSY-state-adjusted'!Y10</f>
        <v>1.0474930119869277</v>
      </c>
      <c r="Z7">
        <f>'BCDTRtSY-state-adjusted'!Z10</f>
        <v>1.0469251243210351</v>
      </c>
      <c r="AA7">
        <f>'BCDTRtSY-state-adjusted'!AA10</f>
        <v>1.0462070411127129</v>
      </c>
      <c r="AB7">
        <f>'BCDTRtSY-state-adjusted'!AB10</f>
        <v>1.0458885433277858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0.99523363229825856</v>
      </c>
      <c r="E2">
        <f>'BCDTRtSY-state-adjusted'!E13</f>
        <v>0.99593415024527465</v>
      </c>
      <c r="F2">
        <f>'BCDTRtSY-state-adjusted'!F13</f>
        <v>0.99627086829835954</v>
      </c>
      <c r="G2">
        <f>'BCDTRtSY-state-adjusted'!G13</f>
        <v>0.99778003608574639</v>
      </c>
      <c r="H2">
        <f>'BCDTRtSY-state-adjusted'!H13</f>
        <v>1.0040642732684995</v>
      </c>
      <c r="I2">
        <f>'BCDTRtSY-state-adjusted'!I13</f>
        <v>1.008863953906719</v>
      </c>
      <c r="J2">
        <f>'BCDTRtSY-state-adjusted'!J13</f>
        <v>1.0154717758769296</v>
      </c>
      <c r="K2">
        <f>'BCDTRtSY-state-adjusted'!K13</f>
        <v>1.0207999497197564</v>
      </c>
      <c r="L2">
        <f>'BCDTRtSY-state-adjusted'!L13</f>
        <v>1.028076842209144</v>
      </c>
      <c r="M2">
        <f>'BCDTRtSY-state-adjusted'!M13</f>
        <v>1.0360807602867896</v>
      </c>
      <c r="N2">
        <f>'BCDTRtSY-state-adjusted'!N13</f>
        <v>1.0444449902039308</v>
      </c>
      <c r="O2">
        <f>'BCDTRtSY-state-adjusted'!O13</f>
        <v>1.0540979606101006</v>
      </c>
      <c r="P2">
        <f>'BCDTRtSY-state-adjusted'!P13</f>
        <v>1.0650121943058721</v>
      </c>
      <c r="Q2">
        <f>'BCDTRtSY-state-adjusted'!Q13</f>
        <v>1.0763196426009705</v>
      </c>
      <c r="R2">
        <f>'BCDTRtSY-state-adjusted'!R13</f>
        <v>1.088170031238469</v>
      </c>
      <c r="S2">
        <f>'BCDTRtSY-state-adjusted'!S13</f>
        <v>1.098726069349742</v>
      </c>
      <c r="T2">
        <f>'BCDTRtSY-state-adjusted'!T13</f>
        <v>1.1086808448487515</v>
      </c>
      <c r="U2">
        <f>'BCDTRtSY-state-adjusted'!U13</f>
        <v>1.1160662611408572</v>
      </c>
      <c r="V2">
        <f>'BCDTRtSY-state-adjusted'!V13</f>
        <v>1.1231939647549292</v>
      </c>
      <c r="W2">
        <f>'BCDTRtSY-state-adjusted'!W13</f>
        <v>1.13170850316761</v>
      </c>
      <c r="X2">
        <f>'BCDTRtSY-state-adjusted'!X13</f>
        <v>1.1407109035713761</v>
      </c>
      <c r="Y2">
        <f>'BCDTRtSY-state-adjusted'!Y13</f>
        <v>1.1504205643284808</v>
      </c>
      <c r="Z2">
        <f>'BCDTRtSY-state-adjusted'!Z13</f>
        <v>1.1588576263679724</v>
      </c>
      <c r="AA2">
        <f>'BCDTRtSY-state-adjusted'!AA13</f>
        <v>1.1680979340398001</v>
      </c>
      <c r="AB2">
        <f>'BCDTRtSY-state-adjusted'!AB13</f>
        <v>1.1765884212439954</v>
      </c>
    </row>
    <row r="3" spans="1:28">
      <c r="A3" t="s">
        <v>118</v>
      </c>
      <c r="B3">
        <f>'BCDTRtSY-state-adjusted'!B14</f>
        <v>1</v>
      </c>
      <c r="C3">
        <f>'BCDTRtSY-state-adjusted'!C14</f>
        <v>1</v>
      </c>
      <c r="D3">
        <f>'BCDTRtSY-state-adjusted'!D14</f>
        <v>1.0098652518056259</v>
      </c>
      <c r="E3">
        <f>'BCDTRtSY-state-adjusted'!E14</f>
        <v>1.0239553013437632</v>
      </c>
      <c r="F3">
        <f>'BCDTRtSY-state-adjusted'!F14</f>
        <v>1.0371702047413691</v>
      </c>
      <c r="G3">
        <f>'BCDTRtSY-state-adjusted'!G14</f>
        <v>1.0477843726763807</v>
      </c>
      <c r="H3">
        <f>'BCDTRtSY-state-adjusted'!H14</f>
        <v>1.0607602941843508</v>
      </c>
      <c r="I3">
        <f>'BCDTRtSY-state-adjusted'!I14</f>
        <v>1.0692014112535637</v>
      </c>
      <c r="J3">
        <f>'BCDTRtSY-state-adjusted'!J14</f>
        <v>1.0785671557009622</v>
      </c>
      <c r="K3">
        <f>'BCDTRtSY-state-adjusted'!K14</f>
        <v>1.0857551677703983</v>
      </c>
      <c r="L3">
        <f>'BCDTRtSY-state-adjusted'!L14</f>
        <v>1.0942119187454589</v>
      </c>
      <c r="M3">
        <f>'BCDTRtSY-state-adjusted'!M14</f>
        <v>1.1025450409578197</v>
      </c>
      <c r="N3">
        <f>'BCDTRtSY-state-adjusted'!N14</f>
        <v>1.110086135613513</v>
      </c>
      <c r="O3">
        <f>'BCDTRtSY-state-adjusted'!O14</f>
        <v>1.1169375924296787</v>
      </c>
      <c r="P3">
        <f>'BCDTRtSY-state-adjusted'!P14</f>
        <v>1.1227831979463632</v>
      </c>
      <c r="Q3">
        <f>'BCDTRtSY-state-adjusted'!Q14</f>
        <v>1.1280651245732725</v>
      </c>
      <c r="R3">
        <f>'BCDTRtSY-state-adjusted'!R14</f>
        <v>1.1335344089718016</v>
      </c>
      <c r="S3">
        <f>'BCDTRtSY-state-adjusted'!S14</f>
        <v>1.1384161295657429</v>
      </c>
      <c r="T3">
        <f>'BCDTRtSY-state-adjusted'!T14</f>
        <v>1.142768719607421</v>
      </c>
      <c r="U3">
        <f>'BCDTRtSY-state-adjusted'!U14</f>
        <v>1.1461008350083974</v>
      </c>
      <c r="V3">
        <f>'BCDTRtSY-state-adjusted'!V14</f>
        <v>1.1497557669191687</v>
      </c>
      <c r="W3">
        <f>'BCDTRtSY-state-adjusted'!W14</f>
        <v>1.1553064320267081</v>
      </c>
      <c r="X3">
        <f>'BCDTRtSY-state-adjusted'!X14</f>
        <v>1.1610756611060791</v>
      </c>
      <c r="Y3">
        <f>'BCDTRtSY-state-adjusted'!Y14</f>
        <v>1.1667551430123126</v>
      </c>
      <c r="Z3">
        <f>'BCDTRtSY-state-adjusted'!Z14</f>
        <v>1.1702937975215573</v>
      </c>
      <c r="AA3">
        <f>'BCDTRtSY-state-adjusted'!AA14</f>
        <v>1.1737594707323602</v>
      </c>
      <c r="AB3">
        <f>'BCDTRtSY-state-adjusted'!AB14</f>
        <v>1.1766587189427005</v>
      </c>
    </row>
    <row r="4" spans="1:28">
      <c r="A4" t="s">
        <v>116</v>
      </c>
      <c r="B4">
        <f>'BCDTRtSY-state-adjusted'!B15</f>
        <v>1</v>
      </c>
      <c r="C4">
        <f>'BCDTRtSY-state-adjusted'!C15</f>
        <v>1</v>
      </c>
      <c r="D4">
        <f>'BCDTRtSY-state-adjusted'!D15</f>
        <v>1.0259211843245017</v>
      </c>
      <c r="E4">
        <f>'BCDTRtSY-state-adjusted'!E15</f>
        <v>1.0440567165919226</v>
      </c>
      <c r="F4">
        <f>'BCDTRtSY-state-adjusted'!F15</f>
        <v>1.0557251888725743</v>
      </c>
      <c r="G4">
        <f>'BCDTRtSY-state-adjusted'!G15</f>
        <v>1.0710734977810579</v>
      </c>
      <c r="H4">
        <f>'BCDTRtSY-state-adjusted'!H15</f>
        <v>1.0893810392998711</v>
      </c>
      <c r="I4">
        <f>'BCDTRtSY-state-adjusted'!I15</f>
        <v>1.1071882499286629</v>
      </c>
      <c r="J4">
        <f>'BCDTRtSY-state-adjusted'!J15</f>
        <v>1.1281100734020617</v>
      </c>
      <c r="K4">
        <f>'BCDTRtSY-state-adjusted'!K15</f>
        <v>1.1505066563126873</v>
      </c>
      <c r="L4">
        <f>'BCDTRtSY-state-adjusted'!L15</f>
        <v>1.1746861866715517</v>
      </c>
      <c r="M4">
        <f>'BCDTRtSY-state-adjusted'!M15</f>
        <v>1.2007662189668264</v>
      </c>
      <c r="N4">
        <f>'BCDTRtSY-state-adjusted'!N15</f>
        <v>1.2223682867153174</v>
      </c>
      <c r="O4">
        <f>'BCDTRtSY-state-adjusted'!O15</f>
        <v>1.2441721381579374</v>
      </c>
      <c r="P4">
        <f>'BCDTRtSY-state-adjusted'!P15</f>
        <v>1.265953218949871</v>
      </c>
      <c r="Q4">
        <f>'BCDTRtSY-state-adjusted'!Q15</f>
        <v>1.2871969905316467</v>
      </c>
      <c r="R4">
        <f>'BCDTRtSY-state-adjusted'!R15</f>
        <v>1.3088946906519143</v>
      </c>
      <c r="S4">
        <f>'BCDTRtSY-state-adjusted'!S15</f>
        <v>1.3293724507991909</v>
      </c>
      <c r="T4">
        <f>'BCDTRtSY-state-adjusted'!T15</f>
        <v>1.3506975836673705</v>
      </c>
      <c r="U4">
        <f>'BCDTRtSY-state-adjusted'!U15</f>
        <v>1.3730405534310339</v>
      </c>
      <c r="V4">
        <f>'BCDTRtSY-state-adjusted'!V15</f>
        <v>1.3954449564267759</v>
      </c>
      <c r="W4">
        <f>'BCDTRtSY-state-adjusted'!W15</f>
        <v>1.4180540905020689</v>
      </c>
      <c r="X4">
        <f>'BCDTRtSY-state-adjusted'!X15</f>
        <v>1.4400866869313615</v>
      </c>
      <c r="Y4">
        <f>'BCDTRtSY-state-adjusted'!Y15</f>
        <v>1.4608828352381782</v>
      </c>
      <c r="Z4">
        <f>'BCDTRtSY-state-adjusted'!Z15</f>
        <v>1.481925017999687</v>
      </c>
      <c r="AA4">
        <f>'BCDTRtSY-state-adjusted'!AA15</f>
        <v>1.5023586736765258</v>
      </c>
      <c r="AB4">
        <f>'BCDTRtSY-state-adjusted'!AB15</f>
        <v>1.5232742447272867</v>
      </c>
    </row>
    <row r="5" spans="1:28">
      <c r="A5" t="s">
        <v>121</v>
      </c>
      <c r="B5">
        <f>'BCDTRtSY-state-adjusted'!B16</f>
        <v>1</v>
      </c>
      <c r="C5">
        <f>'BCDTRtSY-state-adjusted'!C16</f>
        <v>1</v>
      </c>
      <c r="D5">
        <f>'BCDTRtSY-state-adjusted'!D16</f>
        <v>0.97640572672058534</v>
      </c>
      <c r="E5">
        <f>'BCDTRtSY-state-adjusted'!E16</f>
        <v>1.0069869808234992</v>
      </c>
      <c r="F5">
        <f>'BCDTRtSY-state-adjusted'!F16</f>
        <v>0.98546070993442325</v>
      </c>
      <c r="G5">
        <f>'BCDTRtSY-state-adjusted'!G16</f>
        <v>0.97682036390270532</v>
      </c>
      <c r="H5">
        <f>'BCDTRtSY-state-adjusted'!H16</f>
        <v>0.98246420630922626</v>
      </c>
      <c r="I5">
        <f>'BCDTRtSY-state-adjusted'!I16</f>
        <v>0.95636232666406173</v>
      </c>
      <c r="J5">
        <f>'BCDTRtSY-state-adjusted'!J16</f>
        <v>0.95947431936746275</v>
      </c>
      <c r="K5">
        <f>'BCDTRtSY-state-adjusted'!K16</f>
        <v>0.96273549976899586</v>
      </c>
      <c r="L5">
        <f>'BCDTRtSY-state-adjusted'!L16</f>
        <v>0.95911591075403269</v>
      </c>
      <c r="M5">
        <f>'BCDTRtSY-state-adjusted'!M16</f>
        <v>0.96136582185484021</v>
      </c>
      <c r="N5">
        <f>'BCDTRtSY-state-adjusted'!N16</f>
        <v>0.96276582036035296</v>
      </c>
      <c r="O5">
        <f>'BCDTRtSY-state-adjusted'!O16</f>
        <v>0.96553631423807573</v>
      </c>
      <c r="P5">
        <f>'BCDTRtSY-state-adjusted'!P16</f>
        <v>0.9650609498602829</v>
      </c>
      <c r="Q5">
        <f>'BCDTRtSY-state-adjusted'!Q16</f>
        <v>0.9661444134577053</v>
      </c>
      <c r="R5">
        <f>'BCDTRtSY-state-adjusted'!R16</f>
        <v>0.96624832332565491</v>
      </c>
      <c r="S5">
        <f>'BCDTRtSY-state-adjusted'!S16</f>
        <v>0.96424124872911676</v>
      </c>
      <c r="T5">
        <f>'BCDTRtSY-state-adjusted'!T16</f>
        <v>0.96014131514563117</v>
      </c>
      <c r="U5">
        <f>'BCDTRtSY-state-adjusted'!U16</f>
        <v>0.95668191320413043</v>
      </c>
      <c r="V5">
        <f>'BCDTRtSY-state-adjusted'!V16</f>
        <v>0.95567484676159409</v>
      </c>
      <c r="W5">
        <f>'BCDTRtSY-state-adjusted'!W16</f>
        <v>0.9540841964382335</v>
      </c>
      <c r="X5">
        <f>'BCDTRtSY-state-adjusted'!X16</f>
        <v>0.95498398625649994</v>
      </c>
      <c r="Y5">
        <f>'BCDTRtSY-state-adjusted'!Y16</f>
        <v>0.95951266793856471</v>
      </c>
      <c r="Z5">
        <f>'BCDTRtSY-state-adjusted'!Z16</f>
        <v>0.96145784854506711</v>
      </c>
      <c r="AA5">
        <f>'BCDTRtSY-state-adjusted'!AA16</f>
        <v>0.95763307371665951</v>
      </c>
      <c r="AB5">
        <f>'BCDTRtSY-state-adjusted'!AB16</f>
        <v>0.954473705726815</v>
      </c>
    </row>
    <row r="6" spans="1:28">
      <c r="A6" t="s">
        <v>122</v>
      </c>
      <c r="B6">
        <f>'BCDTRtSY-state-adjusted'!B17</f>
        <v>1</v>
      </c>
      <c r="C6">
        <f>'BCDTRtSY-state-adjusted'!C17</f>
        <v>1</v>
      </c>
      <c r="D6">
        <f>'BCDTRtSY-state-adjusted'!D17</f>
        <v>0.99126390419057431</v>
      </c>
      <c r="E6">
        <f>'BCDTRtSY-state-adjusted'!E17</f>
        <v>1.0094991445559907</v>
      </c>
      <c r="F6">
        <f>'BCDTRtSY-state-adjusted'!F17</f>
        <v>1.0297268561665531</v>
      </c>
      <c r="G6">
        <f>'BCDTRtSY-state-adjusted'!G17</f>
        <v>1.0465676720464367</v>
      </c>
      <c r="H6">
        <f>'BCDTRtSY-state-adjusted'!H17</f>
        <v>1.0643044310440795</v>
      </c>
      <c r="I6">
        <f>'BCDTRtSY-state-adjusted'!I17</f>
        <v>1.080484275487027</v>
      </c>
      <c r="J6">
        <f>'BCDTRtSY-state-adjusted'!J17</f>
        <v>1.0986862911158528</v>
      </c>
      <c r="K6">
        <f>'BCDTRtSY-state-adjusted'!K17</f>
        <v>1.1171596737954952</v>
      </c>
      <c r="L6">
        <f>'BCDTRtSY-state-adjusted'!L17</f>
        <v>1.1363283534794792</v>
      </c>
      <c r="M6">
        <f>'BCDTRtSY-state-adjusted'!M17</f>
        <v>1.1564791534363417</v>
      </c>
      <c r="N6">
        <f>'BCDTRtSY-state-adjusted'!N17</f>
        <v>1.1726127044072194</v>
      </c>
      <c r="O6">
        <f>'BCDTRtSY-state-adjusted'!O17</f>
        <v>1.1853990480652199</v>
      </c>
      <c r="P6">
        <f>'BCDTRtSY-state-adjusted'!P17</f>
        <v>1.1981615932667231</v>
      </c>
      <c r="Q6">
        <f>'BCDTRtSY-state-adjusted'!Q17</f>
        <v>1.2097333156459928</v>
      </c>
      <c r="R6">
        <f>'BCDTRtSY-state-adjusted'!R17</f>
        <v>1.2213730675568482</v>
      </c>
      <c r="S6">
        <f>'BCDTRtSY-state-adjusted'!S17</f>
        <v>1.2322491518607219</v>
      </c>
      <c r="T6">
        <f>'BCDTRtSY-state-adjusted'!T17</f>
        <v>1.2441658813369403</v>
      </c>
      <c r="U6">
        <f>'BCDTRtSY-state-adjusted'!U17</f>
        <v>1.2556447551531653</v>
      </c>
      <c r="V6">
        <f>'BCDTRtSY-state-adjusted'!V17</f>
        <v>1.2669569387209587</v>
      </c>
      <c r="W6">
        <f>'BCDTRtSY-state-adjusted'!W17</f>
        <v>1.2795930852165178</v>
      </c>
      <c r="X6">
        <f>'BCDTRtSY-state-adjusted'!X17</f>
        <v>1.2923639688543309</v>
      </c>
      <c r="Y6">
        <f>'BCDTRtSY-state-adjusted'!Y17</f>
        <v>1.305304248737899</v>
      </c>
      <c r="Z6">
        <f>'BCDTRtSY-state-adjusted'!Z17</f>
        <v>1.3174611930984794</v>
      </c>
      <c r="AA6">
        <f>'BCDTRtSY-state-adjusted'!AA17</f>
        <v>1.3292937811837742</v>
      </c>
      <c r="AB6">
        <f>'BCDTRtSY-state-adjusted'!AB17</f>
        <v>1.3425316654626205</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2026-08-14T21:49:18Z</dcterms:modified>
</cp:coreProperties>
</file>