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J\trans\BVS\"/>
    </mc:Choice>
  </mc:AlternateContent>
  <xr:revisionPtr revIDLastSave="0" documentId="8_{C696C44E-190A-455B-8949-625F1E3435B8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<sst xmlns="http://schemas.openxmlformats.org/spreadsheetml/2006/main" count="491" uniqueCount="240">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</sst>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96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NJ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1694.6079999999999</v>
      </c>
      <c r="D63" s="5">
        <f>SUMIFS('State EV Rebates'!$D$5:$D$24,'State EV Rebates'!$A$5:$A$24,About!$B$2)*$M$79</f>
        <v>1569.0420000000001</v>
      </c>
      <c r="E63" s="5">
        <f>SUMIFS('State EV Rebates'!$E$5:$E$24,'State EV Rebates'!$A$5:$A$24,About!$B$2)*$N$79</f>
        <v>1507.0060000000001</v>
      </c>
      <c r="F63" s="5">
        <f>SUMIFS('State EV Rebates'!$F$5:$F$24,'State EV Rebates'!$A$5:$A$24,About!$B$2)*$O$79</f>
        <v>1463.8320000000001</v>
      </c>
      <c r="G63" s="5">
        <f>SUMIFS('State EV Rebates'!$G$5:$G$24,'State EV Rebates'!$A$5:$A$24,About!$B$2)*$P$79</f>
        <v>1426.05</v>
      </c>
      <c r="H63" s="5">
        <f>SUMIFS('State EV Rebates'!$H$5:$H$24,'State EV Rebates'!$A$5:$A$24,About!$B$2)*$Q$79</f>
        <v>1027.7265</v>
      </c>
      <c r="I63" s="5">
        <f>SUMIFS('State EV Rebates'!$I$5:$I$24,'State EV Rebates'!$A$5:$A$24,About!$B$2)*$R$79</f>
        <v>999.73350000000005</v>
      </c>
      <c r="J63" s="5">
        <f>SUMIFS('State EV Rebates'!$J$5:$J$24,'State EV Rebates'!$A$5:$A$24,About!$B$2)*$S$79</f>
        <v>972.50099999999998</v>
      </c>
      <c r="K63" s="5">
        <f>SUMIFS('State EV Rebates'!$K$5:$K$24,'State EV Rebates'!$A$5:$A$24,About!$B$2)*$T$79</f>
        <v>946.01249999999993</v>
      </c>
      <c r="L63" s="5">
        <f>SUMIFS('State EV Rebates'!$L$5:$L$24,'State EV Rebates'!$A$5:$A$24,About!$B$2)*$U$79</f>
        <v>920.24549999999999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1694.6079999999999</v>
      </c>
      <c r="D64" s="5">
        <f>SUMIFS('State EV Rebates'!$D$28:$D$47,'State EV Rebates'!$A$28:$A$47,About!$B$2)*$M$79</f>
        <v>1569.0420000000001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3341.1061124797288</v>
      </c>
      <c r="D68" s="5">
        <f t="shared" si="0"/>
        <v>2937.6277570401335</v>
      </c>
      <c r="E68" s="5">
        <f t="shared" si="0"/>
        <v>6302.9696566176635</v>
      </c>
      <c r="F68" s="5">
        <f t="shared" si="0"/>
        <v>5019.3197018516094</v>
      </c>
      <c r="G68" s="5">
        <f t="shared" si="0"/>
        <v>3950.3157550587357</v>
      </c>
      <c r="H68" s="5">
        <f t="shared" si="0"/>
        <v>1027.7265</v>
      </c>
      <c r="I68" s="5">
        <f t="shared" si="0"/>
        <v>999.73350000000005</v>
      </c>
      <c r="J68" s="5">
        <f t="shared" si="0"/>
        <v>972.50099999999998</v>
      </c>
      <c r="K68" s="5">
        <f t="shared" si="0"/>
        <v>946.01249999999993</v>
      </c>
      <c r="L68" s="5">
        <f t="shared" si="0"/>
        <v>920.24549999999999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8347.3265168992275</v>
      </c>
      <c r="D69" s="5">
        <f t="shared" si="1"/>
        <v>5186.092692978903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3341.1061124797288</v>
      </c>
      <c r="C2" s="17">
        <f>'Passenger Vehicle Calculations'!D68</f>
        <v>2937.6277570401335</v>
      </c>
      <c r="D2" s="17">
        <f>'Passenger Vehicle Calculations'!E68</f>
        <v>6302.9696566176635</v>
      </c>
      <c r="E2" s="17">
        <f>'Passenger Vehicle Calculations'!F68</f>
        <v>5019.3197018516094</v>
      </c>
      <c r="F2" s="17">
        <f>'Passenger Vehicle Calculations'!G68</f>
        <v>3950.3157550587357</v>
      </c>
      <c r="G2" s="17">
        <f>'Passenger Vehicle Calculations'!H68</f>
        <v>1027.7265</v>
      </c>
      <c r="H2" s="17">
        <f>'Passenger Vehicle Calculations'!I68</f>
        <v>999.73350000000005</v>
      </c>
      <c r="I2" s="17">
        <f>'Passenger Vehicle Calculations'!J68</f>
        <v>972.50099999999998</v>
      </c>
      <c r="J2" s="17">
        <f>'Passenger Vehicle Calculations'!K68</f>
        <v>946.01249999999993</v>
      </c>
      <c r="K2" s="17">
        <f>'Passenger Vehicle Calculations'!L68</f>
        <v>920.24549999999999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8347.3265168992275</v>
      </c>
      <c r="C6" s="17">
        <f>'Passenger Vehicle Calculations'!D69</f>
        <v>5186.092692978903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6302.9696566176635</v>
      </c>
      <c r="E8" s="17">
        <f t="shared" si="0"/>
        <v>5019.3197018516094</v>
      </c>
      <c r="F8" s="17">
        <f t="shared" si="0"/>
        <v>3950.3157550587357</v>
      </c>
      <c r="G8" s="17">
        <f t="shared" si="0"/>
        <v>1027.7265</v>
      </c>
      <c r="H8" s="17">
        <f t="shared" si="0"/>
        <v>999.73350000000005</v>
      </c>
      <c r="I8" s="17">
        <f t="shared" si="0"/>
        <v>972.50099999999998</v>
      </c>
      <c r="J8" s="17">
        <f t="shared" si="0"/>
        <v>946.01249999999993</v>
      </c>
      <c r="K8" s="17">
        <f t="shared" si="0"/>
        <v>920.24549999999999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2026-09-01T23:00:54Z</dcterms:modified>
</cp:coreProperties>
</file>