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trans\BAADTbVT\"/>
    </mc:Choice>
  </mc:AlternateContent>
  <xr:revisionPtr revIDLastSave="0" documentId="8_{6C4D5C23-DE8F-439B-8636-C67EBB34E86E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<sst xmlns="http://schemas.openxmlformats.org/spreadsheetml/2006/main" count="55499" uniqueCount="1966">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</sst>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88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NJ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107999000000000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110235000000000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412731000000000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23811000000000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340678462330623.31</v>
      </c>
      <c r="F21" s="26">
        <f t="shared" ref="F21" si="0">IFERROR(F101*F117*F132/F86,0)</f>
        <v>931213405368.60156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960819823478.12244</v>
      </c>
      <c r="F22" s="33">
        <f t="shared" si="1"/>
        <v>6293408478210.7373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45335011093161.586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2400305968633.6694</v>
      </c>
      <c r="G24" s="22"/>
    </row>
    <row r="25" spans="2:9">
      <c r="D25" s="21" t="s">
        <v>53</v>
      </c>
      <c r="E25" s="90">
        <f t="shared" si="1"/>
        <v>2283688049594.0166</v>
      </c>
      <c r="F25" s="90">
        <f t="shared" si="1"/>
        <v>556718102489.80835</v>
      </c>
      <c r="G25" s="22"/>
    </row>
    <row r="26" spans="2:9">
      <c r="D26" s="23" t="s">
        <v>43</v>
      </c>
      <c r="E26" s="28">
        <f t="shared" si="1"/>
        <v>895126485686.71631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9280259193868.0352</v>
      </c>
      <c r="F27" s="29">
        <f t="shared" si="1"/>
        <v>8261979327632.6973</v>
      </c>
      <c r="G27" s="20"/>
    </row>
    <row r="28" spans="2:9">
      <c r="D28" s="21" t="s">
        <v>50</v>
      </c>
      <c r="E28" s="33">
        <f t="shared" si="1"/>
        <v>811079844268.29138</v>
      </c>
      <c r="F28" s="33">
        <f t="shared" si="1"/>
        <v>103838280594681.36</v>
      </c>
      <c r="G28" s="22"/>
    </row>
    <row r="29" spans="2:9">
      <c r="D29" s="21" t="s">
        <v>73</v>
      </c>
      <c r="E29" s="33"/>
      <c r="F29" s="33"/>
      <c r="G29" s="22">
        <f t="shared" si="1"/>
        <v>7209653953139.4443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11472981249655.822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123159839888.72981</v>
      </c>
      <c r="G31" s="24"/>
      <c r="H31" s="37"/>
      <c r="I31" s="37"/>
    </row>
    <row r="32" spans="2:9">
      <c r="D32" s="91" t="s">
        <v>1541</v>
      </c>
      <c r="E32" s="92">
        <f>SUM(E21:E31)</f>
        <v>354909435727518.5</v>
      </c>
      <c r="F32" s="92">
        <f t="shared" ref="F32:G32" si="2">SUM(F21:F31)</f>
        <v>133878046966561.44</v>
      </c>
      <c r="G32" s="92">
        <f t="shared" si="2"/>
        <v>52544665046301.031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0.95990252170184343</v>
      </c>
      <c r="F37" s="94">
        <f t="shared" ref="F37:G37" si="3">F21/F$32</f>
        <v>6.9556841204980353E-3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2.707225355980085E-3</v>
      </c>
      <c r="F38" s="110">
        <f t="shared" ref="F38:G47" si="5">F22/F$32</f>
        <v>4.7008517234962612E-2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0.86278999120488298</v>
      </c>
    </row>
    <row r="40" spans="3:41">
      <c r="D40" s="21" t="s">
        <v>54</v>
      </c>
      <c r="E40" s="37">
        <f t="shared" si="4"/>
        <v>0</v>
      </c>
      <c r="F40" s="110">
        <f>F24/F$32</f>
        <v>1.7929048287006987E-2</v>
      </c>
      <c r="G40" s="96">
        <f t="shared" si="5"/>
        <v>0</v>
      </c>
    </row>
    <row r="41" spans="3:41">
      <c r="D41" s="21" t="s">
        <v>53</v>
      </c>
      <c r="E41" s="110">
        <f t="shared" si="4"/>
        <v>6.4345656094286453E-3</v>
      </c>
      <c r="F41" s="37">
        <f t="shared" si="5"/>
        <v>4.1583972511106257E-3</v>
      </c>
      <c r="G41" s="96">
        <f t="shared" si="5"/>
        <v>0</v>
      </c>
    </row>
    <row r="42" spans="3:41">
      <c r="D42" s="23" t="s">
        <v>43</v>
      </c>
      <c r="E42" s="113">
        <f t="shared" si="4"/>
        <v>2.5221264795392737E-3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2.6148245889390635E-2</v>
      </c>
      <c r="F43" s="94">
        <f t="shared" si="5"/>
        <v>6.1712726730292697E-2</v>
      </c>
      <c r="G43" s="95">
        <f t="shared" si="5"/>
        <v>0</v>
      </c>
    </row>
    <row r="44" spans="3:41">
      <c r="D44" s="21" t="s">
        <v>50</v>
      </c>
      <c r="E44" s="37">
        <f t="shared" si="4"/>
        <v>2.2853149638179734E-3</v>
      </c>
      <c r="F44" s="110">
        <f t="shared" si="5"/>
        <v>0.77561842996273256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0.13721000879511705</v>
      </c>
    </row>
    <row r="46" spans="3:41">
      <c r="D46" s="21" t="s">
        <v>55</v>
      </c>
      <c r="E46" s="37">
        <f t="shared" si="4"/>
        <v>0</v>
      </c>
      <c r="F46" s="110">
        <f t="shared" si="5"/>
        <v>8.5697255895295629E-2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9.1994051810071072E-4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396181527684523.56</v>
      </c>
      <c r="F53" s="89">
        <f>F37*$E$12</f>
        <v>766759839023.10095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1117355828399.0164</v>
      </c>
      <c r="F54" s="100">
        <f t="shared" ref="F54:F62" si="8">F38*$E$12</f>
        <v>5181983897396.1035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93180456260136.156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1976408637918.2153</v>
      </c>
      <c r="G56" s="101">
        <f t="shared" si="9"/>
        <v>0</v>
      </c>
    </row>
    <row r="57" spans="3:41">
      <c r="D57" s="21" t="s">
        <v>53</v>
      </c>
      <c r="E57" s="100">
        <f t="shared" si="7"/>
        <v>2655744698545.0942</v>
      </c>
      <c r="F57" s="100">
        <f t="shared" si="8"/>
        <v>458400920976.17981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1040959784026.724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10792191674174.086</v>
      </c>
      <c r="F59" s="89">
        <f t="shared" si="8"/>
        <v>6802902431113.8154</v>
      </c>
      <c r="G59" s="99">
        <f t="shared" si="9"/>
        <v>0</v>
      </c>
    </row>
    <row r="60" spans="3:41">
      <c r="D60" s="21" t="s">
        <v>50</v>
      </c>
      <c r="E60" s="100">
        <f t="shared" si="7"/>
        <v>943220330331.55603</v>
      </c>
      <c r="F60" s="100">
        <f t="shared" si="8"/>
        <v>85500297626941.828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14818543739863.846</v>
      </c>
    </row>
    <row r="62" spans="3:41">
      <c r="D62" s="21" t="s">
        <v>55</v>
      </c>
      <c r="E62" s="100">
        <f t="shared" si="7"/>
        <v>0</v>
      </c>
      <c r="F62" s="100">
        <f t="shared" si="8"/>
        <v>9446837003617.9141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23912409643012.832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13203.784690576071</v>
      </c>
      <c r="F69" s="104">
        <f t="shared" si="10"/>
        <v>9348.8680060638544</v>
      </c>
      <c r="G69" s="105">
        <f t="shared" si="10"/>
        <v>0</v>
      </c>
    </row>
    <row r="70" spans="2:41">
      <c r="D70" s="21" t="s">
        <v>51</v>
      </c>
      <c r="E70" s="78">
        <f t="shared" si="10"/>
        <v>19026.521166330374</v>
      </c>
      <c r="F70" s="117">
        <f t="shared" si="10"/>
        <v>13471.624929294583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1407938.159503177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325710.97131325281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225.60632640230384</v>
      </c>
      <c r="F73" s="78">
        <f t="shared" si="10"/>
        <v>159.7393335543762</v>
      </c>
      <c r="G73" s="106">
        <f t="shared" si="10"/>
        <v>0</v>
      </c>
    </row>
    <row r="74" spans="2:41">
      <c r="D74" s="23" t="s">
        <v>43</v>
      </c>
      <c r="E74" s="119">
        <f t="shared" si="10"/>
        <v>10230.200275057045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11393.119483316343</v>
      </c>
      <c r="F75" s="104">
        <f t="shared" si="10"/>
        <v>8066.8363444959978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40928.94153468599</v>
      </c>
      <c r="F76" s="117">
        <f t="shared" si="10"/>
        <v>28979.514662094174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1828093.8415794894</v>
      </c>
    </row>
    <row r="78" spans="2:41">
      <c r="D78" s="21" t="s">
        <v>55</v>
      </c>
      <c r="E78" s="78">
        <f t="shared" si="10"/>
        <v>0</v>
      </c>
      <c r="F78" s="117">
        <f t="shared" si="10"/>
        <v>14001.893644804984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9805246.2286216356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5535950</v>
      </c>
      <c r="F101" s="76">
        <f>SUMIFS('all_csv_SYVbT-passenger'!F:F,'all_csv_SYVbT-passenger'!$B:$B,$D101,'all_csv_SYVbT-passenger'!$A:$A,About!$B$2)</f>
        <v>17167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2360</v>
      </c>
      <c r="F102" s="78">
        <f>SUMIFS('all_csv_SYVbT-passenger'!F:F,'all_csv_SYVbT-passenger'!$B:$B,$D102,'all_csv_SYVbT-passenger'!$A:$A,About!$B$2)</f>
        <v>18749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181</v>
      </c>
      <c r="G103" s="79">
        <f>F103</f>
        <v>181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20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139757</v>
      </c>
      <c r="F105" s="78">
        <f>SUMIFS('all_csv_SYVbT-passenger'!F:F,'all_csv_SYVbT-passenger'!$B:$B,$D105,'all_csv_SYVbT-passenger'!$A:$A,About!$B$2)</f>
        <v>34070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146003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88400</v>
      </c>
      <c r="F107" s="194">
        <f>SUMIFS('all_csv_SYVbT-freight'!F:F,'all_csv_SYVbT-freight'!$B:$B,$D107,'all_csv_SYVbT-freight'!$A:$A,About!$B$2)</f>
        <v>75553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968</v>
      </c>
      <c r="F108" s="197">
        <f>SUMIFS('all_csv_SYVbT-freight'!F:F,'all_csv_SYVbT-freight'!$B:$B,$D108,'all_csv_SYVbT-freight'!$A:$A,About!$B$2)</f>
        <v>138408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18</v>
      </c>
      <c r="G109" s="198">
        <f>F109</f>
        <v>18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648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6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396181527684523.63</v>
      </c>
      <c r="F149" s="26">
        <f t="shared" si="18"/>
        <v>766759839023.10095</v>
      </c>
      <c r="G149" s="20"/>
    </row>
    <row r="150" spans="2:7">
      <c r="D150" s="21" t="s">
        <v>51</v>
      </c>
      <c r="E150" s="33">
        <f t="shared" si="18"/>
        <v>1117355828399.0166</v>
      </c>
      <c r="F150" s="33">
        <f t="shared" si="18"/>
        <v>5181983897396.1035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93180456260136.156</v>
      </c>
    </row>
    <row r="152" spans="2:7">
      <c r="D152" s="21" t="s">
        <v>54</v>
      </c>
      <c r="E152" s="33">
        <f t="shared" si="18"/>
        <v>0</v>
      </c>
      <c r="F152" s="33">
        <f>F120*F104*F72/F89</f>
        <v>1976408637918.2156</v>
      </c>
      <c r="G152" s="22"/>
    </row>
    <row r="153" spans="2:7">
      <c r="D153" s="21" t="s">
        <v>53</v>
      </c>
      <c r="E153" s="90">
        <f t="shared" si="18"/>
        <v>2655744698545.0942</v>
      </c>
      <c r="F153" s="90">
        <f t="shared" si="18"/>
        <v>458400920976.17981</v>
      </c>
      <c r="G153" s="22"/>
    </row>
    <row r="154" spans="2:7">
      <c r="D154" s="23" t="s">
        <v>43</v>
      </c>
      <c r="E154" s="28">
        <f t="shared" si="18"/>
        <v>1040959784026.724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10792191674174.086</v>
      </c>
      <c r="F155" s="29">
        <f t="shared" si="18"/>
        <v>6802902431113.8154</v>
      </c>
      <c r="G155" s="20"/>
    </row>
    <row r="156" spans="2:7">
      <c r="D156" s="21" t="s">
        <v>50</v>
      </c>
      <c r="E156" s="33">
        <f t="shared" si="18"/>
        <v>943220330331.55603</v>
      </c>
      <c r="F156" s="33">
        <f t="shared" si="18"/>
        <v>85500297626941.828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14818543739863.846</v>
      </c>
    </row>
    <row r="158" spans="2:7">
      <c r="D158" s="21" t="s">
        <v>55</v>
      </c>
      <c r="E158" s="33">
        <f t="shared" si="18"/>
        <v>0</v>
      </c>
      <c r="F158" s="33">
        <f t="shared" si="18"/>
        <v>9446837003617.9141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23912409643012.832</v>
      </c>
      <c r="G159" s="24"/>
    </row>
    <row r="160" spans="2:7">
      <c r="D160" s="91" t="s">
        <v>1548</v>
      </c>
      <c r="E160" s="92">
        <f>SUM(E149:E159)</f>
        <v>412731000000000.13</v>
      </c>
      <c r="F160" s="92">
        <f>SUM(F149:F159)</f>
        <v>134045999999999.98</v>
      </c>
      <c r="G160" s="92">
        <f t="shared" ref="G160" si="19">SUM(G149:G159)</f>
        <v>107999000000000</v>
      </c>
    </row>
    <row r="161" spans="5:7">
      <c r="E161" s="37">
        <f>E160/E13</f>
        <v>1.0000000000000002</v>
      </c>
      <c r="F161" s="37">
        <f>F160/SUM(E12,E14)</f>
        <v>0.99999999999999989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13203.784690576071</v>
      </c>
    </row>
    <row r="3" spans="1:2">
      <c r="A3" t="s">
        <v>39</v>
      </c>
      <c r="B3" s="8">
        <f>'BAADTbVT-passengers'!D3</f>
        <v>13471.624929294583</v>
      </c>
    </row>
    <row r="4" spans="1:2">
      <c r="A4" t="s">
        <v>40</v>
      </c>
      <c r="B4" s="8">
        <f>'BAADTbVT-passengers'!D4</f>
        <v>1407938.159503177</v>
      </c>
    </row>
    <row r="5" spans="1:2">
      <c r="A5" t="s">
        <v>41</v>
      </c>
      <c r="B5" s="8">
        <f>SUMIFS('psgr rail calcs'!M:M,'psgr rail calcs'!C:C,About!B2)</f>
        <v>420280.90217391303</v>
      </c>
    </row>
    <row r="6" spans="1:2">
      <c r="A6" t="s">
        <v>42</v>
      </c>
      <c r="B6" s="8">
        <f>'BAADTbVT-passengers'!D6</f>
        <v>225.60632640230384</v>
      </c>
    </row>
    <row r="7" spans="1:2">
      <c r="A7" t="s">
        <v>43</v>
      </c>
      <c r="B7" s="8">
        <f>'BAADTbVT-passengers'!D7</f>
        <v>10230.200275057045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11393.119483316343</v>
      </c>
    </row>
    <row r="3" spans="1:2">
      <c r="A3" t="s">
        <v>39</v>
      </c>
      <c r="B3">
        <f>'BAADTbVT-freight'!D3</f>
        <v>28979.514662094174</v>
      </c>
    </row>
    <row r="4" spans="1:2">
      <c r="A4" t="s">
        <v>40</v>
      </c>
      <c r="B4">
        <f>'BAADTbVT-freight'!D4</f>
        <v>1828093.8415794894</v>
      </c>
    </row>
    <row r="5" spans="1:2">
      <c r="A5" t="s">
        <v>41</v>
      </c>
      <c r="B5">
        <f>'BAADTbVT-freight'!D5</f>
        <v>14001.893644804984</v>
      </c>
    </row>
    <row r="6" spans="1:2">
      <c r="A6" t="s">
        <v>42</v>
      </c>
      <c r="B6" s="212">
        <f>'BAADTbVT-freight'!D6</f>
        <v>9805246.2286216356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13203.784690576071</v>
      </c>
      <c r="C2" s="8">
        <f t="shared" ref="C2:L3" si="0">$B2</f>
        <v>13203.784690576071</v>
      </c>
      <c r="D2" s="8">
        <f t="shared" si="0"/>
        <v>13203.784690576071</v>
      </c>
      <c r="E2" s="8">
        <f t="shared" si="0"/>
        <v>13203.784690576071</v>
      </c>
      <c r="F2" s="8">
        <f t="shared" si="0"/>
        <v>13203.784690576071</v>
      </c>
      <c r="G2" s="8">
        <f t="shared" si="0"/>
        <v>13203.784690576071</v>
      </c>
      <c r="H2" s="8">
        <f t="shared" si="0"/>
        <v>13203.784690576071</v>
      </c>
      <c r="I2" s="8">
        <f t="shared" si="0"/>
        <v>13203.784690576071</v>
      </c>
      <c r="J2" s="8">
        <f t="shared" si="0"/>
        <v>13203.784690576071</v>
      </c>
      <c r="K2" s="8">
        <f t="shared" si="0"/>
        <v>13203.784690576071</v>
      </c>
      <c r="L2" s="8">
        <f t="shared" si="0"/>
        <v>13203.784690576071</v>
      </c>
      <c r="M2" s="8">
        <f t="shared" ref="M2:V3" si="1">$B2</f>
        <v>13203.784690576071</v>
      </c>
      <c r="N2" s="8">
        <f t="shared" si="1"/>
        <v>13203.784690576071</v>
      </c>
      <c r="O2" s="8">
        <f t="shared" si="1"/>
        <v>13203.784690576071</v>
      </c>
      <c r="P2" s="8">
        <f t="shared" si="1"/>
        <v>13203.784690576071</v>
      </c>
      <c r="Q2" s="8">
        <f t="shared" si="1"/>
        <v>13203.784690576071</v>
      </c>
      <c r="R2" s="8">
        <f t="shared" si="1"/>
        <v>13203.784690576071</v>
      </c>
      <c r="S2" s="8">
        <f t="shared" si="1"/>
        <v>13203.784690576071</v>
      </c>
      <c r="T2" s="8">
        <f t="shared" si="1"/>
        <v>13203.784690576071</v>
      </c>
      <c r="U2" s="8">
        <f t="shared" si="1"/>
        <v>13203.784690576071</v>
      </c>
      <c r="V2" s="8">
        <f t="shared" si="1"/>
        <v>13203.784690576071</v>
      </c>
      <c r="W2" s="8">
        <f t="shared" ref="W2:AB3" si="2">$B2</f>
        <v>13203.784690576071</v>
      </c>
      <c r="X2" s="8">
        <f t="shared" si="2"/>
        <v>13203.784690576071</v>
      </c>
      <c r="Y2" s="8">
        <f t="shared" si="2"/>
        <v>13203.784690576071</v>
      </c>
      <c r="Z2" s="8">
        <f t="shared" si="2"/>
        <v>13203.784690576071</v>
      </c>
      <c r="AA2" s="8">
        <f t="shared" si="2"/>
        <v>13203.784690576071</v>
      </c>
      <c r="AB2" s="8">
        <f t="shared" si="2"/>
        <v>13203.784690576071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13471.624929294583</v>
      </c>
      <c r="C3" s="8">
        <f t="shared" si="0"/>
        <v>13471.624929294583</v>
      </c>
      <c r="D3" s="8">
        <f t="shared" si="0"/>
        <v>13471.624929294583</v>
      </c>
      <c r="E3" s="8">
        <f t="shared" si="0"/>
        <v>13471.624929294583</v>
      </c>
      <c r="F3" s="8">
        <f t="shared" si="0"/>
        <v>13471.624929294583</v>
      </c>
      <c r="G3" s="8">
        <f t="shared" si="0"/>
        <v>13471.624929294583</v>
      </c>
      <c r="H3" s="8">
        <f t="shared" si="0"/>
        <v>13471.624929294583</v>
      </c>
      <c r="I3" s="8">
        <f t="shared" si="0"/>
        <v>13471.624929294583</v>
      </c>
      <c r="J3" s="8">
        <f t="shared" si="0"/>
        <v>13471.624929294583</v>
      </c>
      <c r="K3" s="8">
        <f t="shared" si="0"/>
        <v>13471.624929294583</v>
      </c>
      <c r="L3" s="8">
        <f t="shared" si="0"/>
        <v>13471.624929294583</v>
      </c>
      <c r="M3" s="8">
        <f t="shared" si="1"/>
        <v>13471.624929294583</v>
      </c>
      <c r="N3" s="8">
        <f t="shared" si="1"/>
        <v>13471.624929294583</v>
      </c>
      <c r="O3" s="8">
        <f t="shared" si="1"/>
        <v>13471.624929294583</v>
      </c>
      <c r="P3" s="8">
        <f t="shared" si="1"/>
        <v>13471.624929294583</v>
      </c>
      <c r="Q3" s="8">
        <f t="shared" si="1"/>
        <v>13471.624929294583</v>
      </c>
      <c r="R3" s="8">
        <f t="shared" si="1"/>
        <v>13471.624929294583</v>
      </c>
      <c r="S3" s="8">
        <f t="shared" si="1"/>
        <v>13471.624929294583</v>
      </c>
      <c r="T3" s="8">
        <f t="shared" si="1"/>
        <v>13471.624929294583</v>
      </c>
      <c r="U3" s="8">
        <f t="shared" si="1"/>
        <v>13471.624929294583</v>
      </c>
      <c r="V3" s="8">
        <f t="shared" si="1"/>
        <v>13471.624929294583</v>
      </c>
      <c r="W3" s="8">
        <f t="shared" si="2"/>
        <v>13471.624929294583</v>
      </c>
      <c r="X3" s="8">
        <f t="shared" si="2"/>
        <v>13471.624929294583</v>
      </c>
      <c r="Y3" s="8">
        <f t="shared" si="2"/>
        <v>13471.624929294583</v>
      </c>
      <c r="Z3" s="8">
        <f t="shared" si="2"/>
        <v>13471.624929294583</v>
      </c>
      <c r="AA3" s="8">
        <f t="shared" si="2"/>
        <v>13471.624929294583</v>
      </c>
      <c r="AB3" s="8">
        <f t="shared" si="2"/>
        <v>13471.624929294583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1407938.159503177</v>
      </c>
      <c r="C4" s="8">
        <f t="shared" ref="C4:AB4" si="3">$B$4</f>
        <v>1407938.159503177</v>
      </c>
      <c r="D4" s="8">
        <f t="shared" si="3"/>
        <v>1407938.159503177</v>
      </c>
      <c r="E4" s="8">
        <f t="shared" si="3"/>
        <v>1407938.159503177</v>
      </c>
      <c r="F4" s="8">
        <f t="shared" si="3"/>
        <v>1407938.159503177</v>
      </c>
      <c r="G4" s="8">
        <f t="shared" si="3"/>
        <v>1407938.159503177</v>
      </c>
      <c r="H4" s="8">
        <f t="shared" si="3"/>
        <v>1407938.159503177</v>
      </c>
      <c r="I4" s="8">
        <f t="shared" si="3"/>
        <v>1407938.159503177</v>
      </c>
      <c r="J4" s="8">
        <f t="shared" si="3"/>
        <v>1407938.159503177</v>
      </c>
      <c r="K4" s="8">
        <f t="shared" si="3"/>
        <v>1407938.159503177</v>
      </c>
      <c r="L4" s="8">
        <f t="shared" si="3"/>
        <v>1407938.159503177</v>
      </c>
      <c r="M4" s="8">
        <f t="shared" si="3"/>
        <v>1407938.159503177</v>
      </c>
      <c r="N4" s="8">
        <f t="shared" si="3"/>
        <v>1407938.159503177</v>
      </c>
      <c r="O4" s="8">
        <f t="shared" si="3"/>
        <v>1407938.159503177</v>
      </c>
      <c r="P4" s="8">
        <f t="shared" si="3"/>
        <v>1407938.159503177</v>
      </c>
      <c r="Q4" s="8">
        <f t="shared" si="3"/>
        <v>1407938.159503177</v>
      </c>
      <c r="R4" s="8">
        <f t="shared" si="3"/>
        <v>1407938.159503177</v>
      </c>
      <c r="S4" s="8">
        <f t="shared" si="3"/>
        <v>1407938.159503177</v>
      </c>
      <c r="T4" s="8">
        <f t="shared" si="3"/>
        <v>1407938.159503177</v>
      </c>
      <c r="U4" s="8">
        <f t="shared" si="3"/>
        <v>1407938.159503177</v>
      </c>
      <c r="V4" s="8">
        <f t="shared" si="3"/>
        <v>1407938.159503177</v>
      </c>
      <c r="W4" s="8">
        <f t="shared" si="3"/>
        <v>1407938.159503177</v>
      </c>
      <c r="X4" s="8">
        <f t="shared" si="3"/>
        <v>1407938.159503177</v>
      </c>
      <c r="Y4" s="8">
        <f t="shared" si="3"/>
        <v>1407938.159503177</v>
      </c>
      <c r="Z4" s="8">
        <f t="shared" si="3"/>
        <v>1407938.159503177</v>
      </c>
      <c r="AA4" s="8">
        <f t="shared" si="3"/>
        <v>1407938.159503177</v>
      </c>
      <c r="AB4" s="8">
        <f t="shared" si="3"/>
        <v>1407938.159503177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420280.90217391303</v>
      </c>
      <c r="C5" s="8">
        <f t="shared" ref="C5:L7" si="4">$B5</f>
        <v>420280.90217391303</v>
      </c>
      <c r="D5" s="8">
        <f t="shared" si="4"/>
        <v>420280.90217391303</v>
      </c>
      <c r="E5" s="8">
        <f t="shared" si="4"/>
        <v>420280.90217391303</v>
      </c>
      <c r="F5" s="8">
        <f t="shared" si="4"/>
        <v>420280.90217391303</v>
      </c>
      <c r="G5" s="8">
        <f t="shared" si="4"/>
        <v>420280.90217391303</v>
      </c>
      <c r="H5" s="8">
        <f t="shared" si="4"/>
        <v>420280.90217391303</v>
      </c>
      <c r="I5" s="8">
        <f t="shared" si="4"/>
        <v>420280.90217391303</v>
      </c>
      <c r="J5" s="8">
        <f t="shared" si="4"/>
        <v>420280.90217391303</v>
      </c>
      <c r="K5" s="8">
        <f t="shared" si="4"/>
        <v>420280.90217391303</v>
      </c>
      <c r="L5" s="8">
        <f t="shared" si="4"/>
        <v>420280.90217391303</v>
      </c>
      <c r="M5" s="8">
        <f t="shared" ref="M5:V7" si="5">$B5</f>
        <v>420280.90217391303</v>
      </c>
      <c r="N5" s="8">
        <f t="shared" si="5"/>
        <v>420280.90217391303</v>
      </c>
      <c r="O5" s="8">
        <f t="shared" si="5"/>
        <v>420280.90217391303</v>
      </c>
      <c r="P5" s="8">
        <f t="shared" si="5"/>
        <v>420280.90217391303</v>
      </c>
      <c r="Q5" s="8">
        <f t="shared" si="5"/>
        <v>420280.90217391303</v>
      </c>
      <c r="R5" s="8">
        <f t="shared" si="5"/>
        <v>420280.90217391303</v>
      </c>
      <c r="S5" s="8">
        <f t="shared" si="5"/>
        <v>420280.90217391303</v>
      </c>
      <c r="T5" s="8">
        <f t="shared" si="5"/>
        <v>420280.90217391303</v>
      </c>
      <c r="U5" s="8">
        <f t="shared" si="5"/>
        <v>420280.90217391303</v>
      </c>
      <c r="V5" s="8">
        <f t="shared" si="5"/>
        <v>420280.90217391303</v>
      </c>
      <c r="W5" s="8">
        <f t="shared" ref="W5:AB7" si="6">$B5</f>
        <v>420280.90217391303</v>
      </c>
      <c r="X5" s="8">
        <f t="shared" si="6"/>
        <v>420280.90217391303</v>
      </c>
      <c r="Y5" s="8">
        <f t="shared" si="6"/>
        <v>420280.90217391303</v>
      </c>
      <c r="Z5" s="8">
        <f t="shared" si="6"/>
        <v>420280.90217391303</v>
      </c>
      <c r="AA5" s="8">
        <f t="shared" si="6"/>
        <v>420280.90217391303</v>
      </c>
      <c r="AB5" s="8">
        <f t="shared" si="6"/>
        <v>420280.90217391303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225.60632640230384</v>
      </c>
      <c r="C6" s="8">
        <f t="shared" si="4"/>
        <v>225.60632640230384</v>
      </c>
      <c r="D6" s="8">
        <f t="shared" si="4"/>
        <v>225.60632640230384</v>
      </c>
      <c r="E6" s="8">
        <f t="shared" si="4"/>
        <v>225.60632640230384</v>
      </c>
      <c r="F6" s="8">
        <f t="shared" si="4"/>
        <v>225.60632640230384</v>
      </c>
      <c r="G6" s="8">
        <f t="shared" si="4"/>
        <v>225.60632640230384</v>
      </c>
      <c r="H6" s="8">
        <f t="shared" si="4"/>
        <v>225.60632640230384</v>
      </c>
      <c r="I6" s="8">
        <f t="shared" si="4"/>
        <v>225.60632640230384</v>
      </c>
      <c r="J6" s="8">
        <f t="shared" si="4"/>
        <v>225.60632640230384</v>
      </c>
      <c r="K6" s="8">
        <f t="shared" si="4"/>
        <v>225.60632640230384</v>
      </c>
      <c r="L6" s="8">
        <f t="shared" si="4"/>
        <v>225.60632640230384</v>
      </c>
      <c r="M6" s="8">
        <f t="shared" si="5"/>
        <v>225.60632640230384</v>
      </c>
      <c r="N6" s="8">
        <f t="shared" si="5"/>
        <v>225.60632640230384</v>
      </c>
      <c r="O6" s="8">
        <f t="shared" si="5"/>
        <v>225.60632640230384</v>
      </c>
      <c r="P6" s="8">
        <f t="shared" si="5"/>
        <v>225.60632640230384</v>
      </c>
      <c r="Q6" s="8">
        <f t="shared" si="5"/>
        <v>225.60632640230384</v>
      </c>
      <c r="R6" s="8">
        <f t="shared" si="5"/>
        <v>225.60632640230384</v>
      </c>
      <c r="S6" s="8">
        <f t="shared" si="5"/>
        <v>225.60632640230384</v>
      </c>
      <c r="T6" s="8">
        <f t="shared" si="5"/>
        <v>225.60632640230384</v>
      </c>
      <c r="U6" s="8">
        <f t="shared" si="5"/>
        <v>225.60632640230384</v>
      </c>
      <c r="V6" s="8">
        <f t="shared" si="5"/>
        <v>225.60632640230384</v>
      </c>
      <c r="W6" s="8">
        <f t="shared" si="6"/>
        <v>225.60632640230384</v>
      </c>
      <c r="X6" s="8">
        <f t="shared" si="6"/>
        <v>225.60632640230384</v>
      </c>
      <c r="Y6" s="8">
        <f t="shared" si="6"/>
        <v>225.60632640230384</v>
      </c>
      <c r="Z6" s="8">
        <f t="shared" si="6"/>
        <v>225.60632640230384</v>
      </c>
      <c r="AA6" s="8">
        <f t="shared" si="6"/>
        <v>225.60632640230384</v>
      </c>
      <c r="AB6" s="8">
        <f t="shared" si="6"/>
        <v>225.60632640230384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10230.200275057045</v>
      </c>
      <c r="C7" s="8">
        <f t="shared" si="4"/>
        <v>10230.200275057045</v>
      </c>
      <c r="D7" s="8">
        <f t="shared" si="4"/>
        <v>10230.200275057045</v>
      </c>
      <c r="E7" s="8">
        <f t="shared" si="4"/>
        <v>10230.200275057045</v>
      </c>
      <c r="F7" s="8">
        <f t="shared" si="4"/>
        <v>10230.200275057045</v>
      </c>
      <c r="G7" s="8">
        <f t="shared" si="4"/>
        <v>10230.200275057045</v>
      </c>
      <c r="H7" s="8">
        <f t="shared" si="4"/>
        <v>10230.200275057045</v>
      </c>
      <c r="I7" s="8">
        <f t="shared" si="4"/>
        <v>10230.200275057045</v>
      </c>
      <c r="J7" s="8">
        <f t="shared" si="4"/>
        <v>10230.200275057045</v>
      </c>
      <c r="K7" s="8">
        <f t="shared" si="4"/>
        <v>10230.200275057045</v>
      </c>
      <c r="L7" s="8">
        <f t="shared" si="4"/>
        <v>10230.200275057045</v>
      </c>
      <c r="M7" s="8">
        <f t="shared" si="5"/>
        <v>10230.200275057045</v>
      </c>
      <c r="N7" s="8">
        <f t="shared" si="5"/>
        <v>10230.200275057045</v>
      </c>
      <c r="O7" s="8">
        <f t="shared" si="5"/>
        <v>10230.200275057045</v>
      </c>
      <c r="P7" s="8">
        <f t="shared" si="5"/>
        <v>10230.200275057045</v>
      </c>
      <c r="Q7" s="8">
        <f t="shared" si="5"/>
        <v>10230.200275057045</v>
      </c>
      <c r="R7" s="8">
        <f t="shared" si="5"/>
        <v>10230.200275057045</v>
      </c>
      <c r="S7" s="8">
        <f t="shared" si="5"/>
        <v>10230.200275057045</v>
      </c>
      <c r="T7" s="8">
        <f t="shared" si="5"/>
        <v>10230.200275057045</v>
      </c>
      <c r="U7" s="8">
        <f t="shared" si="5"/>
        <v>10230.200275057045</v>
      </c>
      <c r="V7" s="8">
        <f t="shared" si="5"/>
        <v>10230.200275057045</v>
      </c>
      <c r="W7" s="8">
        <f t="shared" si="6"/>
        <v>10230.200275057045</v>
      </c>
      <c r="X7" s="8">
        <f t="shared" si="6"/>
        <v>10230.200275057045</v>
      </c>
      <c r="Y7" s="8">
        <f t="shared" si="6"/>
        <v>10230.200275057045</v>
      </c>
      <c r="Z7" s="8">
        <f t="shared" si="6"/>
        <v>10230.200275057045</v>
      </c>
      <c r="AA7" s="8">
        <f t="shared" si="6"/>
        <v>10230.200275057045</v>
      </c>
      <c r="AB7" s="8">
        <f t="shared" si="6"/>
        <v>10230.200275057045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11393.119483316343</v>
      </c>
      <c r="C2" s="8">
        <f t="shared" ref="C2:AB2" si="0">B2</f>
        <v>11393.119483316343</v>
      </c>
      <c r="D2" s="8">
        <f t="shared" si="0"/>
        <v>11393.119483316343</v>
      </c>
      <c r="E2" s="8">
        <f t="shared" si="0"/>
        <v>11393.119483316343</v>
      </c>
      <c r="F2" s="8">
        <f t="shared" si="0"/>
        <v>11393.119483316343</v>
      </c>
      <c r="G2" s="8">
        <f t="shared" si="0"/>
        <v>11393.119483316343</v>
      </c>
      <c r="H2" s="8">
        <f t="shared" si="0"/>
        <v>11393.119483316343</v>
      </c>
      <c r="I2" s="8">
        <f t="shared" si="0"/>
        <v>11393.119483316343</v>
      </c>
      <c r="J2" s="8">
        <f t="shared" si="0"/>
        <v>11393.119483316343</v>
      </c>
      <c r="K2" s="8">
        <f t="shared" si="0"/>
        <v>11393.119483316343</v>
      </c>
      <c r="L2" s="8">
        <f t="shared" si="0"/>
        <v>11393.119483316343</v>
      </c>
      <c r="M2" s="8">
        <f t="shared" si="0"/>
        <v>11393.119483316343</v>
      </c>
      <c r="N2" s="8">
        <f t="shared" si="0"/>
        <v>11393.119483316343</v>
      </c>
      <c r="O2" s="8">
        <f t="shared" si="0"/>
        <v>11393.119483316343</v>
      </c>
      <c r="P2" s="8">
        <f t="shared" si="0"/>
        <v>11393.119483316343</v>
      </c>
      <c r="Q2" s="8">
        <f t="shared" si="0"/>
        <v>11393.119483316343</v>
      </c>
      <c r="R2" s="8">
        <f t="shared" si="0"/>
        <v>11393.119483316343</v>
      </c>
      <c r="S2" s="8">
        <f t="shared" si="0"/>
        <v>11393.119483316343</v>
      </c>
      <c r="T2" s="8">
        <f t="shared" si="0"/>
        <v>11393.119483316343</v>
      </c>
      <c r="U2" s="8">
        <f t="shared" si="0"/>
        <v>11393.119483316343</v>
      </c>
      <c r="V2" s="8">
        <f t="shared" si="0"/>
        <v>11393.119483316343</v>
      </c>
      <c r="W2" s="8">
        <f t="shared" si="0"/>
        <v>11393.119483316343</v>
      </c>
      <c r="X2" s="8">
        <f t="shared" si="0"/>
        <v>11393.119483316343</v>
      </c>
      <c r="Y2" s="8">
        <f t="shared" si="0"/>
        <v>11393.119483316343</v>
      </c>
      <c r="Z2" s="8">
        <f t="shared" si="0"/>
        <v>11393.119483316343</v>
      </c>
      <c r="AA2" s="8">
        <f t="shared" si="0"/>
        <v>11393.119483316343</v>
      </c>
      <c r="AB2" s="8">
        <f t="shared" si="0"/>
        <v>11393.119483316343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28979.514662094174</v>
      </c>
      <c r="C3" s="8">
        <f t="shared" ref="C3:AB3" si="1">B3</f>
        <v>28979.514662094174</v>
      </c>
      <c r="D3" s="8">
        <f t="shared" si="1"/>
        <v>28979.514662094174</v>
      </c>
      <c r="E3" s="8">
        <f t="shared" si="1"/>
        <v>28979.514662094174</v>
      </c>
      <c r="F3" s="8">
        <f t="shared" si="1"/>
        <v>28979.514662094174</v>
      </c>
      <c r="G3" s="8">
        <f t="shared" si="1"/>
        <v>28979.514662094174</v>
      </c>
      <c r="H3" s="8">
        <f t="shared" si="1"/>
        <v>28979.514662094174</v>
      </c>
      <c r="I3" s="8">
        <f t="shared" si="1"/>
        <v>28979.514662094174</v>
      </c>
      <c r="J3" s="8">
        <f t="shared" si="1"/>
        <v>28979.514662094174</v>
      </c>
      <c r="K3" s="8">
        <f t="shared" si="1"/>
        <v>28979.514662094174</v>
      </c>
      <c r="L3" s="8">
        <f t="shared" si="1"/>
        <v>28979.514662094174</v>
      </c>
      <c r="M3" s="8">
        <f t="shared" si="1"/>
        <v>28979.514662094174</v>
      </c>
      <c r="N3" s="8">
        <f t="shared" si="1"/>
        <v>28979.514662094174</v>
      </c>
      <c r="O3" s="8">
        <f t="shared" si="1"/>
        <v>28979.514662094174</v>
      </c>
      <c r="P3" s="8">
        <f t="shared" si="1"/>
        <v>28979.514662094174</v>
      </c>
      <c r="Q3" s="8">
        <f t="shared" si="1"/>
        <v>28979.514662094174</v>
      </c>
      <c r="R3" s="8">
        <f t="shared" si="1"/>
        <v>28979.514662094174</v>
      </c>
      <c r="S3" s="8">
        <f t="shared" si="1"/>
        <v>28979.514662094174</v>
      </c>
      <c r="T3" s="8">
        <f t="shared" si="1"/>
        <v>28979.514662094174</v>
      </c>
      <c r="U3" s="8">
        <f t="shared" si="1"/>
        <v>28979.514662094174</v>
      </c>
      <c r="V3" s="8">
        <f t="shared" si="1"/>
        <v>28979.514662094174</v>
      </c>
      <c r="W3" s="8">
        <f t="shared" si="1"/>
        <v>28979.514662094174</v>
      </c>
      <c r="X3" s="8">
        <f t="shared" si="1"/>
        <v>28979.514662094174</v>
      </c>
      <c r="Y3" s="8">
        <f t="shared" si="1"/>
        <v>28979.514662094174</v>
      </c>
      <c r="Z3" s="8">
        <f t="shared" si="1"/>
        <v>28979.514662094174</v>
      </c>
      <c r="AA3" s="8">
        <f t="shared" si="1"/>
        <v>28979.514662094174</v>
      </c>
      <c r="AB3" s="8">
        <f t="shared" si="1"/>
        <v>28979.514662094174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1828093.8415794894</v>
      </c>
      <c r="C4" s="8">
        <f t="shared" ref="C4:AB4" si="2">B4</f>
        <v>1828093.8415794894</v>
      </c>
      <c r="D4" s="8">
        <f t="shared" si="2"/>
        <v>1828093.8415794894</v>
      </c>
      <c r="E4" s="8">
        <f t="shared" si="2"/>
        <v>1828093.8415794894</v>
      </c>
      <c r="F4" s="8">
        <f t="shared" si="2"/>
        <v>1828093.8415794894</v>
      </c>
      <c r="G4" s="8">
        <f t="shared" si="2"/>
        <v>1828093.8415794894</v>
      </c>
      <c r="H4" s="8">
        <f t="shared" si="2"/>
        <v>1828093.8415794894</v>
      </c>
      <c r="I4" s="8">
        <f t="shared" si="2"/>
        <v>1828093.8415794894</v>
      </c>
      <c r="J4" s="8">
        <f t="shared" si="2"/>
        <v>1828093.8415794894</v>
      </c>
      <c r="K4" s="8">
        <f t="shared" si="2"/>
        <v>1828093.8415794894</v>
      </c>
      <c r="L4" s="8">
        <f t="shared" si="2"/>
        <v>1828093.8415794894</v>
      </c>
      <c r="M4" s="8">
        <f t="shared" si="2"/>
        <v>1828093.8415794894</v>
      </c>
      <c r="N4" s="8">
        <f t="shared" si="2"/>
        <v>1828093.8415794894</v>
      </c>
      <c r="O4" s="8">
        <f t="shared" si="2"/>
        <v>1828093.8415794894</v>
      </c>
      <c r="P4" s="8">
        <f t="shared" si="2"/>
        <v>1828093.8415794894</v>
      </c>
      <c r="Q4" s="8">
        <f t="shared" si="2"/>
        <v>1828093.8415794894</v>
      </c>
      <c r="R4" s="8">
        <f t="shared" si="2"/>
        <v>1828093.8415794894</v>
      </c>
      <c r="S4" s="8">
        <f t="shared" si="2"/>
        <v>1828093.8415794894</v>
      </c>
      <c r="T4" s="8">
        <f t="shared" si="2"/>
        <v>1828093.8415794894</v>
      </c>
      <c r="U4" s="8">
        <f t="shared" si="2"/>
        <v>1828093.8415794894</v>
      </c>
      <c r="V4" s="8">
        <f t="shared" si="2"/>
        <v>1828093.8415794894</v>
      </c>
      <c r="W4" s="8">
        <f t="shared" si="2"/>
        <v>1828093.8415794894</v>
      </c>
      <c r="X4" s="8">
        <f t="shared" si="2"/>
        <v>1828093.8415794894</v>
      </c>
      <c r="Y4" s="8">
        <f t="shared" si="2"/>
        <v>1828093.8415794894</v>
      </c>
      <c r="Z4" s="8">
        <f t="shared" si="2"/>
        <v>1828093.8415794894</v>
      </c>
      <c r="AA4" s="8">
        <f t="shared" si="2"/>
        <v>1828093.8415794894</v>
      </c>
      <c r="AB4" s="8">
        <f t="shared" si="2"/>
        <v>1828093.8415794894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14001.893644804984</v>
      </c>
      <c r="C5" s="8">
        <f t="shared" ref="C5:AB5" si="3">B5</f>
        <v>14001.893644804984</v>
      </c>
      <c r="D5" s="8">
        <f t="shared" si="3"/>
        <v>14001.893644804984</v>
      </c>
      <c r="E5" s="8">
        <f t="shared" si="3"/>
        <v>14001.893644804984</v>
      </c>
      <c r="F5" s="8">
        <f t="shared" si="3"/>
        <v>14001.893644804984</v>
      </c>
      <c r="G5" s="8">
        <f t="shared" si="3"/>
        <v>14001.893644804984</v>
      </c>
      <c r="H5" s="8">
        <f t="shared" si="3"/>
        <v>14001.893644804984</v>
      </c>
      <c r="I5" s="8">
        <f t="shared" si="3"/>
        <v>14001.893644804984</v>
      </c>
      <c r="J5" s="8">
        <f t="shared" si="3"/>
        <v>14001.893644804984</v>
      </c>
      <c r="K5" s="8">
        <f t="shared" si="3"/>
        <v>14001.893644804984</v>
      </c>
      <c r="L5" s="8">
        <f t="shared" si="3"/>
        <v>14001.893644804984</v>
      </c>
      <c r="M5" s="8">
        <f t="shared" si="3"/>
        <v>14001.893644804984</v>
      </c>
      <c r="N5" s="8">
        <f t="shared" si="3"/>
        <v>14001.893644804984</v>
      </c>
      <c r="O5" s="8">
        <f t="shared" si="3"/>
        <v>14001.893644804984</v>
      </c>
      <c r="P5" s="8">
        <f t="shared" si="3"/>
        <v>14001.893644804984</v>
      </c>
      <c r="Q5" s="8">
        <f t="shared" si="3"/>
        <v>14001.893644804984</v>
      </c>
      <c r="R5" s="8">
        <f t="shared" si="3"/>
        <v>14001.893644804984</v>
      </c>
      <c r="S5" s="8">
        <f t="shared" si="3"/>
        <v>14001.893644804984</v>
      </c>
      <c r="T5" s="8">
        <f t="shared" si="3"/>
        <v>14001.893644804984</v>
      </c>
      <c r="U5" s="8">
        <f t="shared" si="3"/>
        <v>14001.893644804984</v>
      </c>
      <c r="V5" s="8">
        <f t="shared" si="3"/>
        <v>14001.893644804984</v>
      </c>
      <c r="W5" s="8">
        <f t="shared" si="3"/>
        <v>14001.893644804984</v>
      </c>
      <c r="X5" s="8">
        <f t="shared" si="3"/>
        <v>14001.893644804984</v>
      </c>
      <c r="Y5" s="8">
        <f t="shared" si="3"/>
        <v>14001.893644804984</v>
      </c>
      <c r="Z5" s="8">
        <f t="shared" si="3"/>
        <v>14001.893644804984</v>
      </c>
      <c r="AA5" s="8">
        <f t="shared" si="3"/>
        <v>14001.893644804984</v>
      </c>
      <c r="AB5" s="8">
        <f t="shared" si="3"/>
        <v>14001.893644804984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9805246.2286216356</v>
      </c>
      <c r="C6" s="8">
        <f t="shared" ref="C6:AB6" si="4">B6</f>
        <v>9805246.2286216356</v>
      </c>
      <c r="D6" s="8">
        <f t="shared" si="4"/>
        <v>9805246.2286216356</v>
      </c>
      <c r="E6" s="8">
        <f t="shared" si="4"/>
        <v>9805246.2286216356</v>
      </c>
      <c r="F6" s="8">
        <f t="shared" si="4"/>
        <v>9805246.2286216356</v>
      </c>
      <c r="G6" s="8">
        <f t="shared" si="4"/>
        <v>9805246.2286216356</v>
      </c>
      <c r="H6" s="8">
        <f t="shared" si="4"/>
        <v>9805246.2286216356</v>
      </c>
      <c r="I6" s="8">
        <f t="shared" si="4"/>
        <v>9805246.2286216356</v>
      </c>
      <c r="J6" s="8">
        <f t="shared" si="4"/>
        <v>9805246.2286216356</v>
      </c>
      <c r="K6" s="8">
        <f t="shared" si="4"/>
        <v>9805246.2286216356</v>
      </c>
      <c r="L6" s="8">
        <f t="shared" si="4"/>
        <v>9805246.2286216356</v>
      </c>
      <c r="M6" s="8">
        <f t="shared" si="4"/>
        <v>9805246.2286216356</v>
      </c>
      <c r="N6" s="8">
        <f t="shared" si="4"/>
        <v>9805246.2286216356</v>
      </c>
      <c r="O6" s="8">
        <f t="shared" si="4"/>
        <v>9805246.2286216356</v>
      </c>
      <c r="P6" s="8">
        <f t="shared" si="4"/>
        <v>9805246.2286216356</v>
      </c>
      <c r="Q6" s="8">
        <f t="shared" si="4"/>
        <v>9805246.2286216356</v>
      </c>
      <c r="R6" s="8">
        <f t="shared" si="4"/>
        <v>9805246.2286216356</v>
      </c>
      <c r="S6" s="8">
        <f t="shared" si="4"/>
        <v>9805246.2286216356</v>
      </c>
      <c r="T6" s="8">
        <f t="shared" si="4"/>
        <v>9805246.2286216356</v>
      </c>
      <c r="U6" s="8">
        <f t="shared" si="4"/>
        <v>9805246.2286216356</v>
      </c>
      <c r="V6" s="8">
        <f t="shared" si="4"/>
        <v>9805246.2286216356</v>
      </c>
      <c r="W6" s="8">
        <f t="shared" si="4"/>
        <v>9805246.2286216356</v>
      </c>
      <c r="X6" s="8">
        <f t="shared" si="4"/>
        <v>9805246.2286216356</v>
      </c>
      <c r="Y6" s="8">
        <f t="shared" si="4"/>
        <v>9805246.2286216356</v>
      </c>
      <c r="Z6" s="8">
        <f t="shared" si="4"/>
        <v>9805246.2286216356</v>
      </c>
      <c r="AA6" s="8">
        <f t="shared" si="4"/>
        <v>9805246.2286216356</v>
      </c>
      <c r="AB6" s="8">
        <f t="shared" si="4"/>
        <v>9805246.2286216356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2026-08-11T22:28:42Z</dcterms:modified>
</cp:coreProperties>
</file>